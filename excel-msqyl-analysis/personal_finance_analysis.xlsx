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4.xml" ContentType="application/vnd.openxmlformats-officedocument.drawingml.chartshapes+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5.xml" ContentType="application/vnd.openxmlformats-officedocument.drawingml.chartshapes+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slicers/slicer2.xml" ContentType="application/vnd.ms-excel.slicer+xml"/>
  <Override PartName="/xl/comments2.xml" ContentType="application/vnd.openxmlformats-officedocument.spreadsheetml.comments+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8.xml" ContentType="application/vnd.openxmlformats-officedocument.drawingml.chartshapes+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9.xml" ContentType="application/vnd.openxmlformats-officedocument.drawingml.chartshapes+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10.xml" ContentType="application/vnd.openxmlformats-officedocument.drawingml.chartshapes+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11.xml" ContentType="application/vnd.openxmlformats-officedocument.drawing+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Ex1.xml" ContentType="application/vnd.ms-office.chartex+xml"/>
  <Override PartName="/xl/charts/style61.xml" ContentType="application/vnd.ms-office.chartstyle+xml"/>
  <Override PartName="/xl/charts/colors61.xml" ContentType="application/vnd.ms-office.chartcolorstyle+xml"/>
  <Override PartName="/xl/charts/chartEx2.xml" ContentType="application/vnd.ms-office.chartex+xml"/>
  <Override PartName="/xl/charts/style62.xml" ContentType="application/vnd.ms-office.chartstyle+xml"/>
  <Override PartName="/xl/charts/colors62.xml" ContentType="application/vnd.ms-office.chartcolorstyle+xml"/>
  <Override PartName="/xl/charts/chartEx3.xml" ContentType="application/vnd.ms-office.chartex+xml"/>
  <Override PartName="/xl/charts/style63.xml" ContentType="application/vnd.ms-office.chartstyle+xml"/>
  <Override PartName="/xl/charts/colors63.xml" ContentType="application/vnd.ms-office.chartcolorstyle+xml"/>
  <Override PartName="/xl/charts/chart61.xml" ContentType="application/vnd.openxmlformats-officedocument.drawingml.chart+xml"/>
  <Override PartName="/xl/charts/style64.xml" ContentType="application/vnd.ms-office.chartstyle+xml"/>
  <Override PartName="/xl/charts/colors64.xml" ContentType="application/vnd.ms-office.chartcolorstyle+xml"/>
  <Override PartName="/xl/charts/chart62.xml" ContentType="application/vnd.openxmlformats-officedocument.drawingml.chart+xml"/>
  <Override PartName="/xl/charts/style65.xml" ContentType="application/vnd.ms-office.chartstyle+xml"/>
  <Override PartName="/xl/charts/colors65.xml" ContentType="application/vnd.ms-office.chartcolorstyle+xml"/>
  <Override PartName="/xl/charts/chart63.xml" ContentType="application/vnd.openxmlformats-officedocument.drawingml.chart+xml"/>
  <Override PartName="/xl/charts/style66.xml" ContentType="application/vnd.ms-office.chartstyle+xml"/>
  <Override PartName="/xl/charts/colors66.xml" ContentType="application/vnd.ms-office.chartcolorsty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queryTables/queryTable1.xml" ContentType="application/vnd.openxmlformats-officedocument.spreadsheetml.query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Acer\Documents\SoftDev\Projects\GitHub\Finance-Manager\excel-msqyl-analysis\"/>
    </mc:Choice>
  </mc:AlternateContent>
  <xr:revisionPtr revIDLastSave="0" documentId="13_ncr:1_{BD5DEEA8-FE82-478E-83C6-AB1E4CEE0953}" xr6:coauthVersionLast="47" xr6:coauthVersionMax="47" xr10:uidLastSave="{00000000-0000-0000-0000-000000000000}"/>
  <bookViews>
    <workbookView xWindow="-96" yWindow="-96" windowWidth="23232" windowHeight="12432" xr2:uid="{AC62577C-436C-4C9D-9DE4-AD1B9FA5ACB7}"/>
  </bookViews>
  <sheets>
    <sheet name="Dashboard" sheetId="15" r:id="rId1"/>
    <sheet name="Findings" sheetId="20" r:id="rId2"/>
    <sheet name="Pivot &amp; derived tables" sheetId="4" r:id="rId3"/>
    <sheet name="Analysis &amp; Diagnostics" sheetId="18" r:id="rId4"/>
    <sheet name="data_visualization" sheetId="3" r:id="rId5"/>
    <sheet name="Nov 24 &amp; Dec 24" sheetId="19" r:id="rId6"/>
    <sheet name="Expenses_table" sheetId="10" r:id="rId7"/>
    <sheet name="Income_table" sheetId="11" r:id="rId8"/>
    <sheet name="Gcash_expenses" sheetId="14" r:id="rId9"/>
    <sheet name="Supa Expenses" sheetId="21" r:id="rId10"/>
    <sheet name="query" sheetId="13" r:id="rId11"/>
    <sheet name="cleaned_source_dataset" sheetId="6" r:id="rId12"/>
    <sheet name="personal_finance_data" sheetId="9" r:id="rId13"/>
  </sheets>
  <definedNames>
    <definedName name="_xlchart.v1.0" hidden="1">query!$D$3:$D$46</definedName>
    <definedName name="_xlchart.v1.1" hidden="1">'Pivot &amp; derived tables'!$I$60:$I$281</definedName>
    <definedName name="_xlchart.v1.2" hidden="1">'Pivot &amp; derived tables'!$U$37:$U$85</definedName>
    <definedName name="ExternalData_1" localSheetId="12" hidden="1">personal_finance_data!$A$2:$F$673</definedName>
    <definedName name="FromArray_1">_xlfn.ANCHORARRAY('Analysis &amp; Diagnostics'!$N$421)</definedName>
    <definedName name="Slicer_month">#N/A</definedName>
    <definedName name="Slicer_month1">#N/A</definedName>
    <definedName name="Slicer_transaction">#N/A</definedName>
    <definedName name="Slicer_transaction1">#N/A</definedName>
    <definedName name="Slicer_transaction2">#N/A</definedName>
    <definedName name="Slicer_transaction3">#N/A</definedName>
    <definedName name="Slicer_transaction4">#N/A</definedName>
    <definedName name="Slicer_year">#N/A</definedName>
    <definedName name="Slicer_year1">#N/A</definedName>
  </definedNames>
  <calcPr calcId="191029"/>
  <pivotCaches>
    <pivotCache cacheId="0" r:id="rId14"/>
    <pivotCache cacheId="1" r:id="rId15"/>
    <pivotCache cacheId="2" r:id="rId16"/>
    <pivotCache cacheId="3" r:id="rId17"/>
    <pivotCache cacheId="4" r:id="rId18"/>
    <pivotCache cacheId="5" r:id="rId19"/>
    <pivotCache cacheId="6"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18" l="1"/>
  <c r="N429" i="18"/>
  <c r="N428" i="18"/>
  <c r="N426" i="18"/>
  <c r="N425" i="18"/>
  <c r="N423" i="18"/>
  <c r="P419" i="18" s="1" a="1"/>
  <c r="P419" i="18" s="1"/>
  <c r="N424" i="18" s="1"/>
  <c r="N422" i="18"/>
  <c r="N421" i="18"/>
  <c r="L409" i="18"/>
  <c r="L410" i="18"/>
  <c r="G425" i="18"/>
  <c r="G426" i="18"/>
  <c r="G423" i="18"/>
  <c r="G422" i="18"/>
  <c r="L407" i="18"/>
  <c r="L406" i="18"/>
  <c r="S237" i="18"/>
  <c r="G420" i="18"/>
  <c r="P410" i="18" s="1"/>
  <c r="G419" i="18"/>
  <c r="G418" i="18"/>
  <c r="L404" i="18"/>
  <c r="O402" i="18" s="1"/>
  <c r="L403" i="18"/>
  <c r="L402" i="18"/>
  <c r="O237" i="18"/>
  <c r="O238" i="18"/>
  <c r="O239" i="18"/>
  <c r="O240" i="18"/>
  <c r="O241" i="18"/>
  <c r="O242" i="18"/>
  <c r="O243" i="18"/>
  <c r="O244" i="18"/>
  <c r="O245" i="18"/>
  <c r="O246" i="18"/>
  <c r="O247" i="18"/>
  <c r="O248" i="18"/>
  <c r="O249" i="18"/>
  <c r="O250" i="18"/>
  <c r="O251" i="18"/>
  <c r="O252" i="18"/>
  <c r="O253" i="18"/>
  <c r="O254" i="18"/>
  <c r="O255" i="18"/>
  <c r="O256" i="18"/>
  <c r="H673" i="6"/>
  <c r="G673" i="6"/>
  <c r="H672" i="6"/>
  <c r="G672" i="6"/>
  <c r="H671" i="6"/>
  <c r="G671" i="6"/>
  <c r="H670" i="6"/>
  <c r="G670" i="6"/>
  <c r="H669" i="6"/>
  <c r="G669" i="6"/>
  <c r="H668" i="6"/>
  <c r="G668" i="6"/>
  <c r="H667" i="6"/>
  <c r="G667" i="6"/>
  <c r="H666" i="6"/>
  <c r="G666" i="6"/>
  <c r="H665" i="6"/>
  <c r="G665" i="6"/>
  <c r="H664" i="6"/>
  <c r="G664" i="6"/>
  <c r="H663" i="6"/>
  <c r="G663" i="6"/>
  <c r="H662" i="6"/>
  <c r="G662" i="6"/>
  <c r="H661" i="6"/>
  <c r="G661" i="6"/>
  <c r="H660" i="6"/>
  <c r="G660" i="6"/>
  <c r="H659" i="6"/>
  <c r="G659" i="6"/>
  <c r="H658" i="6"/>
  <c r="G658" i="6"/>
  <c r="H657" i="6"/>
  <c r="G657" i="6"/>
  <c r="H656" i="6"/>
  <c r="G656" i="6"/>
  <c r="H655" i="6"/>
  <c r="G655" i="6"/>
  <c r="H654" i="6"/>
  <c r="G654" i="6"/>
  <c r="H653" i="6"/>
  <c r="G653" i="6"/>
  <c r="H652" i="6"/>
  <c r="G652" i="6"/>
  <c r="H651" i="6"/>
  <c r="G651" i="6"/>
  <c r="H650" i="6"/>
  <c r="G650" i="6"/>
  <c r="H649" i="6"/>
  <c r="G649" i="6"/>
  <c r="H648" i="6"/>
  <c r="G648" i="6"/>
  <c r="H647" i="6"/>
  <c r="G647" i="6"/>
  <c r="H646" i="6"/>
  <c r="G646" i="6"/>
  <c r="H645" i="6"/>
  <c r="G645" i="6"/>
  <c r="H644" i="6"/>
  <c r="G644" i="6"/>
  <c r="H643" i="6"/>
  <c r="G643" i="6"/>
  <c r="H642" i="6"/>
  <c r="G642" i="6"/>
  <c r="H641" i="6"/>
  <c r="G641" i="6"/>
  <c r="H640" i="6"/>
  <c r="G640" i="6"/>
  <c r="H639" i="6"/>
  <c r="G639" i="6"/>
  <c r="H638" i="6"/>
  <c r="G638" i="6"/>
  <c r="H637" i="6"/>
  <c r="G637" i="6"/>
  <c r="H636" i="6"/>
  <c r="G636" i="6"/>
  <c r="H635" i="6"/>
  <c r="G635" i="6"/>
  <c r="H634" i="6"/>
  <c r="G634" i="6"/>
  <c r="H633" i="6"/>
  <c r="G633" i="6"/>
  <c r="H632" i="6"/>
  <c r="G632" i="6"/>
  <c r="H631" i="6"/>
  <c r="G631" i="6"/>
  <c r="H630" i="6"/>
  <c r="G630" i="6"/>
  <c r="H629" i="6"/>
  <c r="G629" i="6"/>
  <c r="H628" i="6"/>
  <c r="G628" i="6"/>
  <c r="H627" i="6"/>
  <c r="G627" i="6"/>
  <c r="H626" i="6"/>
  <c r="G626" i="6"/>
  <c r="H625" i="6"/>
  <c r="G625" i="6"/>
  <c r="H624" i="6"/>
  <c r="G624" i="6"/>
  <c r="H623" i="6"/>
  <c r="G623" i="6"/>
  <c r="H622" i="6"/>
  <c r="G622" i="6"/>
  <c r="H621" i="6"/>
  <c r="G621" i="6"/>
  <c r="H620" i="6"/>
  <c r="G620" i="6"/>
  <c r="H619" i="6"/>
  <c r="G619" i="6"/>
  <c r="H618" i="6"/>
  <c r="G618" i="6"/>
  <c r="H617" i="6"/>
  <c r="G617" i="6"/>
  <c r="H616" i="6"/>
  <c r="G616" i="6"/>
  <c r="H615" i="6"/>
  <c r="G615" i="6"/>
  <c r="H614" i="6"/>
  <c r="G614" i="6"/>
  <c r="H613" i="6"/>
  <c r="G613" i="6"/>
  <c r="H612" i="6"/>
  <c r="G612" i="6"/>
  <c r="H611" i="6"/>
  <c r="G611" i="6"/>
  <c r="H610" i="6"/>
  <c r="G610" i="6"/>
  <c r="H609" i="6"/>
  <c r="G609" i="6"/>
  <c r="H608" i="6"/>
  <c r="G608" i="6"/>
  <c r="H607" i="6"/>
  <c r="G607" i="6"/>
  <c r="H606" i="6"/>
  <c r="G606" i="6"/>
  <c r="H605" i="6"/>
  <c r="G605" i="6"/>
  <c r="H604" i="6"/>
  <c r="G604" i="6"/>
  <c r="H603" i="6"/>
  <c r="G603" i="6"/>
  <c r="H602" i="6"/>
  <c r="G602" i="6"/>
  <c r="H601" i="6"/>
  <c r="G601" i="6"/>
  <c r="H600" i="6"/>
  <c r="G600" i="6"/>
  <c r="H599" i="6"/>
  <c r="G599" i="6"/>
  <c r="H598" i="6"/>
  <c r="G598" i="6"/>
  <c r="H597" i="6"/>
  <c r="G597" i="6"/>
  <c r="H596" i="6"/>
  <c r="G596" i="6"/>
  <c r="H595" i="6"/>
  <c r="G595" i="6"/>
  <c r="H594" i="6"/>
  <c r="G594" i="6"/>
  <c r="H593" i="6"/>
  <c r="G593" i="6"/>
  <c r="H592" i="6"/>
  <c r="G592" i="6"/>
  <c r="H591" i="6"/>
  <c r="G591" i="6"/>
  <c r="H590" i="6"/>
  <c r="G590" i="6"/>
  <c r="H589" i="6"/>
  <c r="G589" i="6"/>
  <c r="H588" i="6"/>
  <c r="G588" i="6"/>
  <c r="H587" i="6"/>
  <c r="G587" i="6"/>
  <c r="H586" i="6"/>
  <c r="G586" i="6"/>
  <c r="H585" i="6"/>
  <c r="G585" i="6"/>
  <c r="H584" i="6"/>
  <c r="G584" i="6"/>
  <c r="H583" i="6"/>
  <c r="G583" i="6"/>
  <c r="H582" i="6"/>
  <c r="G582" i="6"/>
  <c r="H581" i="6"/>
  <c r="G581" i="6"/>
  <c r="H580" i="6"/>
  <c r="G580" i="6"/>
  <c r="H579" i="6"/>
  <c r="G579" i="6"/>
  <c r="H578" i="6"/>
  <c r="G578" i="6"/>
  <c r="H577" i="6"/>
  <c r="G577" i="6"/>
  <c r="H576" i="6"/>
  <c r="G576" i="6"/>
  <c r="H575" i="6"/>
  <c r="G575" i="6"/>
  <c r="H574" i="6"/>
  <c r="G574" i="6"/>
  <c r="H573" i="6"/>
  <c r="G573" i="6"/>
  <c r="H572" i="6"/>
  <c r="G572" i="6"/>
  <c r="H571" i="6"/>
  <c r="G571" i="6"/>
  <c r="H570" i="6"/>
  <c r="G570" i="6"/>
  <c r="H569" i="6"/>
  <c r="G569" i="6"/>
  <c r="H568" i="6"/>
  <c r="G568" i="6"/>
  <c r="H567" i="6"/>
  <c r="G567" i="6"/>
  <c r="H566" i="6"/>
  <c r="G566" i="6"/>
  <c r="H565" i="6"/>
  <c r="G565" i="6"/>
  <c r="H564" i="6"/>
  <c r="G564" i="6"/>
  <c r="H563" i="6"/>
  <c r="G563" i="6"/>
  <c r="H562" i="6"/>
  <c r="G562" i="6"/>
  <c r="H561" i="6"/>
  <c r="G561" i="6"/>
  <c r="H560" i="6"/>
  <c r="G560" i="6"/>
  <c r="H559" i="6"/>
  <c r="G559" i="6"/>
  <c r="H558" i="6"/>
  <c r="G558" i="6"/>
  <c r="H557" i="6"/>
  <c r="G557" i="6"/>
  <c r="H556" i="6"/>
  <c r="G556" i="6"/>
  <c r="H555" i="6"/>
  <c r="G555" i="6"/>
  <c r="H554" i="6"/>
  <c r="G554" i="6"/>
  <c r="H553" i="6"/>
  <c r="G553" i="6"/>
  <c r="H552" i="6"/>
  <c r="G552" i="6"/>
  <c r="H551" i="6"/>
  <c r="G551" i="6"/>
  <c r="H550" i="6"/>
  <c r="G550" i="6"/>
  <c r="H549" i="6"/>
  <c r="G549" i="6"/>
  <c r="H548" i="6"/>
  <c r="G548" i="6"/>
  <c r="H547" i="6"/>
  <c r="G547" i="6"/>
  <c r="H546" i="6"/>
  <c r="G546" i="6"/>
  <c r="H545" i="6"/>
  <c r="G545" i="6"/>
  <c r="H544" i="6"/>
  <c r="G544" i="6"/>
  <c r="H543" i="6"/>
  <c r="G543" i="6"/>
  <c r="H542" i="6"/>
  <c r="G542" i="6"/>
  <c r="H541" i="6"/>
  <c r="G541" i="6"/>
  <c r="H540" i="6"/>
  <c r="G540" i="6"/>
  <c r="H539" i="6"/>
  <c r="G539" i="6"/>
  <c r="H538" i="6"/>
  <c r="G538" i="6"/>
  <c r="H537" i="6"/>
  <c r="G537" i="6"/>
  <c r="H536" i="6"/>
  <c r="G536" i="6"/>
  <c r="H535" i="6"/>
  <c r="G535" i="6"/>
  <c r="H534" i="6"/>
  <c r="G534" i="6"/>
  <c r="H533" i="6"/>
  <c r="G533" i="6"/>
  <c r="H532" i="6"/>
  <c r="G532" i="6"/>
  <c r="H531" i="6"/>
  <c r="G531" i="6"/>
  <c r="H530" i="6"/>
  <c r="G530" i="6"/>
  <c r="H529" i="6"/>
  <c r="G529" i="6"/>
  <c r="H528" i="6"/>
  <c r="G528" i="6"/>
  <c r="H527" i="6"/>
  <c r="G527" i="6"/>
  <c r="H526" i="6"/>
  <c r="G526" i="6"/>
  <c r="H525" i="6"/>
  <c r="G525" i="6"/>
  <c r="H524" i="6"/>
  <c r="G524" i="6"/>
  <c r="H523" i="6"/>
  <c r="G523" i="6"/>
  <c r="H522" i="6"/>
  <c r="G522" i="6"/>
  <c r="H521" i="6"/>
  <c r="G521" i="6"/>
  <c r="H520" i="6"/>
  <c r="G520" i="6"/>
  <c r="H519" i="6"/>
  <c r="G519" i="6"/>
  <c r="H518" i="6"/>
  <c r="G518" i="6"/>
  <c r="H517" i="6"/>
  <c r="G517" i="6"/>
  <c r="H516" i="6"/>
  <c r="G516" i="6"/>
  <c r="H515" i="6"/>
  <c r="G515" i="6"/>
  <c r="H514" i="6"/>
  <c r="G514" i="6"/>
  <c r="H513" i="6"/>
  <c r="G513" i="6"/>
  <c r="H512" i="6"/>
  <c r="G512" i="6"/>
  <c r="H511" i="6"/>
  <c r="G511" i="6"/>
  <c r="H510" i="6"/>
  <c r="G510" i="6"/>
  <c r="H509" i="6"/>
  <c r="G509" i="6"/>
  <c r="H508" i="6"/>
  <c r="G508" i="6"/>
  <c r="H507" i="6"/>
  <c r="G507" i="6"/>
  <c r="H506" i="6"/>
  <c r="G506" i="6"/>
  <c r="H505" i="6"/>
  <c r="G505" i="6"/>
  <c r="H504" i="6"/>
  <c r="G504" i="6"/>
  <c r="H503" i="6"/>
  <c r="G503" i="6"/>
  <c r="H502" i="6"/>
  <c r="G502" i="6"/>
  <c r="H501" i="6"/>
  <c r="G501" i="6"/>
  <c r="H500" i="6"/>
  <c r="G500" i="6"/>
  <c r="H499" i="6"/>
  <c r="G499" i="6"/>
  <c r="H498" i="6"/>
  <c r="G498" i="6"/>
  <c r="H497" i="6"/>
  <c r="G497" i="6"/>
  <c r="H496" i="6"/>
  <c r="G496" i="6"/>
  <c r="H495" i="6"/>
  <c r="G495" i="6"/>
  <c r="H494" i="6"/>
  <c r="G494" i="6"/>
  <c r="H493" i="6"/>
  <c r="G493" i="6"/>
  <c r="H492" i="6"/>
  <c r="G492" i="6"/>
  <c r="H491" i="6"/>
  <c r="G491" i="6"/>
  <c r="H490" i="6"/>
  <c r="G490" i="6"/>
  <c r="H489" i="6"/>
  <c r="G489" i="6"/>
  <c r="H488" i="6"/>
  <c r="G488" i="6"/>
  <c r="H487" i="6"/>
  <c r="G487" i="6"/>
  <c r="H486" i="6"/>
  <c r="G486" i="6"/>
  <c r="H485" i="6"/>
  <c r="G485" i="6"/>
  <c r="H484" i="6"/>
  <c r="G484" i="6"/>
  <c r="H483" i="6"/>
  <c r="G483" i="6"/>
  <c r="H482" i="6"/>
  <c r="G482" i="6"/>
  <c r="H481" i="6"/>
  <c r="G481" i="6"/>
  <c r="H480" i="6"/>
  <c r="G480" i="6"/>
  <c r="H479" i="6"/>
  <c r="G479" i="6"/>
  <c r="H478" i="6"/>
  <c r="G478" i="6"/>
  <c r="H477" i="6"/>
  <c r="G477" i="6"/>
  <c r="H476" i="6"/>
  <c r="G476" i="6"/>
  <c r="H475" i="6"/>
  <c r="G475" i="6"/>
  <c r="H474" i="6"/>
  <c r="G474" i="6"/>
  <c r="H473" i="6"/>
  <c r="G473" i="6"/>
  <c r="H472" i="6"/>
  <c r="G472" i="6"/>
  <c r="H471" i="6"/>
  <c r="G471" i="6"/>
  <c r="H470" i="6"/>
  <c r="G470" i="6"/>
  <c r="H469" i="6"/>
  <c r="G469" i="6"/>
  <c r="H468" i="6"/>
  <c r="G468" i="6"/>
  <c r="H467" i="6"/>
  <c r="G467" i="6"/>
  <c r="H466" i="6"/>
  <c r="G466" i="6"/>
  <c r="H465" i="6"/>
  <c r="G465" i="6"/>
  <c r="H464" i="6"/>
  <c r="G464" i="6"/>
  <c r="H463" i="6"/>
  <c r="G463" i="6"/>
  <c r="H462" i="6"/>
  <c r="G462" i="6"/>
  <c r="H461" i="6"/>
  <c r="G461" i="6"/>
  <c r="H460" i="6"/>
  <c r="G460" i="6"/>
  <c r="H459" i="6"/>
  <c r="G459" i="6"/>
  <c r="H458" i="6"/>
  <c r="G458" i="6"/>
  <c r="H457" i="6"/>
  <c r="G457" i="6"/>
  <c r="H456" i="6"/>
  <c r="G456" i="6"/>
  <c r="H455" i="6"/>
  <c r="G455" i="6"/>
  <c r="H454" i="6"/>
  <c r="G454" i="6"/>
  <c r="H453" i="6"/>
  <c r="G453" i="6"/>
  <c r="H452" i="6"/>
  <c r="G452" i="6"/>
  <c r="H451" i="6"/>
  <c r="G451" i="6"/>
  <c r="H450" i="6"/>
  <c r="G450" i="6"/>
  <c r="H449" i="6"/>
  <c r="G449" i="6"/>
  <c r="H448" i="6"/>
  <c r="G448" i="6"/>
  <c r="H447" i="6"/>
  <c r="G447" i="6"/>
  <c r="H446" i="6"/>
  <c r="G446" i="6"/>
  <c r="H445" i="6"/>
  <c r="G445" i="6"/>
  <c r="H444" i="6"/>
  <c r="G444" i="6"/>
  <c r="H443" i="6"/>
  <c r="G443" i="6"/>
  <c r="H442" i="6"/>
  <c r="G442" i="6"/>
  <c r="H441" i="6"/>
  <c r="G441" i="6"/>
  <c r="H440" i="6"/>
  <c r="G440" i="6"/>
  <c r="H439" i="6"/>
  <c r="G439" i="6"/>
  <c r="H438" i="6"/>
  <c r="G438" i="6"/>
  <c r="H437" i="6"/>
  <c r="G437" i="6"/>
  <c r="H436" i="6"/>
  <c r="G436" i="6"/>
  <c r="H435" i="6"/>
  <c r="G435" i="6"/>
  <c r="H434" i="6"/>
  <c r="G434" i="6"/>
  <c r="H433" i="6"/>
  <c r="G433" i="6"/>
  <c r="H432" i="6"/>
  <c r="G432" i="6"/>
  <c r="H431" i="6"/>
  <c r="G431" i="6"/>
  <c r="H430" i="6"/>
  <c r="G430" i="6"/>
  <c r="H429" i="6"/>
  <c r="G429" i="6"/>
  <c r="H428" i="6"/>
  <c r="G428" i="6"/>
  <c r="H427" i="6"/>
  <c r="G427" i="6"/>
  <c r="H426" i="6"/>
  <c r="G426" i="6"/>
  <c r="H425" i="6"/>
  <c r="G425" i="6"/>
  <c r="H424" i="6"/>
  <c r="G424" i="6"/>
  <c r="H423" i="6"/>
  <c r="G423" i="6"/>
  <c r="H422" i="6"/>
  <c r="G422" i="6"/>
  <c r="H421" i="6"/>
  <c r="G421" i="6"/>
  <c r="H420" i="6"/>
  <c r="G420" i="6"/>
  <c r="H419" i="6"/>
  <c r="G419" i="6"/>
  <c r="H418" i="6"/>
  <c r="G418" i="6"/>
  <c r="H417" i="6"/>
  <c r="G417" i="6"/>
  <c r="H416" i="6"/>
  <c r="G416" i="6"/>
  <c r="H415" i="6"/>
  <c r="G415" i="6"/>
  <c r="H414" i="6"/>
  <c r="G414" i="6"/>
  <c r="H413" i="6"/>
  <c r="G413" i="6"/>
  <c r="H412" i="6"/>
  <c r="G412" i="6"/>
  <c r="H411" i="6"/>
  <c r="G411" i="6"/>
  <c r="H410" i="6"/>
  <c r="G410" i="6"/>
  <c r="H409" i="6"/>
  <c r="G409" i="6"/>
  <c r="H408" i="6"/>
  <c r="G408" i="6"/>
  <c r="H407" i="6"/>
  <c r="G407" i="6"/>
  <c r="H406" i="6"/>
  <c r="G406" i="6"/>
  <c r="H405" i="6"/>
  <c r="G405" i="6"/>
  <c r="H404" i="6"/>
  <c r="G404" i="6"/>
  <c r="H403" i="6"/>
  <c r="G403" i="6"/>
  <c r="H402" i="6"/>
  <c r="G402" i="6"/>
  <c r="H401" i="6"/>
  <c r="G401" i="6"/>
  <c r="H400" i="6"/>
  <c r="G400" i="6"/>
  <c r="H399" i="6"/>
  <c r="G399" i="6"/>
  <c r="H398" i="6"/>
  <c r="G398" i="6"/>
  <c r="H397" i="6"/>
  <c r="G397" i="6"/>
  <c r="H396" i="6"/>
  <c r="G396" i="6"/>
  <c r="H395" i="6"/>
  <c r="G395" i="6"/>
  <c r="H394" i="6"/>
  <c r="G394" i="6"/>
  <c r="H393" i="6"/>
  <c r="G393" i="6"/>
  <c r="H392" i="6"/>
  <c r="G392" i="6"/>
  <c r="H391" i="6"/>
  <c r="G391" i="6"/>
  <c r="H390" i="6"/>
  <c r="G390" i="6"/>
  <c r="H389" i="6"/>
  <c r="G389" i="6"/>
  <c r="H388" i="6"/>
  <c r="G388" i="6"/>
  <c r="H387" i="6"/>
  <c r="G387" i="6"/>
  <c r="H386" i="6"/>
  <c r="G386" i="6"/>
  <c r="H385" i="6"/>
  <c r="G385" i="6"/>
  <c r="H384" i="6"/>
  <c r="G384" i="6"/>
  <c r="H383" i="6"/>
  <c r="G383" i="6"/>
  <c r="H382" i="6"/>
  <c r="G382" i="6"/>
  <c r="H381" i="6"/>
  <c r="G381" i="6"/>
  <c r="H380" i="6"/>
  <c r="G380" i="6"/>
  <c r="H379" i="6"/>
  <c r="G379" i="6"/>
  <c r="H378" i="6"/>
  <c r="G378" i="6"/>
  <c r="H377" i="6"/>
  <c r="G377" i="6"/>
  <c r="H376" i="6"/>
  <c r="G376" i="6"/>
  <c r="H375" i="6"/>
  <c r="G375" i="6"/>
  <c r="H374" i="6"/>
  <c r="G374" i="6"/>
  <c r="H373" i="6"/>
  <c r="G373" i="6"/>
  <c r="H372" i="6"/>
  <c r="G372" i="6"/>
  <c r="H371" i="6"/>
  <c r="G371" i="6"/>
  <c r="H370" i="6"/>
  <c r="G370" i="6"/>
  <c r="H369" i="6"/>
  <c r="G369" i="6"/>
  <c r="H368" i="6"/>
  <c r="G368" i="6"/>
  <c r="H367" i="6"/>
  <c r="G367" i="6"/>
  <c r="H366" i="6"/>
  <c r="G366" i="6"/>
  <c r="H365" i="6"/>
  <c r="G365" i="6"/>
  <c r="H364" i="6"/>
  <c r="G364" i="6"/>
  <c r="H363" i="6"/>
  <c r="G363" i="6"/>
  <c r="H362" i="6"/>
  <c r="G362" i="6"/>
  <c r="H361" i="6"/>
  <c r="G361" i="6"/>
  <c r="H360" i="6"/>
  <c r="G360" i="6"/>
  <c r="H359" i="6"/>
  <c r="G359" i="6"/>
  <c r="H358" i="6"/>
  <c r="G358" i="6"/>
  <c r="H357" i="6"/>
  <c r="G357" i="6"/>
  <c r="H356" i="6"/>
  <c r="G356" i="6"/>
  <c r="H355" i="6"/>
  <c r="G355" i="6"/>
  <c r="H354" i="6"/>
  <c r="G354" i="6"/>
  <c r="H353" i="6"/>
  <c r="G353" i="6"/>
  <c r="H352" i="6"/>
  <c r="G352" i="6"/>
  <c r="H351" i="6"/>
  <c r="G351" i="6"/>
  <c r="H350" i="6"/>
  <c r="G350" i="6"/>
  <c r="H349" i="6"/>
  <c r="G349" i="6"/>
  <c r="H348" i="6"/>
  <c r="G348" i="6"/>
  <c r="H347" i="6"/>
  <c r="G347" i="6"/>
  <c r="H346" i="6"/>
  <c r="G346" i="6"/>
  <c r="H345" i="6"/>
  <c r="G345" i="6"/>
  <c r="H344" i="6"/>
  <c r="G344" i="6"/>
  <c r="H343" i="6"/>
  <c r="G343" i="6"/>
  <c r="H342" i="6"/>
  <c r="G342" i="6"/>
  <c r="H341" i="6"/>
  <c r="G341" i="6"/>
  <c r="H340" i="6"/>
  <c r="G340" i="6"/>
  <c r="H339" i="6"/>
  <c r="G339" i="6"/>
  <c r="H338" i="6"/>
  <c r="G338" i="6"/>
  <c r="H337" i="6"/>
  <c r="G337" i="6"/>
  <c r="H336" i="6"/>
  <c r="G336" i="6"/>
  <c r="H335" i="6"/>
  <c r="G335" i="6"/>
  <c r="H334" i="6"/>
  <c r="G334" i="6"/>
  <c r="H333" i="6"/>
  <c r="G333" i="6"/>
  <c r="H332" i="6"/>
  <c r="G332" i="6"/>
  <c r="H331" i="6"/>
  <c r="G331" i="6"/>
  <c r="H330" i="6"/>
  <c r="G330" i="6"/>
  <c r="H329" i="6"/>
  <c r="G329" i="6"/>
  <c r="H328" i="6"/>
  <c r="G328" i="6"/>
  <c r="H327" i="6"/>
  <c r="G327" i="6"/>
  <c r="H326" i="6"/>
  <c r="G326" i="6"/>
  <c r="H325" i="6"/>
  <c r="G325" i="6"/>
  <c r="H324" i="6"/>
  <c r="G324" i="6"/>
  <c r="H323" i="6"/>
  <c r="G323" i="6"/>
  <c r="H322" i="6"/>
  <c r="G322" i="6"/>
  <c r="H321" i="6"/>
  <c r="G321" i="6"/>
  <c r="H320" i="6"/>
  <c r="G320" i="6"/>
  <c r="H319" i="6"/>
  <c r="G319" i="6"/>
  <c r="H318" i="6"/>
  <c r="G318" i="6"/>
  <c r="H317" i="6"/>
  <c r="G317" i="6"/>
  <c r="H316" i="6"/>
  <c r="G316" i="6"/>
  <c r="H315" i="6"/>
  <c r="G315" i="6"/>
  <c r="H314" i="6"/>
  <c r="G314" i="6"/>
  <c r="H313" i="6"/>
  <c r="G313" i="6"/>
  <c r="H312" i="6"/>
  <c r="G312" i="6"/>
  <c r="H311" i="6"/>
  <c r="G311" i="6"/>
  <c r="H310" i="6"/>
  <c r="G310" i="6"/>
  <c r="H309" i="6"/>
  <c r="G309" i="6"/>
  <c r="H308" i="6"/>
  <c r="G308" i="6"/>
  <c r="H307" i="6"/>
  <c r="G307" i="6"/>
  <c r="H306" i="6"/>
  <c r="G306" i="6"/>
  <c r="H305" i="6"/>
  <c r="G305" i="6"/>
  <c r="H304" i="6"/>
  <c r="G304" i="6"/>
  <c r="H303" i="6"/>
  <c r="G303" i="6"/>
  <c r="H302" i="6"/>
  <c r="G302" i="6"/>
  <c r="H301" i="6"/>
  <c r="G301" i="6"/>
  <c r="H300" i="6"/>
  <c r="G300" i="6"/>
  <c r="H299" i="6"/>
  <c r="G299" i="6"/>
  <c r="H298" i="6"/>
  <c r="G298" i="6"/>
  <c r="H297" i="6"/>
  <c r="G297" i="6"/>
  <c r="H296" i="6"/>
  <c r="G296" i="6"/>
  <c r="H295" i="6"/>
  <c r="G295" i="6"/>
  <c r="H294" i="6"/>
  <c r="G294" i="6"/>
  <c r="H293" i="6"/>
  <c r="G293" i="6"/>
  <c r="H292" i="6"/>
  <c r="G292" i="6"/>
  <c r="H291" i="6"/>
  <c r="G291" i="6"/>
  <c r="H290" i="6"/>
  <c r="G290" i="6"/>
  <c r="H289" i="6"/>
  <c r="G289" i="6"/>
  <c r="H288" i="6"/>
  <c r="G288" i="6"/>
  <c r="H287" i="6"/>
  <c r="G287" i="6"/>
  <c r="H286" i="6"/>
  <c r="G286" i="6"/>
  <c r="H285" i="6"/>
  <c r="G285" i="6"/>
  <c r="H284" i="6"/>
  <c r="G284" i="6"/>
  <c r="H283" i="6"/>
  <c r="G283" i="6"/>
  <c r="H282" i="6"/>
  <c r="G282" i="6"/>
  <c r="H281" i="6"/>
  <c r="G281" i="6"/>
  <c r="H280" i="6"/>
  <c r="G280" i="6"/>
  <c r="H279" i="6"/>
  <c r="G279" i="6"/>
  <c r="H278" i="6"/>
  <c r="G278" i="6"/>
  <c r="H277" i="6"/>
  <c r="G277" i="6"/>
  <c r="H276" i="6"/>
  <c r="G276" i="6"/>
  <c r="H275" i="6"/>
  <c r="G275" i="6"/>
  <c r="H274" i="6"/>
  <c r="G274" i="6"/>
  <c r="H273" i="6"/>
  <c r="G273" i="6"/>
  <c r="H272" i="6"/>
  <c r="G272" i="6"/>
  <c r="H271" i="6"/>
  <c r="G271" i="6"/>
  <c r="H270" i="6"/>
  <c r="G270" i="6"/>
  <c r="H269" i="6"/>
  <c r="G269" i="6"/>
  <c r="H268" i="6"/>
  <c r="G268" i="6"/>
  <c r="H267" i="6"/>
  <c r="G267" i="6"/>
  <c r="H266" i="6"/>
  <c r="G266" i="6"/>
  <c r="H265" i="6"/>
  <c r="G265" i="6"/>
  <c r="H264" i="6"/>
  <c r="G264" i="6"/>
  <c r="H263" i="6"/>
  <c r="G263" i="6"/>
  <c r="H262" i="6"/>
  <c r="G262" i="6"/>
  <c r="H261" i="6"/>
  <c r="G261" i="6"/>
  <c r="H260" i="6"/>
  <c r="G260" i="6"/>
  <c r="H259" i="6"/>
  <c r="G259" i="6"/>
  <c r="H258" i="6"/>
  <c r="G258" i="6"/>
  <c r="H257" i="6"/>
  <c r="G257" i="6"/>
  <c r="H256" i="6"/>
  <c r="G256" i="6"/>
  <c r="H255" i="6"/>
  <c r="G255" i="6"/>
  <c r="H254" i="6"/>
  <c r="G254" i="6"/>
  <c r="H253" i="6"/>
  <c r="G253" i="6"/>
  <c r="H252" i="6"/>
  <c r="G252" i="6"/>
  <c r="H251" i="6"/>
  <c r="G251" i="6"/>
  <c r="H250" i="6"/>
  <c r="G250" i="6"/>
  <c r="H249" i="6"/>
  <c r="G249" i="6"/>
  <c r="H248" i="6"/>
  <c r="G248" i="6"/>
  <c r="H247" i="6"/>
  <c r="G247" i="6"/>
  <c r="H246" i="6"/>
  <c r="G246" i="6"/>
  <c r="H245" i="6"/>
  <c r="G245" i="6"/>
  <c r="H244" i="6"/>
  <c r="G244" i="6"/>
  <c r="H243" i="6"/>
  <c r="G243" i="6"/>
  <c r="H242" i="6"/>
  <c r="G242" i="6"/>
  <c r="H241" i="6"/>
  <c r="G241" i="6"/>
  <c r="H240" i="6"/>
  <c r="G240" i="6"/>
  <c r="H239" i="6"/>
  <c r="G239" i="6"/>
  <c r="H238" i="6"/>
  <c r="G238" i="6"/>
  <c r="H237" i="6"/>
  <c r="G237" i="6"/>
  <c r="H236" i="6"/>
  <c r="G236" i="6"/>
  <c r="H235" i="6"/>
  <c r="G235" i="6"/>
  <c r="H234" i="6"/>
  <c r="G234" i="6"/>
  <c r="H233" i="6"/>
  <c r="G233" i="6"/>
  <c r="H232" i="6"/>
  <c r="G232" i="6"/>
  <c r="H231" i="6"/>
  <c r="G231" i="6"/>
  <c r="H230" i="6"/>
  <c r="G230" i="6"/>
  <c r="H229" i="6"/>
  <c r="G229" i="6"/>
  <c r="H228" i="6"/>
  <c r="G228" i="6"/>
  <c r="H227" i="6"/>
  <c r="G227" i="6"/>
  <c r="H226" i="6"/>
  <c r="G226" i="6"/>
  <c r="H225" i="6"/>
  <c r="G225" i="6"/>
  <c r="H224" i="6"/>
  <c r="G224" i="6"/>
  <c r="H223" i="6"/>
  <c r="G223" i="6"/>
  <c r="H222" i="6"/>
  <c r="G222" i="6"/>
  <c r="H221" i="6"/>
  <c r="G221" i="6"/>
  <c r="H220" i="6"/>
  <c r="G220" i="6"/>
  <c r="H219" i="6"/>
  <c r="G219" i="6"/>
  <c r="H218" i="6"/>
  <c r="G218" i="6"/>
  <c r="H217" i="6"/>
  <c r="G217" i="6"/>
  <c r="H216" i="6"/>
  <c r="G216" i="6"/>
  <c r="H215" i="6"/>
  <c r="G215" i="6"/>
  <c r="H214" i="6"/>
  <c r="G214" i="6"/>
  <c r="H213" i="6"/>
  <c r="G213" i="6"/>
  <c r="H212" i="6"/>
  <c r="G212" i="6"/>
  <c r="H211" i="6"/>
  <c r="G211" i="6"/>
  <c r="H210" i="6"/>
  <c r="G210" i="6"/>
  <c r="H209" i="6"/>
  <c r="G209" i="6"/>
  <c r="H208" i="6"/>
  <c r="G208" i="6"/>
  <c r="H207" i="6"/>
  <c r="G207" i="6"/>
  <c r="H206" i="6"/>
  <c r="G206" i="6"/>
  <c r="H205" i="6"/>
  <c r="G205" i="6"/>
  <c r="H204" i="6"/>
  <c r="G204" i="6"/>
  <c r="H203" i="6"/>
  <c r="G203" i="6"/>
  <c r="H202" i="6"/>
  <c r="G202" i="6"/>
  <c r="H201" i="6"/>
  <c r="G201" i="6"/>
  <c r="H200" i="6"/>
  <c r="G200" i="6"/>
  <c r="H199" i="6"/>
  <c r="G199" i="6"/>
  <c r="H198" i="6"/>
  <c r="G198" i="6"/>
  <c r="H197" i="6"/>
  <c r="G197" i="6"/>
  <c r="H196" i="6"/>
  <c r="G196" i="6"/>
  <c r="H195" i="6"/>
  <c r="G195" i="6"/>
  <c r="H194" i="6"/>
  <c r="G194" i="6"/>
  <c r="H193" i="6"/>
  <c r="G193" i="6"/>
  <c r="H192" i="6"/>
  <c r="G192" i="6"/>
  <c r="H191" i="6"/>
  <c r="G191" i="6"/>
  <c r="H190" i="6"/>
  <c r="G190" i="6"/>
  <c r="H189" i="6"/>
  <c r="G189" i="6"/>
  <c r="H188" i="6"/>
  <c r="G188" i="6"/>
  <c r="H187" i="6"/>
  <c r="G187" i="6"/>
  <c r="H186" i="6"/>
  <c r="G186" i="6"/>
  <c r="H185" i="6"/>
  <c r="G185" i="6"/>
  <c r="H184" i="6"/>
  <c r="G184" i="6"/>
  <c r="H183" i="6"/>
  <c r="G183" i="6"/>
  <c r="H182" i="6"/>
  <c r="G182" i="6"/>
  <c r="H181" i="6"/>
  <c r="G181" i="6"/>
  <c r="H180" i="6"/>
  <c r="G180" i="6"/>
  <c r="H179" i="6"/>
  <c r="G179" i="6"/>
  <c r="H178" i="6"/>
  <c r="G178" i="6"/>
  <c r="H177" i="6"/>
  <c r="G177" i="6"/>
  <c r="H176" i="6"/>
  <c r="G176" i="6"/>
  <c r="H175" i="6"/>
  <c r="G175" i="6"/>
  <c r="H174" i="6"/>
  <c r="G174" i="6"/>
  <c r="H173" i="6"/>
  <c r="G173" i="6"/>
  <c r="H172" i="6"/>
  <c r="G172" i="6"/>
  <c r="H171" i="6"/>
  <c r="G171" i="6"/>
  <c r="H170" i="6"/>
  <c r="G170" i="6"/>
  <c r="H169" i="6"/>
  <c r="G169" i="6"/>
  <c r="H168" i="6"/>
  <c r="G168" i="6"/>
  <c r="H167" i="6"/>
  <c r="G167" i="6"/>
  <c r="H166" i="6"/>
  <c r="G166" i="6"/>
  <c r="H165" i="6"/>
  <c r="G165" i="6"/>
  <c r="H164" i="6"/>
  <c r="G164" i="6"/>
  <c r="H163" i="6"/>
  <c r="G163" i="6"/>
  <c r="H162" i="6"/>
  <c r="G162" i="6"/>
  <c r="H161" i="6"/>
  <c r="G161" i="6"/>
  <c r="H160" i="6"/>
  <c r="G160" i="6"/>
  <c r="H159" i="6"/>
  <c r="G159" i="6"/>
  <c r="H158" i="6"/>
  <c r="G158" i="6"/>
  <c r="H157" i="6"/>
  <c r="G157" i="6"/>
  <c r="H156" i="6"/>
  <c r="G156" i="6"/>
  <c r="H155" i="6"/>
  <c r="G155" i="6"/>
  <c r="H154" i="6"/>
  <c r="G154" i="6"/>
  <c r="H153" i="6"/>
  <c r="G153" i="6"/>
  <c r="H152" i="6"/>
  <c r="G152" i="6"/>
  <c r="H151" i="6"/>
  <c r="G151" i="6"/>
  <c r="H150" i="6"/>
  <c r="G150" i="6"/>
  <c r="H149" i="6"/>
  <c r="G149" i="6"/>
  <c r="H148" i="6"/>
  <c r="G148" i="6"/>
  <c r="H147" i="6"/>
  <c r="G147" i="6"/>
  <c r="H146" i="6"/>
  <c r="G146" i="6"/>
  <c r="H145" i="6"/>
  <c r="G145" i="6"/>
  <c r="H144" i="6"/>
  <c r="G144" i="6"/>
  <c r="H143" i="6"/>
  <c r="G143" i="6"/>
  <c r="H142" i="6"/>
  <c r="G142" i="6"/>
  <c r="H141" i="6"/>
  <c r="G141" i="6"/>
  <c r="H140" i="6"/>
  <c r="G140" i="6"/>
  <c r="H139" i="6"/>
  <c r="G139" i="6"/>
  <c r="H138" i="6"/>
  <c r="G138" i="6"/>
  <c r="H137" i="6"/>
  <c r="G137" i="6"/>
  <c r="H136" i="6"/>
  <c r="G136" i="6"/>
  <c r="H135" i="6"/>
  <c r="G135" i="6"/>
  <c r="H134" i="6"/>
  <c r="G134" i="6"/>
  <c r="H133" i="6"/>
  <c r="G133" i="6"/>
  <c r="H132" i="6"/>
  <c r="G132" i="6"/>
  <c r="H131" i="6"/>
  <c r="G131" i="6"/>
  <c r="H130" i="6"/>
  <c r="G130" i="6"/>
  <c r="H129" i="6"/>
  <c r="G129" i="6"/>
  <c r="H128" i="6"/>
  <c r="G128" i="6"/>
  <c r="H127" i="6"/>
  <c r="G127" i="6"/>
  <c r="H126" i="6"/>
  <c r="G126" i="6"/>
  <c r="H125" i="6"/>
  <c r="G125" i="6"/>
  <c r="H124" i="6"/>
  <c r="G124" i="6"/>
  <c r="H123" i="6"/>
  <c r="G123" i="6"/>
  <c r="H122" i="6"/>
  <c r="G122" i="6"/>
  <c r="H121" i="6"/>
  <c r="G121" i="6"/>
  <c r="H120" i="6"/>
  <c r="G120" i="6"/>
  <c r="H119" i="6"/>
  <c r="G119" i="6"/>
  <c r="H118" i="6"/>
  <c r="G118" i="6"/>
  <c r="H117" i="6"/>
  <c r="G117" i="6"/>
  <c r="H116" i="6"/>
  <c r="G116" i="6"/>
  <c r="H115" i="6"/>
  <c r="G115" i="6"/>
  <c r="H114" i="6"/>
  <c r="G114" i="6"/>
  <c r="H113" i="6"/>
  <c r="G113" i="6"/>
  <c r="H112" i="6"/>
  <c r="G112" i="6"/>
  <c r="H111" i="6"/>
  <c r="G111" i="6"/>
  <c r="H110" i="6"/>
  <c r="G110" i="6"/>
  <c r="H109" i="6"/>
  <c r="G109" i="6"/>
  <c r="H108" i="6"/>
  <c r="G108" i="6"/>
  <c r="H107" i="6"/>
  <c r="G107" i="6"/>
  <c r="H106" i="6"/>
  <c r="G106" i="6"/>
  <c r="H105" i="6"/>
  <c r="G105" i="6"/>
  <c r="H104" i="6"/>
  <c r="G104" i="6"/>
  <c r="H103" i="6"/>
  <c r="G103" i="6"/>
  <c r="H102" i="6"/>
  <c r="G102" i="6"/>
  <c r="H101" i="6"/>
  <c r="G101" i="6"/>
  <c r="H100" i="6"/>
  <c r="G100" i="6"/>
  <c r="H99" i="6"/>
  <c r="G99" i="6"/>
  <c r="H98" i="6"/>
  <c r="G98" i="6"/>
  <c r="H97" i="6"/>
  <c r="G97" i="6"/>
  <c r="H96" i="6"/>
  <c r="G96" i="6"/>
  <c r="H95" i="6"/>
  <c r="G95" i="6"/>
  <c r="H94" i="6"/>
  <c r="G94" i="6"/>
  <c r="H93" i="6"/>
  <c r="G93" i="6"/>
  <c r="H92" i="6"/>
  <c r="G92" i="6"/>
  <c r="H91" i="6"/>
  <c r="G91" i="6"/>
  <c r="H90" i="6"/>
  <c r="G90" i="6"/>
  <c r="H89" i="6"/>
  <c r="G89" i="6"/>
  <c r="H88" i="6"/>
  <c r="G88" i="6"/>
  <c r="H87" i="6"/>
  <c r="G87" i="6"/>
  <c r="H86" i="6"/>
  <c r="G86" i="6"/>
  <c r="H85" i="6"/>
  <c r="G85" i="6"/>
  <c r="H84" i="6"/>
  <c r="G84" i="6"/>
  <c r="H83" i="6"/>
  <c r="G83" i="6"/>
  <c r="H82" i="6"/>
  <c r="G82" i="6"/>
  <c r="H81" i="6"/>
  <c r="G81" i="6"/>
  <c r="H80" i="6"/>
  <c r="G80" i="6"/>
  <c r="H79" i="6"/>
  <c r="G79" i="6"/>
  <c r="H78" i="6"/>
  <c r="G78" i="6"/>
  <c r="H77" i="6"/>
  <c r="G77" i="6"/>
  <c r="H76" i="6"/>
  <c r="G76" i="6"/>
  <c r="H75" i="6"/>
  <c r="G75" i="6"/>
  <c r="H74" i="6"/>
  <c r="G74" i="6"/>
  <c r="H73" i="6"/>
  <c r="G73" i="6"/>
  <c r="H72" i="6"/>
  <c r="G72" i="6"/>
  <c r="H71" i="6"/>
  <c r="G71" i="6"/>
  <c r="H70" i="6"/>
  <c r="G70" i="6"/>
  <c r="H69" i="6"/>
  <c r="G69" i="6"/>
  <c r="H68" i="6"/>
  <c r="G68" i="6"/>
  <c r="H67" i="6"/>
  <c r="G67" i="6"/>
  <c r="H66" i="6"/>
  <c r="G66" i="6"/>
  <c r="H65" i="6"/>
  <c r="G65" i="6"/>
  <c r="H64" i="6"/>
  <c r="G64" i="6"/>
  <c r="H63" i="6"/>
  <c r="G63" i="6"/>
  <c r="H62" i="6"/>
  <c r="G62" i="6"/>
  <c r="H61" i="6"/>
  <c r="G61" i="6"/>
  <c r="H60" i="6"/>
  <c r="G60" i="6"/>
  <c r="H59" i="6"/>
  <c r="G59" i="6"/>
  <c r="H58" i="6"/>
  <c r="G58" i="6"/>
  <c r="H57" i="6"/>
  <c r="G57" i="6"/>
  <c r="H56" i="6"/>
  <c r="G56" i="6"/>
  <c r="H55" i="6"/>
  <c r="G55" i="6"/>
  <c r="H54" i="6"/>
  <c r="G54" i="6"/>
  <c r="H53" i="6"/>
  <c r="G53" i="6"/>
  <c r="H52" i="6"/>
  <c r="G52" i="6"/>
  <c r="H51" i="6"/>
  <c r="G51" i="6"/>
  <c r="H50" i="6"/>
  <c r="G50" i="6"/>
  <c r="H49" i="6"/>
  <c r="G49" i="6"/>
  <c r="H48" i="6"/>
  <c r="G48" i="6"/>
  <c r="H47" i="6"/>
  <c r="G47" i="6"/>
  <c r="H46" i="6"/>
  <c r="G46" i="6"/>
  <c r="H45" i="6"/>
  <c r="G45" i="6"/>
  <c r="H44" i="6"/>
  <c r="G44" i="6"/>
  <c r="H43" i="6"/>
  <c r="G43" i="6"/>
  <c r="H42" i="6"/>
  <c r="G42" i="6"/>
  <c r="H41" i="6"/>
  <c r="G41" i="6"/>
  <c r="H40" i="6"/>
  <c r="G40" i="6"/>
  <c r="H39" i="6"/>
  <c r="G39" i="6"/>
  <c r="H38" i="6"/>
  <c r="G38" i="6"/>
  <c r="H37" i="6"/>
  <c r="G37" i="6"/>
  <c r="H36" i="6"/>
  <c r="G36" i="6"/>
  <c r="AW3" i="13" s="1" a="1"/>
  <c r="AW3" i="13" s="1"/>
  <c r="H35" i="6"/>
  <c r="G35" i="6"/>
  <c r="H34" i="6"/>
  <c r="G34" i="6"/>
  <c r="H33" i="6"/>
  <c r="G33" i="6"/>
  <c r="H32" i="6"/>
  <c r="G32" i="6"/>
  <c r="H31" i="6"/>
  <c r="G31" i="6"/>
  <c r="H30" i="6"/>
  <c r="G30" i="6"/>
  <c r="H29" i="6"/>
  <c r="G29" i="6"/>
  <c r="H28" i="6"/>
  <c r="G28" i="6"/>
  <c r="H27" i="6"/>
  <c r="G27" i="6"/>
  <c r="H26" i="6"/>
  <c r="G26" i="6"/>
  <c r="H25" i="6"/>
  <c r="G25" i="6"/>
  <c r="H24" i="6"/>
  <c r="G24" i="6"/>
  <c r="H23" i="6"/>
  <c r="G23" i="6"/>
  <c r="H22" i="6"/>
  <c r="G22" i="6"/>
  <c r="H21" i="6"/>
  <c r="G21" i="6"/>
  <c r="H20" i="6"/>
  <c r="G20" i="6"/>
  <c r="H19" i="6"/>
  <c r="G19" i="6"/>
  <c r="H18" i="6"/>
  <c r="G18" i="6"/>
  <c r="H17" i="6"/>
  <c r="G17" i="6"/>
  <c r="H16" i="6"/>
  <c r="G16" i="6"/>
  <c r="H15" i="6"/>
  <c r="G15" i="6"/>
  <c r="H14" i="6"/>
  <c r="G14" i="6"/>
  <c r="H13" i="6"/>
  <c r="G13" i="6"/>
  <c r="H12" i="6"/>
  <c r="G12" i="6"/>
  <c r="H11" i="6"/>
  <c r="G11" i="6"/>
  <c r="H10" i="6"/>
  <c r="G10" i="6"/>
  <c r="H9" i="6"/>
  <c r="G9" i="6"/>
  <c r="H8" i="6"/>
  <c r="G8" i="6"/>
  <c r="H7" i="6"/>
  <c r="G7" i="6"/>
  <c r="H6" i="6"/>
  <c r="G6" i="6"/>
  <c r="H5" i="6"/>
  <c r="G5" i="6"/>
  <c r="H4" i="6"/>
  <c r="G4" i="6"/>
  <c r="H3" i="6"/>
  <c r="G3" i="6"/>
  <c r="H672" i="11"/>
  <c r="G672" i="11"/>
  <c r="H671" i="11"/>
  <c r="G671" i="11"/>
  <c r="H670" i="11"/>
  <c r="G670" i="11"/>
  <c r="H669" i="11"/>
  <c r="G669" i="11"/>
  <c r="H668" i="11"/>
  <c r="G668" i="11"/>
  <c r="H667" i="11"/>
  <c r="G667" i="11"/>
  <c r="H666" i="11"/>
  <c r="G666" i="11"/>
  <c r="H665" i="11"/>
  <c r="G665" i="11"/>
  <c r="H664" i="11"/>
  <c r="G664" i="11"/>
  <c r="H663" i="11"/>
  <c r="G663" i="11"/>
  <c r="H662" i="11"/>
  <c r="G662" i="11"/>
  <c r="H661" i="11"/>
  <c r="G661" i="11"/>
  <c r="H660" i="11"/>
  <c r="G660" i="11"/>
  <c r="H659" i="11"/>
  <c r="G659" i="11"/>
  <c r="H658" i="11"/>
  <c r="G658" i="11"/>
  <c r="H657" i="11"/>
  <c r="G657" i="11"/>
  <c r="H656" i="11"/>
  <c r="G656" i="11"/>
  <c r="H655" i="11"/>
  <c r="G655" i="11"/>
  <c r="H654" i="11"/>
  <c r="G654" i="11"/>
  <c r="H653" i="11"/>
  <c r="G653" i="11"/>
  <c r="H652" i="11"/>
  <c r="G652" i="11"/>
  <c r="H651" i="11"/>
  <c r="G651" i="11"/>
  <c r="H650" i="11"/>
  <c r="G650" i="11"/>
  <c r="H649" i="11"/>
  <c r="G649" i="11"/>
  <c r="H648" i="11"/>
  <c r="G648" i="11"/>
  <c r="H647" i="11"/>
  <c r="G647" i="11"/>
  <c r="H646" i="11"/>
  <c r="G646" i="11"/>
  <c r="H645" i="11"/>
  <c r="G645" i="11"/>
  <c r="H644" i="11"/>
  <c r="G644" i="11"/>
  <c r="H643" i="11"/>
  <c r="G643" i="11"/>
  <c r="H642" i="11"/>
  <c r="G642" i="11"/>
  <c r="H641" i="11"/>
  <c r="G641" i="11"/>
  <c r="H640" i="11"/>
  <c r="G640" i="11"/>
  <c r="H639" i="11"/>
  <c r="G639" i="11"/>
  <c r="H638" i="11"/>
  <c r="G638" i="11"/>
  <c r="H637" i="11"/>
  <c r="G637" i="11"/>
  <c r="H636" i="11"/>
  <c r="G636" i="11"/>
  <c r="H635" i="11"/>
  <c r="G635" i="11"/>
  <c r="H634" i="11"/>
  <c r="G634" i="11"/>
  <c r="H633" i="11"/>
  <c r="G633" i="11"/>
  <c r="H632" i="11"/>
  <c r="G632" i="11"/>
  <c r="H631" i="11"/>
  <c r="G631" i="11"/>
  <c r="H630" i="11"/>
  <c r="G630" i="11"/>
  <c r="H629" i="11"/>
  <c r="G629" i="11"/>
  <c r="H628" i="11"/>
  <c r="G628" i="11"/>
  <c r="H627" i="11"/>
  <c r="G627" i="11"/>
  <c r="H626" i="11"/>
  <c r="G626" i="11"/>
  <c r="H625" i="11"/>
  <c r="G625" i="11"/>
  <c r="H624" i="11"/>
  <c r="G624" i="11"/>
  <c r="H623" i="11"/>
  <c r="G623" i="11"/>
  <c r="H622" i="11"/>
  <c r="G622" i="11"/>
  <c r="H621" i="11"/>
  <c r="G621" i="11"/>
  <c r="H620" i="11"/>
  <c r="G620" i="11"/>
  <c r="H619" i="11"/>
  <c r="G619" i="11"/>
  <c r="H618" i="11"/>
  <c r="G618" i="11"/>
  <c r="H617" i="11"/>
  <c r="G617" i="11"/>
  <c r="H616" i="11"/>
  <c r="G616" i="11"/>
  <c r="H615" i="11"/>
  <c r="G615" i="11"/>
  <c r="H614" i="11"/>
  <c r="G614" i="11"/>
  <c r="H613" i="11"/>
  <c r="G613" i="11"/>
  <c r="H612" i="11"/>
  <c r="G612" i="11"/>
  <c r="H611" i="11"/>
  <c r="G611" i="11"/>
  <c r="H610" i="11"/>
  <c r="G610" i="11"/>
  <c r="H609" i="11"/>
  <c r="G609" i="11"/>
  <c r="H608" i="11"/>
  <c r="G608" i="11"/>
  <c r="H607" i="11"/>
  <c r="G607" i="11"/>
  <c r="H606" i="11"/>
  <c r="G606" i="11"/>
  <c r="H605" i="11"/>
  <c r="G605" i="11"/>
  <c r="H604" i="11"/>
  <c r="G604" i="11"/>
  <c r="H603" i="11"/>
  <c r="G603" i="11"/>
  <c r="H602" i="11"/>
  <c r="G602" i="11"/>
  <c r="H601" i="11"/>
  <c r="G601" i="11"/>
  <c r="H600" i="11"/>
  <c r="G600" i="11"/>
  <c r="H599" i="11"/>
  <c r="G599" i="11"/>
  <c r="H598" i="11"/>
  <c r="G598" i="11"/>
  <c r="H597" i="11"/>
  <c r="G597" i="11"/>
  <c r="H596" i="11"/>
  <c r="G596" i="11"/>
  <c r="H595" i="11"/>
  <c r="G595" i="11"/>
  <c r="H594" i="11"/>
  <c r="G594" i="11"/>
  <c r="H593" i="11"/>
  <c r="G593" i="11"/>
  <c r="H592" i="11"/>
  <c r="G592" i="11"/>
  <c r="H591" i="11"/>
  <c r="G591" i="11"/>
  <c r="H590" i="11"/>
  <c r="G590" i="11"/>
  <c r="H589" i="11"/>
  <c r="G589" i="11"/>
  <c r="H588" i="11"/>
  <c r="G588" i="11"/>
  <c r="H587" i="11"/>
  <c r="G587" i="11"/>
  <c r="H586" i="11"/>
  <c r="G586" i="11"/>
  <c r="H585" i="11"/>
  <c r="G585" i="11"/>
  <c r="H584" i="11"/>
  <c r="G584" i="11"/>
  <c r="H583" i="11"/>
  <c r="G583" i="11"/>
  <c r="H582" i="11"/>
  <c r="G582" i="11"/>
  <c r="H581" i="11"/>
  <c r="G581" i="11"/>
  <c r="H580" i="11"/>
  <c r="G580" i="11"/>
  <c r="H579" i="11"/>
  <c r="G579" i="11"/>
  <c r="H578" i="11"/>
  <c r="G578" i="11"/>
  <c r="H577" i="11"/>
  <c r="G577" i="11"/>
  <c r="H576" i="11"/>
  <c r="G576" i="11"/>
  <c r="H575" i="11"/>
  <c r="G575" i="11"/>
  <c r="H574" i="11"/>
  <c r="G574" i="11"/>
  <c r="H573" i="11"/>
  <c r="G573" i="11"/>
  <c r="H572" i="11"/>
  <c r="G572" i="11"/>
  <c r="H571" i="11"/>
  <c r="G571" i="11"/>
  <c r="H570" i="11"/>
  <c r="G570" i="11"/>
  <c r="H569" i="11"/>
  <c r="G569" i="11"/>
  <c r="H568" i="11"/>
  <c r="G568" i="11"/>
  <c r="H567" i="11"/>
  <c r="G567" i="11"/>
  <c r="H566" i="11"/>
  <c r="G566" i="11"/>
  <c r="H565" i="11"/>
  <c r="G565" i="11"/>
  <c r="H564" i="11"/>
  <c r="G564" i="11"/>
  <c r="H563" i="11"/>
  <c r="G563" i="11"/>
  <c r="H562" i="11"/>
  <c r="G562" i="11"/>
  <c r="H561" i="11"/>
  <c r="G561" i="11"/>
  <c r="H560" i="11"/>
  <c r="G560" i="11"/>
  <c r="H559" i="11"/>
  <c r="G559" i="11"/>
  <c r="H558" i="11"/>
  <c r="G558" i="11"/>
  <c r="H557" i="11"/>
  <c r="G557" i="11"/>
  <c r="H556" i="11"/>
  <c r="G556" i="11"/>
  <c r="H555" i="11"/>
  <c r="G555" i="11"/>
  <c r="H554" i="11"/>
  <c r="G554" i="11"/>
  <c r="H553" i="11"/>
  <c r="G553" i="11"/>
  <c r="H552" i="11"/>
  <c r="G552" i="11"/>
  <c r="H551" i="11"/>
  <c r="G551" i="11"/>
  <c r="H550" i="11"/>
  <c r="G550" i="11"/>
  <c r="H549" i="11"/>
  <c r="G549" i="11"/>
  <c r="H548" i="11"/>
  <c r="G548" i="11"/>
  <c r="H547" i="11"/>
  <c r="G547" i="11"/>
  <c r="H546" i="11"/>
  <c r="G546" i="11"/>
  <c r="H545" i="11"/>
  <c r="G545" i="11"/>
  <c r="H544" i="11"/>
  <c r="G544" i="11"/>
  <c r="H543" i="11"/>
  <c r="G543" i="11"/>
  <c r="H542" i="11"/>
  <c r="G542" i="11"/>
  <c r="H541" i="11"/>
  <c r="G541" i="11"/>
  <c r="H540" i="11"/>
  <c r="G540" i="11"/>
  <c r="H539" i="11"/>
  <c r="G539" i="11"/>
  <c r="H538" i="11"/>
  <c r="G538" i="11"/>
  <c r="H537" i="11"/>
  <c r="G537" i="11"/>
  <c r="H536" i="11"/>
  <c r="G536" i="11"/>
  <c r="H535" i="11"/>
  <c r="G535" i="11"/>
  <c r="H534" i="11"/>
  <c r="G534" i="11"/>
  <c r="H533" i="11"/>
  <c r="G533" i="11"/>
  <c r="H532" i="11"/>
  <c r="G532" i="11"/>
  <c r="H531" i="11"/>
  <c r="G531" i="11"/>
  <c r="H530" i="11"/>
  <c r="G530" i="11"/>
  <c r="H529" i="11"/>
  <c r="G529" i="11"/>
  <c r="H528" i="11"/>
  <c r="G528" i="11"/>
  <c r="H527" i="11"/>
  <c r="G527" i="11"/>
  <c r="H526" i="11"/>
  <c r="G526" i="11"/>
  <c r="H525" i="11"/>
  <c r="G525" i="11"/>
  <c r="H524" i="11"/>
  <c r="G524" i="11"/>
  <c r="H523" i="11"/>
  <c r="G523" i="11"/>
  <c r="H522" i="11"/>
  <c r="G522" i="11"/>
  <c r="H521" i="11"/>
  <c r="G521" i="11"/>
  <c r="H520" i="11"/>
  <c r="G520" i="11"/>
  <c r="H519" i="11"/>
  <c r="G519" i="11"/>
  <c r="H518" i="11"/>
  <c r="G518" i="11"/>
  <c r="H517" i="11"/>
  <c r="G517" i="11"/>
  <c r="H516" i="11"/>
  <c r="G516" i="11"/>
  <c r="H515" i="11"/>
  <c r="G515" i="11"/>
  <c r="H514" i="11"/>
  <c r="G514" i="11"/>
  <c r="H513" i="11"/>
  <c r="G513" i="11"/>
  <c r="H512" i="11"/>
  <c r="G512" i="11"/>
  <c r="H511" i="11"/>
  <c r="G511" i="11"/>
  <c r="H510" i="11"/>
  <c r="G510" i="11"/>
  <c r="H509" i="11"/>
  <c r="G509" i="11"/>
  <c r="H508" i="11"/>
  <c r="G508" i="11"/>
  <c r="H507" i="11"/>
  <c r="G507" i="11"/>
  <c r="H506" i="11"/>
  <c r="G506" i="11"/>
  <c r="H505" i="11"/>
  <c r="G505" i="11"/>
  <c r="H504" i="11"/>
  <c r="G504" i="11"/>
  <c r="H503" i="11"/>
  <c r="G503" i="11"/>
  <c r="H502" i="11"/>
  <c r="G502" i="11"/>
  <c r="H501" i="11"/>
  <c r="G501" i="11"/>
  <c r="H500" i="11"/>
  <c r="G500" i="11"/>
  <c r="H499" i="11"/>
  <c r="G499" i="11"/>
  <c r="H498" i="11"/>
  <c r="G498" i="11"/>
  <c r="H497" i="11"/>
  <c r="G497" i="11"/>
  <c r="H496" i="11"/>
  <c r="G496" i="11"/>
  <c r="H495" i="11"/>
  <c r="G495" i="11"/>
  <c r="H494" i="11"/>
  <c r="G494" i="11"/>
  <c r="H493" i="11"/>
  <c r="G493" i="11"/>
  <c r="H492" i="11"/>
  <c r="G492" i="11"/>
  <c r="H491" i="11"/>
  <c r="G491" i="11"/>
  <c r="H490" i="11"/>
  <c r="G490" i="11"/>
  <c r="H489" i="11"/>
  <c r="G489" i="11"/>
  <c r="H488" i="11"/>
  <c r="G488" i="11"/>
  <c r="H487" i="11"/>
  <c r="G487" i="11"/>
  <c r="H486" i="11"/>
  <c r="G486" i="11"/>
  <c r="H485" i="11"/>
  <c r="G485" i="11"/>
  <c r="H484" i="11"/>
  <c r="G484" i="11"/>
  <c r="H483" i="11"/>
  <c r="G483" i="11"/>
  <c r="H482" i="11"/>
  <c r="G482" i="11"/>
  <c r="H481" i="11"/>
  <c r="G481" i="11"/>
  <c r="H480" i="11"/>
  <c r="G480" i="11"/>
  <c r="H479" i="11"/>
  <c r="G479" i="11"/>
  <c r="H478" i="11"/>
  <c r="G478" i="11"/>
  <c r="H477" i="11"/>
  <c r="G477" i="11"/>
  <c r="H476" i="11"/>
  <c r="G476" i="11"/>
  <c r="H475" i="11"/>
  <c r="G475" i="11"/>
  <c r="H474" i="11"/>
  <c r="G474" i="11"/>
  <c r="H473" i="11"/>
  <c r="G473" i="11"/>
  <c r="H472" i="11"/>
  <c r="G472" i="11"/>
  <c r="H471" i="11"/>
  <c r="G471" i="11"/>
  <c r="H470" i="11"/>
  <c r="G470" i="11"/>
  <c r="H469" i="11"/>
  <c r="G469" i="11"/>
  <c r="H468" i="11"/>
  <c r="G468" i="11"/>
  <c r="H467" i="11"/>
  <c r="G467" i="11"/>
  <c r="H466" i="11"/>
  <c r="G466" i="11"/>
  <c r="H465" i="11"/>
  <c r="G465" i="11"/>
  <c r="H464" i="11"/>
  <c r="G464" i="11"/>
  <c r="H463" i="11"/>
  <c r="G463" i="11"/>
  <c r="H462" i="11"/>
  <c r="G462" i="11"/>
  <c r="H461" i="11"/>
  <c r="G461" i="11"/>
  <c r="H460" i="11"/>
  <c r="G460" i="11"/>
  <c r="H459" i="11"/>
  <c r="G459" i="11"/>
  <c r="H458" i="11"/>
  <c r="G458" i="11"/>
  <c r="H457" i="11"/>
  <c r="G457" i="11"/>
  <c r="H456" i="11"/>
  <c r="G456" i="11"/>
  <c r="H455" i="11"/>
  <c r="G455" i="11"/>
  <c r="H454" i="11"/>
  <c r="G454" i="11"/>
  <c r="H453" i="11"/>
  <c r="G453" i="11"/>
  <c r="H452" i="11"/>
  <c r="G452" i="11"/>
  <c r="H451" i="11"/>
  <c r="G451" i="11"/>
  <c r="H450" i="11"/>
  <c r="G450" i="11"/>
  <c r="H449" i="11"/>
  <c r="G449" i="11"/>
  <c r="H448" i="11"/>
  <c r="G448" i="11"/>
  <c r="H447" i="11"/>
  <c r="G447" i="11"/>
  <c r="H446" i="11"/>
  <c r="G446" i="11"/>
  <c r="H445" i="11"/>
  <c r="G445" i="11"/>
  <c r="H444" i="11"/>
  <c r="G444" i="11"/>
  <c r="H443" i="11"/>
  <c r="G443" i="11"/>
  <c r="H442" i="11"/>
  <c r="G442" i="11"/>
  <c r="H441" i="11"/>
  <c r="G441" i="11"/>
  <c r="H440" i="11"/>
  <c r="G440" i="11"/>
  <c r="H439" i="11"/>
  <c r="G439" i="11"/>
  <c r="H438" i="11"/>
  <c r="G438" i="11"/>
  <c r="H437" i="11"/>
  <c r="G437" i="11"/>
  <c r="H436" i="11"/>
  <c r="G436" i="11"/>
  <c r="H435" i="11"/>
  <c r="G435" i="11"/>
  <c r="H434" i="11"/>
  <c r="G434" i="11"/>
  <c r="H433" i="11"/>
  <c r="G433" i="11"/>
  <c r="H432" i="11"/>
  <c r="G432" i="11"/>
  <c r="H431" i="11"/>
  <c r="G431" i="11"/>
  <c r="H430" i="11"/>
  <c r="G430" i="11"/>
  <c r="H429" i="11"/>
  <c r="G429" i="11"/>
  <c r="H428" i="11"/>
  <c r="G428" i="11"/>
  <c r="H427" i="11"/>
  <c r="G427" i="11"/>
  <c r="H426" i="11"/>
  <c r="G426" i="11"/>
  <c r="H425" i="11"/>
  <c r="G425" i="11"/>
  <c r="H424" i="11"/>
  <c r="G424" i="11"/>
  <c r="H423" i="11"/>
  <c r="G423" i="11"/>
  <c r="H422" i="11"/>
  <c r="G422" i="11"/>
  <c r="H421" i="11"/>
  <c r="G421" i="11"/>
  <c r="H420" i="11"/>
  <c r="G420" i="11"/>
  <c r="H419" i="11"/>
  <c r="G419" i="11"/>
  <c r="H418" i="11"/>
  <c r="G418" i="11"/>
  <c r="H417" i="11"/>
  <c r="G417" i="11"/>
  <c r="H416" i="11"/>
  <c r="G416" i="11"/>
  <c r="H415" i="11"/>
  <c r="G415" i="11"/>
  <c r="H414" i="11"/>
  <c r="G414" i="11"/>
  <c r="H413" i="11"/>
  <c r="G413" i="11"/>
  <c r="H412" i="11"/>
  <c r="G412" i="11"/>
  <c r="H411" i="11"/>
  <c r="G411" i="11"/>
  <c r="H410" i="11"/>
  <c r="G410" i="11"/>
  <c r="H409" i="11"/>
  <c r="G409" i="11"/>
  <c r="H408" i="11"/>
  <c r="G408" i="11"/>
  <c r="H407" i="11"/>
  <c r="G407" i="11"/>
  <c r="H406" i="11"/>
  <c r="G406" i="11"/>
  <c r="H405" i="11"/>
  <c r="G405" i="11"/>
  <c r="H404" i="11"/>
  <c r="G404" i="11"/>
  <c r="H403" i="11"/>
  <c r="G403" i="11"/>
  <c r="H402" i="11"/>
  <c r="G402" i="11"/>
  <c r="H401" i="11"/>
  <c r="G401" i="11"/>
  <c r="H400" i="11"/>
  <c r="G400" i="11"/>
  <c r="H399" i="11"/>
  <c r="G399" i="11"/>
  <c r="H398" i="11"/>
  <c r="G398" i="11"/>
  <c r="H397" i="11"/>
  <c r="G397" i="11"/>
  <c r="H396" i="11"/>
  <c r="G396" i="11"/>
  <c r="H395" i="11"/>
  <c r="G395" i="11"/>
  <c r="H394" i="11"/>
  <c r="G394" i="11"/>
  <c r="H393" i="11"/>
  <c r="G393" i="11"/>
  <c r="H392" i="11"/>
  <c r="G392" i="11"/>
  <c r="H391" i="11"/>
  <c r="G391" i="11"/>
  <c r="H390" i="11"/>
  <c r="G390" i="11"/>
  <c r="H389" i="11"/>
  <c r="G389" i="11"/>
  <c r="H388" i="11"/>
  <c r="G388" i="11"/>
  <c r="H387" i="11"/>
  <c r="G387" i="11"/>
  <c r="H386" i="11"/>
  <c r="G386" i="11"/>
  <c r="H385" i="11"/>
  <c r="G385" i="11"/>
  <c r="H384" i="11"/>
  <c r="G384" i="11"/>
  <c r="H383" i="11"/>
  <c r="G383" i="11"/>
  <c r="H382" i="11"/>
  <c r="G382" i="11"/>
  <c r="H381" i="11"/>
  <c r="G381" i="11"/>
  <c r="H380" i="11"/>
  <c r="G380" i="11"/>
  <c r="H379" i="11"/>
  <c r="G379" i="11"/>
  <c r="H378" i="11"/>
  <c r="G378" i="11"/>
  <c r="H377" i="11"/>
  <c r="G377" i="11"/>
  <c r="H376" i="11"/>
  <c r="G376" i="11"/>
  <c r="H375" i="11"/>
  <c r="G375" i="11"/>
  <c r="H374" i="11"/>
  <c r="G374" i="11"/>
  <c r="H373" i="11"/>
  <c r="G373" i="11"/>
  <c r="H372" i="11"/>
  <c r="G372" i="11"/>
  <c r="H371" i="11"/>
  <c r="G371" i="11"/>
  <c r="H370" i="11"/>
  <c r="G370" i="11"/>
  <c r="H369" i="11"/>
  <c r="G369" i="11"/>
  <c r="H368" i="11"/>
  <c r="G368" i="11"/>
  <c r="H367" i="11"/>
  <c r="G367" i="11"/>
  <c r="H366" i="11"/>
  <c r="G366" i="11"/>
  <c r="H365" i="11"/>
  <c r="G365" i="11"/>
  <c r="H364" i="11"/>
  <c r="G364" i="11"/>
  <c r="H363" i="11"/>
  <c r="G363" i="11"/>
  <c r="H362" i="11"/>
  <c r="G362" i="11"/>
  <c r="H361" i="11"/>
  <c r="G361" i="11"/>
  <c r="H360" i="11"/>
  <c r="G360" i="11"/>
  <c r="H359" i="11"/>
  <c r="G359" i="11"/>
  <c r="H358" i="11"/>
  <c r="G358" i="11"/>
  <c r="H357" i="11"/>
  <c r="G357" i="11"/>
  <c r="H356" i="11"/>
  <c r="G356" i="11"/>
  <c r="H355" i="11"/>
  <c r="G355" i="11"/>
  <c r="H354" i="11"/>
  <c r="G354" i="11"/>
  <c r="H353" i="11"/>
  <c r="G353" i="11"/>
  <c r="H352" i="11"/>
  <c r="G352" i="11"/>
  <c r="H351" i="11"/>
  <c r="G351" i="11"/>
  <c r="H350" i="11"/>
  <c r="G350" i="11"/>
  <c r="H349" i="11"/>
  <c r="G349" i="11"/>
  <c r="H348" i="11"/>
  <c r="G348" i="11"/>
  <c r="H347" i="11"/>
  <c r="G347" i="11"/>
  <c r="H346" i="11"/>
  <c r="G346" i="11"/>
  <c r="H345" i="11"/>
  <c r="G345" i="11"/>
  <c r="H344" i="11"/>
  <c r="G344" i="11"/>
  <c r="H343" i="11"/>
  <c r="G343" i="11"/>
  <c r="H342" i="11"/>
  <c r="G342" i="11"/>
  <c r="H341" i="11"/>
  <c r="G341" i="11"/>
  <c r="H340" i="11"/>
  <c r="G340" i="11"/>
  <c r="H339" i="11"/>
  <c r="G339" i="11"/>
  <c r="H338" i="11"/>
  <c r="G338" i="11"/>
  <c r="H337" i="11"/>
  <c r="G337" i="11"/>
  <c r="H336" i="11"/>
  <c r="G336" i="11"/>
  <c r="H335" i="11"/>
  <c r="G335" i="11"/>
  <c r="H334" i="11"/>
  <c r="G334" i="11"/>
  <c r="H333" i="11"/>
  <c r="G333" i="11"/>
  <c r="H332" i="11"/>
  <c r="G332" i="11"/>
  <c r="H331" i="11"/>
  <c r="G331" i="11"/>
  <c r="H330" i="11"/>
  <c r="G330" i="11"/>
  <c r="H329" i="11"/>
  <c r="G329" i="11"/>
  <c r="H328" i="11"/>
  <c r="G328" i="11"/>
  <c r="H327" i="11"/>
  <c r="G327" i="11"/>
  <c r="H326" i="11"/>
  <c r="G326" i="11"/>
  <c r="H325" i="11"/>
  <c r="G325" i="11"/>
  <c r="H324" i="11"/>
  <c r="G324" i="11"/>
  <c r="H323" i="11"/>
  <c r="G323" i="11"/>
  <c r="H322" i="11"/>
  <c r="G322" i="11"/>
  <c r="H321" i="11"/>
  <c r="G321" i="11"/>
  <c r="H320" i="11"/>
  <c r="G320" i="11"/>
  <c r="H319" i="11"/>
  <c r="G319" i="11"/>
  <c r="H318" i="11"/>
  <c r="G318" i="11"/>
  <c r="H317" i="11"/>
  <c r="G317" i="11"/>
  <c r="H316" i="11"/>
  <c r="G316" i="11"/>
  <c r="H315" i="11"/>
  <c r="G315" i="11"/>
  <c r="H314" i="11"/>
  <c r="G314" i="11"/>
  <c r="H313" i="11"/>
  <c r="G313" i="11"/>
  <c r="H312" i="11"/>
  <c r="G312" i="11"/>
  <c r="H311" i="11"/>
  <c r="G311" i="11"/>
  <c r="H310" i="11"/>
  <c r="G310" i="11"/>
  <c r="H309" i="11"/>
  <c r="G309" i="11"/>
  <c r="H308" i="11"/>
  <c r="G308" i="11"/>
  <c r="H307" i="11"/>
  <c r="G307" i="11"/>
  <c r="H306" i="11"/>
  <c r="G306" i="11"/>
  <c r="H305" i="11"/>
  <c r="G305" i="11"/>
  <c r="H304" i="11"/>
  <c r="G304" i="11"/>
  <c r="H303" i="11"/>
  <c r="G303" i="11"/>
  <c r="H302" i="11"/>
  <c r="G302" i="11"/>
  <c r="H301" i="11"/>
  <c r="G301" i="11"/>
  <c r="H300" i="11"/>
  <c r="G300" i="11"/>
  <c r="H299" i="11"/>
  <c r="G299" i="11"/>
  <c r="H298" i="11"/>
  <c r="G298" i="11"/>
  <c r="H297" i="11"/>
  <c r="G297" i="11"/>
  <c r="H296" i="11"/>
  <c r="G296" i="11"/>
  <c r="H295" i="11"/>
  <c r="G295" i="11"/>
  <c r="H294" i="11"/>
  <c r="G294" i="11"/>
  <c r="H293" i="11"/>
  <c r="G293" i="11"/>
  <c r="H292" i="11"/>
  <c r="G292" i="11"/>
  <c r="H291" i="11"/>
  <c r="G291" i="11"/>
  <c r="H290" i="11"/>
  <c r="G290" i="11"/>
  <c r="H289" i="11"/>
  <c r="G289" i="11"/>
  <c r="H288" i="11"/>
  <c r="G288" i="11"/>
  <c r="H287" i="11"/>
  <c r="G287" i="11"/>
  <c r="H286" i="11"/>
  <c r="G286" i="11"/>
  <c r="H285" i="11"/>
  <c r="G285" i="11"/>
  <c r="H284" i="11"/>
  <c r="G284" i="11"/>
  <c r="H283" i="11"/>
  <c r="G283" i="11"/>
  <c r="H282" i="11"/>
  <c r="G282" i="11"/>
  <c r="H281" i="11"/>
  <c r="G281" i="11"/>
  <c r="H280" i="11"/>
  <c r="G280" i="11"/>
  <c r="H279" i="11"/>
  <c r="G279" i="11"/>
  <c r="H278" i="11"/>
  <c r="G278" i="11"/>
  <c r="H277" i="11"/>
  <c r="G277" i="11"/>
  <c r="H276" i="11"/>
  <c r="G276" i="11"/>
  <c r="H275" i="11"/>
  <c r="G275" i="11"/>
  <c r="H274" i="11"/>
  <c r="G274" i="11"/>
  <c r="H273" i="11"/>
  <c r="G273" i="11"/>
  <c r="H272" i="11"/>
  <c r="G272" i="11"/>
  <c r="H271" i="11"/>
  <c r="G271" i="11"/>
  <c r="H270" i="11"/>
  <c r="G270" i="11"/>
  <c r="H269" i="11"/>
  <c r="G269" i="11"/>
  <c r="H268" i="11"/>
  <c r="G268" i="11"/>
  <c r="H267" i="11"/>
  <c r="G267" i="11"/>
  <c r="H266" i="11"/>
  <c r="G266" i="11"/>
  <c r="H265" i="11"/>
  <c r="G265" i="11"/>
  <c r="H264" i="11"/>
  <c r="G264" i="11"/>
  <c r="H263" i="11"/>
  <c r="G263" i="11"/>
  <c r="H262" i="11"/>
  <c r="G262" i="11"/>
  <c r="H261" i="11"/>
  <c r="G261" i="11"/>
  <c r="H260" i="11"/>
  <c r="G260" i="11"/>
  <c r="H259" i="11"/>
  <c r="G259" i="11"/>
  <c r="H258" i="11"/>
  <c r="G258" i="11"/>
  <c r="H257" i="11"/>
  <c r="G257" i="11"/>
  <c r="H256" i="11"/>
  <c r="G256" i="11"/>
  <c r="H255" i="11"/>
  <c r="G255" i="11"/>
  <c r="H254" i="11"/>
  <c r="G254" i="11"/>
  <c r="H253" i="11"/>
  <c r="G253" i="11"/>
  <c r="H252" i="11"/>
  <c r="G252" i="11"/>
  <c r="H251" i="11"/>
  <c r="G251" i="11"/>
  <c r="H250" i="11"/>
  <c r="G250" i="11"/>
  <c r="H249" i="11"/>
  <c r="G249" i="11"/>
  <c r="H248" i="11"/>
  <c r="G248" i="11"/>
  <c r="H247" i="11"/>
  <c r="G247" i="11"/>
  <c r="H246" i="11"/>
  <c r="G246" i="11"/>
  <c r="H245" i="11"/>
  <c r="G245" i="11"/>
  <c r="H244" i="11"/>
  <c r="G244" i="11"/>
  <c r="H243" i="11"/>
  <c r="G243" i="11"/>
  <c r="H242" i="11"/>
  <c r="G242" i="11"/>
  <c r="H241" i="11"/>
  <c r="G241" i="11"/>
  <c r="H240" i="11"/>
  <c r="G240" i="11"/>
  <c r="H239" i="11"/>
  <c r="G239" i="11"/>
  <c r="H238" i="11"/>
  <c r="G238" i="11"/>
  <c r="H237" i="11"/>
  <c r="G237" i="11"/>
  <c r="H236" i="11"/>
  <c r="G236" i="11"/>
  <c r="H235" i="11"/>
  <c r="G235" i="11"/>
  <c r="H234" i="11"/>
  <c r="G234" i="11"/>
  <c r="H233" i="11"/>
  <c r="G233" i="11"/>
  <c r="H232" i="11"/>
  <c r="G232" i="11"/>
  <c r="H231" i="11"/>
  <c r="G231" i="11"/>
  <c r="H230" i="11"/>
  <c r="G230" i="11"/>
  <c r="H229" i="11"/>
  <c r="G229" i="11"/>
  <c r="H228" i="11"/>
  <c r="G228" i="11"/>
  <c r="H227" i="11"/>
  <c r="G227" i="11"/>
  <c r="H226" i="11"/>
  <c r="G226" i="11"/>
  <c r="H225" i="11"/>
  <c r="G225" i="11"/>
  <c r="H224" i="11"/>
  <c r="G224" i="11"/>
  <c r="H223" i="11"/>
  <c r="G223" i="11"/>
  <c r="H222" i="11"/>
  <c r="G222" i="11"/>
  <c r="H221" i="11"/>
  <c r="G221" i="11"/>
  <c r="H220" i="11"/>
  <c r="G220" i="11"/>
  <c r="H219" i="11"/>
  <c r="G219" i="11"/>
  <c r="H218" i="11"/>
  <c r="G218" i="11"/>
  <c r="H217" i="11"/>
  <c r="G217" i="11"/>
  <c r="H216" i="11"/>
  <c r="G216" i="11"/>
  <c r="H215" i="11"/>
  <c r="G215" i="11"/>
  <c r="H214" i="11"/>
  <c r="G214" i="11"/>
  <c r="H213" i="11"/>
  <c r="G213" i="11"/>
  <c r="H212" i="11"/>
  <c r="G212" i="11"/>
  <c r="H211" i="11"/>
  <c r="G211" i="11"/>
  <c r="H210" i="11"/>
  <c r="G210" i="11"/>
  <c r="H209" i="11"/>
  <c r="G209" i="11"/>
  <c r="H208" i="11"/>
  <c r="G208" i="11"/>
  <c r="H207" i="11"/>
  <c r="G207" i="11"/>
  <c r="H206" i="11"/>
  <c r="G206" i="11"/>
  <c r="H205" i="11"/>
  <c r="G205" i="11"/>
  <c r="H204" i="11"/>
  <c r="G204" i="11"/>
  <c r="H203" i="11"/>
  <c r="G203" i="11"/>
  <c r="H202" i="11"/>
  <c r="G202" i="11"/>
  <c r="H201" i="11"/>
  <c r="G201" i="11"/>
  <c r="H200" i="11"/>
  <c r="G200" i="11"/>
  <c r="H199" i="11"/>
  <c r="G199" i="11"/>
  <c r="H198" i="11"/>
  <c r="G198" i="11"/>
  <c r="H197" i="11"/>
  <c r="G197" i="11"/>
  <c r="H196" i="11"/>
  <c r="G196" i="11"/>
  <c r="H195" i="11"/>
  <c r="G195" i="11"/>
  <c r="H194" i="11"/>
  <c r="G194" i="11"/>
  <c r="H193" i="11"/>
  <c r="G193" i="11"/>
  <c r="H192" i="11"/>
  <c r="G192" i="11"/>
  <c r="H191" i="11"/>
  <c r="G191" i="11"/>
  <c r="H190" i="11"/>
  <c r="G190" i="11"/>
  <c r="H189" i="11"/>
  <c r="G189" i="11"/>
  <c r="H188" i="11"/>
  <c r="G188" i="11"/>
  <c r="H187" i="11"/>
  <c r="G187" i="11"/>
  <c r="H186" i="11"/>
  <c r="G186" i="11"/>
  <c r="H185" i="11"/>
  <c r="G185" i="11"/>
  <c r="H184" i="11"/>
  <c r="G184" i="11"/>
  <c r="H183" i="11"/>
  <c r="G183" i="11"/>
  <c r="H182" i="11"/>
  <c r="G182" i="11"/>
  <c r="H181" i="11"/>
  <c r="G181" i="11"/>
  <c r="H180" i="11"/>
  <c r="G180" i="11"/>
  <c r="H179" i="11"/>
  <c r="G179" i="11"/>
  <c r="H178" i="11"/>
  <c r="G178" i="11"/>
  <c r="H177" i="11"/>
  <c r="G177" i="11"/>
  <c r="H176" i="11"/>
  <c r="G176" i="11"/>
  <c r="H175" i="11"/>
  <c r="G175" i="11"/>
  <c r="H174" i="11"/>
  <c r="G174" i="11"/>
  <c r="H173" i="11"/>
  <c r="G173" i="11"/>
  <c r="H172" i="11"/>
  <c r="G172" i="11"/>
  <c r="H171" i="11"/>
  <c r="G171" i="11"/>
  <c r="H170" i="11"/>
  <c r="G170" i="11"/>
  <c r="H169" i="11"/>
  <c r="G169" i="11"/>
  <c r="H168" i="11"/>
  <c r="G168" i="11"/>
  <c r="H167" i="11"/>
  <c r="G167" i="11"/>
  <c r="H166" i="11"/>
  <c r="G166" i="11"/>
  <c r="H165" i="11"/>
  <c r="G165" i="11"/>
  <c r="H164" i="11"/>
  <c r="G164" i="11"/>
  <c r="H163" i="11"/>
  <c r="G163" i="11"/>
  <c r="H162" i="11"/>
  <c r="G162" i="11"/>
  <c r="H161" i="11"/>
  <c r="G161" i="11"/>
  <c r="H160" i="11"/>
  <c r="G160" i="11"/>
  <c r="H159" i="11"/>
  <c r="G159" i="11"/>
  <c r="H158" i="11"/>
  <c r="G158" i="11"/>
  <c r="H157" i="11"/>
  <c r="G157" i="11"/>
  <c r="H156" i="11"/>
  <c r="G156" i="11"/>
  <c r="H155" i="11"/>
  <c r="G155" i="11"/>
  <c r="H154" i="11"/>
  <c r="G154" i="11"/>
  <c r="H153" i="11"/>
  <c r="G153" i="11"/>
  <c r="H152" i="11"/>
  <c r="G152" i="11"/>
  <c r="H151" i="11"/>
  <c r="G151" i="11"/>
  <c r="H150" i="11"/>
  <c r="G150" i="11"/>
  <c r="H149" i="11"/>
  <c r="G149" i="11"/>
  <c r="H148" i="11"/>
  <c r="G148" i="11"/>
  <c r="H147" i="11"/>
  <c r="G147" i="11"/>
  <c r="H146" i="11"/>
  <c r="G146" i="11"/>
  <c r="H145" i="11"/>
  <c r="G145" i="11"/>
  <c r="H144" i="11"/>
  <c r="G144" i="11"/>
  <c r="H143" i="11"/>
  <c r="G143" i="11"/>
  <c r="H142" i="11"/>
  <c r="G142" i="11"/>
  <c r="H141" i="11"/>
  <c r="G141" i="11"/>
  <c r="H140" i="11"/>
  <c r="G140" i="11"/>
  <c r="H139" i="11"/>
  <c r="G139" i="11"/>
  <c r="H138" i="11"/>
  <c r="G138" i="11"/>
  <c r="H137" i="11"/>
  <c r="G137" i="11"/>
  <c r="H136" i="11"/>
  <c r="G136" i="11"/>
  <c r="H135" i="11"/>
  <c r="G135" i="11"/>
  <c r="H134" i="11"/>
  <c r="G134" i="11"/>
  <c r="H133" i="11"/>
  <c r="G133" i="11"/>
  <c r="H132" i="11"/>
  <c r="G132" i="11"/>
  <c r="H131" i="11"/>
  <c r="G131" i="11"/>
  <c r="H130" i="11"/>
  <c r="G130" i="11"/>
  <c r="H129" i="11"/>
  <c r="G129" i="11"/>
  <c r="H128" i="11"/>
  <c r="G128" i="11"/>
  <c r="H127" i="11"/>
  <c r="G127" i="11"/>
  <c r="H126" i="11"/>
  <c r="G126" i="11"/>
  <c r="H125" i="11"/>
  <c r="G125" i="11"/>
  <c r="H124" i="11"/>
  <c r="G124" i="11"/>
  <c r="H123" i="11"/>
  <c r="G123" i="11"/>
  <c r="H122" i="11"/>
  <c r="G122" i="11"/>
  <c r="H121" i="11"/>
  <c r="G121" i="11"/>
  <c r="H120" i="11"/>
  <c r="G120" i="11"/>
  <c r="H119" i="11"/>
  <c r="G119" i="11"/>
  <c r="H118" i="11"/>
  <c r="G118" i="11"/>
  <c r="H117" i="11"/>
  <c r="G117" i="11"/>
  <c r="H116" i="11"/>
  <c r="G116" i="11"/>
  <c r="H115" i="11"/>
  <c r="G115" i="11"/>
  <c r="H114" i="11"/>
  <c r="G114" i="11"/>
  <c r="H113" i="11"/>
  <c r="G113" i="11"/>
  <c r="H112" i="11"/>
  <c r="G112" i="11"/>
  <c r="H111" i="11"/>
  <c r="G111" i="11"/>
  <c r="H110" i="11"/>
  <c r="G110" i="11"/>
  <c r="H109" i="11"/>
  <c r="G109" i="11"/>
  <c r="H108" i="11"/>
  <c r="G108" i="11"/>
  <c r="H107" i="11"/>
  <c r="G107" i="11"/>
  <c r="H106" i="11"/>
  <c r="G106" i="11"/>
  <c r="H105" i="11"/>
  <c r="G105" i="11"/>
  <c r="H104" i="11"/>
  <c r="G104" i="11"/>
  <c r="H103" i="11"/>
  <c r="G103" i="11"/>
  <c r="H102" i="11"/>
  <c r="G102" i="11"/>
  <c r="H101" i="11"/>
  <c r="G101" i="11"/>
  <c r="H100" i="11"/>
  <c r="G100" i="11"/>
  <c r="H99" i="11"/>
  <c r="G99" i="11"/>
  <c r="H98" i="11"/>
  <c r="G98" i="11"/>
  <c r="H97" i="11"/>
  <c r="G97" i="11"/>
  <c r="H96" i="11"/>
  <c r="G96" i="11"/>
  <c r="H95" i="11"/>
  <c r="G95" i="11"/>
  <c r="H94" i="11"/>
  <c r="G94" i="11"/>
  <c r="H93" i="11"/>
  <c r="G93" i="11"/>
  <c r="H92" i="11"/>
  <c r="G92" i="11"/>
  <c r="H91" i="11"/>
  <c r="G91" i="11"/>
  <c r="H90" i="11"/>
  <c r="G90" i="11"/>
  <c r="H89" i="11"/>
  <c r="G89" i="11"/>
  <c r="H88" i="11"/>
  <c r="G88" i="11"/>
  <c r="H87" i="11"/>
  <c r="G87" i="11"/>
  <c r="H86" i="11"/>
  <c r="G86" i="11"/>
  <c r="H85" i="11"/>
  <c r="G85" i="11"/>
  <c r="H84" i="11"/>
  <c r="G84" i="11"/>
  <c r="H83" i="11"/>
  <c r="G83" i="11"/>
  <c r="H82" i="11"/>
  <c r="G82" i="11"/>
  <c r="H81" i="11"/>
  <c r="G81" i="11"/>
  <c r="H80" i="11"/>
  <c r="G80" i="11"/>
  <c r="H79" i="11"/>
  <c r="G79" i="11"/>
  <c r="H78" i="11"/>
  <c r="G78" i="11"/>
  <c r="H77" i="11"/>
  <c r="G77" i="11"/>
  <c r="H76" i="11"/>
  <c r="G76" i="11"/>
  <c r="H75" i="11"/>
  <c r="G75" i="11"/>
  <c r="H74" i="11"/>
  <c r="G74" i="11"/>
  <c r="H73" i="11"/>
  <c r="G73" i="11"/>
  <c r="H72" i="11"/>
  <c r="G72" i="11"/>
  <c r="H71" i="11"/>
  <c r="G71" i="11"/>
  <c r="H70" i="11"/>
  <c r="G70" i="11"/>
  <c r="H69" i="11"/>
  <c r="G69" i="11"/>
  <c r="H68" i="11"/>
  <c r="G68" i="11"/>
  <c r="H67" i="11"/>
  <c r="G67" i="11"/>
  <c r="H66" i="11"/>
  <c r="G66" i="11"/>
  <c r="H65" i="11"/>
  <c r="G65" i="11"/>
  <c r="H64" i="11"/>
  <c r="G64" i="11"/>
  <c r="H63" i="11"/>
  <c r="G63" i="11"/>
  <c r="H62" i="11"/>
  <c r="G62" i="11"/>
  <c r="H61" i="11"/>
  <c r="G61" i="11"/>
  <c r="H60" i="11"/>
  <c r="G60" i="11"/>
  <c r="H59" i="11"/>
  <c r="G59" i="11"/>
  <c r="H58" i="11"/>
  <c r="G58" i="11"/>
  <c r="H57" i="11"/>
  <c r="G57" i="11"/>
  <c r="H56" i="11"/>
  <c r="G56" i="11"/>
  <c r="H55" i="11"/>
  <c r="G55" i="11"/>
  <c r="H54" i="11"/>
  <c r="G54" i="11"/>
  <c r="H53" i="11"/>
  <c r="G53" i="11"/>
  <c r="H52" i="11"/>
  <c r="G52" i="11"/>
  <c r="H51" i="11"/>
  <c r="G51" i="11"/>
  <c r="H50" i="11"/>
  <c r="G50" i="11"/>
  <c r="H49" i="11"/>
  <c r="G49" i="11"/>
  <c r="H48" i="11"/>
  <c r="G48" i="11"/>
  <c r="H47" i="11"/>
  <c r="G47" i="11"/>
  <c r="H46" i="11"/>
  <c r="G46" i="11"/>
  <c r="H45" i="11"/>
  <c r="G45" i="11"/>
  <c r="H44" i="11"/>
  <c r="G44" i="11"/>
  <c r="H43" i="11"/>
  <c r="G43" i="11"/>
  <c r="H42" i="11"/>
  <c r="G42" i="11"/>
  <c r="H41" i="11"/>
  <c r="G41" i="11"/>
  <c r="H40" i="11"/>
  <c r="G40" i="11"/>
  <c r="H39" i="11"/>
  <c r="G39" i="11"/>
  <c r="H38" i="11"/>
  <c r="G38" i="11"/>
  <c r="H37" i="11"/>
  <c r="G37" i="11"/>
  <c r="H36" i="11"/>
  <c r="G36" i="11"/>
  <c r="H35" i="11"/>
  <c r="G35" i="11"/>
  <c r="H34" i="11"/>
  <c r="G34" i="11"/>
  <c r="H33" i="11"/>
  <c r="G33" i="11"/>
  <c r="H32" i="11"/>
  <c r="G32" i="11"/>
  <c r="H31" i="11"/>
  <c r="G31" i="11"/>
  <c r="H30" i="11"/>
  <c r="G30" i="11"/>
  <c r="H29" i="11"/>
  <c r="G29" i="11"/>
  <c r="H28" i="11"/>
  <c r="G28" i="11"/>
  <c r="H27" i="11"/>
  <c r="G27" i="11"/>
  <c r="H26" i="11"/>
  <c r="G26" i="11"/>
  <c r="H25" i="11"/>
  <c r="G25" i="11"/>
  <c r="H24" i="11"/>
  <c r="G24" i="11"/>
  <c r="H23" i="11"/>
  <c r="G23" i="11"/>
  <c r="H22" i="11"/>
  <c r="G22" i="11"/>
  <c r="H21" i="11"/>
  <c r="G21" i="11"/>
  <c r="H20" i="11"/>
  <c r="G20" i="11"/>
  <c r="H19" i="11"/>
  <c r="G19" i="11"/>
  <c r="H18" i="11"/>
  <c r="G18" i="11"/>
  <c r="H17" i="11"/>
  <c r="G17" i="11"/>
  <c r="H16" i="11"/>
  <c r="G16" i="11"/>
  <c r="H15" i="11"/>
  <c r="G15" i="11"/>
  <c r="H14" i="11"/>
  <c r="G14" i="11"/>
  <c r="H13" i="11"/>
  <c r="G13" i="11"/>
  <c r="H12" i="11"/>
  <c r="G12" i="11"/>
  <c r="H11" i="11"/>
  <c r="G11" i="11"/>
  <c r="H10" i="11"/>
  <c r="G10" i="11"/>
  <c r="H9" i="11"/>
  <c r="G9" i="11"/>
  <c r="H8" i="11"/>
  <c r="G8" i="11"/>
  <c r="H7" i="11"/>
  <c r="G7" i="11"/>
  <c r="H6" i="11"/>
  <c r="G6" i="11"/>
  <c r="H5" i="11"/>
  <c r="G5" i="11"/>
  <c r="H4" i="11"/>
  <c r="G4" i="11"/>
  <c r="H3" i="11"/>
  <c r="G3" i="11"/>
  <c r="H2" i="11"/>
  <c r="G2" i="11"/>
  <c r="H672" i="10"/>
  <c r="G672" i="10"/>
  <c r="H671" i="10"/>
  <c r="G671" i="10"/>
  <c r="H670" i="10"/>
  <c r="G670" i="10"/>
  <c r="H669" i="10"/>
  <c r="G669" i="10"/>
  <c r="H668" i="10"/>
  <c r="G668" i="10"/>
  <c r="H667" i="10"/>
  <c r="G667" i="10"/>
  <c r="H666" i="10"/>
  <c r="G666" i="10"/>
  <c r="H665" i="10"/>
  <c r="G665" i="10"/>
  <c r="H664" i="10"/>
  <c r="G664" i="10"/>
  <c r="H663" i="10"/>
  <c r="G663" i="10"/>
  <c r="H662" i="10"/>
  <c r="G662" i="10"/>
  <c r="H661" i="10"/>
  <c r="G661" i="10"/>
  <c r="H660" i="10"/>
  <c r="G660" i="10"/>
  <c r="H659" i="10"/>
  <c r="G659" i="10"/>
  <c r="H658" i="10"/>
  <c r="G658" i="10"/>
  <c r="H657" i="10"/>
  <c r="G657" i="10"/>
  <c r="H656" i="10"/>
  <c r="G656" i="10"/>
  <c r="H655" i="10"/>
  <c r="G655" i="10"/>
  <c r="H654" i="10"/>
  <c r="G654" i="10"/>
  <c r="H653" i="10"/>
  <c r="G653" i="10"/>
  <c r="H652" i="10"/>
  <c r="G652" i="10"/>
  <c r="H651" i="10"/>
  <c r="G651" i="10"/>
  <c r="H650" i="10"/>
  <c r="G650" i="10"/>
  <c r="H649" i="10"/>
  <c r="G649" i="10"/>
  <c r="H648" i="10"/>
  <c r="G648" i="10"/>
  <c r="H647" i="10"/>
  <c r="G647" i="10"/>
  <c r="H646" i="10"/>
  <c r="G646" i="10"/>
  <c r="H645" i="10"/>
  <c r="G645" i="10"/>
  <c r="H644" i="10"/>
  <c r="G644" i="10"/>
  <c r="H643" i="10"/>
  <c r="G643" i="10"/>
  <c r="H642" i="10"/>
  <c r="G642" i="10"/>
  <c r="H641" i="10"/>
  <c r="G641" i="10"/>
  <c r="H640" i="10"/>
  <c r="G640" i="10"/>
  <c r="H639" i="10"/>
  <c r="G639" i="10"/>
  <c r="H638" i="10"/>
  <c r="G638" i="10"/>
  <c r="H637" i="10"/>
  <c r="G637" i="10"/>
  <c r="H636" i="10"/>
  <c r="G636" i="10"/>
  <c r="H635" i="10"/>
  <c r="G635" i="10"/>
  <c r="H634" i="10"/>
  <c r="G634" i="10"/>
  <c r="H633" i="10"/>
  <c r="G633" i="10"/>
  <c r="H632" i="10"/>
  <c r="G632" i="10"/>
  <c r="H631" i="10"/>
  <c r="G631" i="10"/>
  <c r="H630" i="10"/>
  <c r="G630" i="10"/>
  <c r="H629" i="10"/>
  <c r="G629" i="10"/>
  <c r="H628" i="10"/>
  <c r="G628" i="10"/>
  <c r="H627" i="10"/>
  <c r="G627" i="10"/>
  <c r="H626" i="10"/>
  <c r="G626" i="10"/>
  <c r="H625" i="10"/>
  <c r="G625" i="10"/>
  <c r="H624" i="10"/>
  <c r="G624" i="10"/>
  <c r="H623" i="10"/>
  <c r="G623" i="10"/>
  <c r="H622" i="10"/>
  <c r="G622" i="10"/>
  <c r="H621" i="10"/>
  <c r="G621" i="10"/>
  <c r="H620" i="10"/>
  <c r="G620" i="10"/>
  <c r="H619" i="10"/>
  <c r="G619" i="10"/>
  <c r="H618" i="10"/>
  <c r="G618" i="10"/>
  <c r="H617" i="10"/>
  <c r="G617" i="10"/>
  <c r="H616" i="10"/>
  <c r="G616" i="10"/>
  <c r="H615" i="10"/>
  <c r="G615" i="10"/>
  <c r="H614" i="10"/>
  <c r="G614" i="10"/>
  <c r="H613" i="10"/>
  <c r="G613" i="10"/>
  <c r="H612" i="10"/>
  <c r="G612" i="10"/>
  <c r="H611" i="10"/>
  <c r="G611" i="10"/>
  <c r="H610" i="10"/>
  <c r="G610" i="10"/>
  <c r="H609" i="10"/>
  <c r="G609" i="10"/>
  <c r="H608" i="10"/>
  <c r="G608" i="10"/>
  <c r="H607" i="10"/>
  <c r="G607" i="10"/>
  <c r="H606" i="10"/>
  <c r="G606" i="10"/>
  <c r="H605" i="10"/>
  <c r="G605" i="10"/>
  <c r="H604" i="10"/>
  <c r="G604" i="10"/>
  <c r="H603" i="10"/>
  <c r="G603" i="10"/>
  <c r="H602" i="10"/>
  <c r="G602" i="10"/>
  <c r="H601" i="10"/>
  <c r="G601" i="10"/>
  <c r="H600" i="10"/>
  <c r="G600" i="10"/>
  <c r="H599" i="10"/>
  <c r="G599" i="10"/>
  <c r="H598" i="10"/>
  <c r="G598" i="10"/>
  <c r="H597" i="10"/>
  <c r="G597" i="10"/>
  <c r="H596" i="10"/>
  <c r="G596" i="10"/>
  <c r="H595" i="10"/>
  <c r="G595" i="10"/>
  <c r="H594" i="10"/>
  <c r="G594" i="10"/>
  <c r="H593" i="10"/>
  <c r="G593" i="10"/>
  <c r="H592" i="10"/>
  <c r="G592" i="10"/>
  <c r="H591" i="10"/>
  <c r="G591" i="10"/>
  <c r="H590" i="10"/>
  <c r="G590" i="10"/>
  <c r="H589" i="10"/>
  <c r="G589" i="10"/>
  <c r="H588" i="10"/>
  <c r="G588" i="10"/>
  <c r="H587" i="10"/>
  <c r="G587" i="10"/>
  <c r="H586" i="10"/>
  <c r="G586" i="10"/>
  <c r="H585" i="10"/>
  <c r="G585" i="10"/>
  <c r="H584" i="10"/>
  <c r="G584" i="10"/>
  <c r="H583" i="10"/>
  <c r="G583" i="10"/>
  <c r="H582" i="10"/>
  <c r="G582" i="10"/>
  <c r="H581" i="10"/>
  <c r="G581" i="10"/>
  <c r="H580" i="10"/>
  <c r="G580" i="10"/>
  <c r="H579" i="10"/>
  <c r="G579" i="10"/>
  <c r="H578" i="10"/>
  <c r="G578" i="10"/>
  <c r="H577" i="10"/>
  <c r="G577" i="10"/>
  <c r="H576" i="10"/>
  <c r="G576" i="10"/>
  <c r="H575" i="10"/>
  <c r="G575" i="10"/>
  <c r="H574" i="10"/>
  <c r="G574" i="10"/>
  <c r="H573" i="10"/>
  <c r="G573" i="10"/>
  <c r="H572" i="10"/>
  <c r="G572" i="10"/>
  <c r="H571" i="10"/>
  <c r="G571" i="10"/>
  <c r="H570" i="10"/>
  <c r="G570" i="10"/>
  <c r="H569" i="10"/>
  <c r="G569" i="10"/>
  <c r="H568" i="10"/>
  <c r="G568" i="10"/>
  <c r="H567" i="10"/>
  <c r="G567" i="10"/>
  <c r="H566" i="10"/>
  <c r="G566" i="10"/>
  <c r="H565" i="10"/>
  <c r="G565" i="10"/>
  <c r="H564" i="10"/>
  <c r="G564" i="10"/>
  <c r="H563" i="10"/>
  <c r="G563" i="10"/>
  <c r="H562" i="10"/>
  <c r="G562" i="10"/>
  <c r="H561" i="10"/>
  <c r="G561" i="10"/>
  <c r="H560" i="10"/>
  <c r="G560" i="10"/>
  <c r="H559" i="10"/>
  <c r="G559" i="10"/>
  <c r="H558" i="10"/>
  <c r="G558" i="10"/>
  <c r="H557" i="10"/>
  <c r="G557" i="10"/>
  <c r="H556" i="10"/>
  <c r="G556" i="10"/>
  <c r="H555" i="10"/>
  <c r="G555" i="10"/>
  <c r="H554" i="10"/>
  <c r="G554" i="10"/>
  <c r="H553" i="10"/>
  <c r="G553" i="10"/>
  <c r="H552" i="10"/>
  <c r="G552" i="10"/>
  <c r="H551" i="10"/>
  <c r="G551" i="10"/>
  <c r="H550" i="10"/>
  <c r="G550" i="10"/>
  <c r="H549" i="10"/>
  <c r="G549" i="10"/>
  <c r="H548" i="10"/>
  <c r="G548" i="10"/>
  <c r="H547" i="10"/>
  <c r="G547" i="10"/>
  <c r="H546" i="10"/>
  <c r="G546" i="10"/>
  <c r="H545" i="10"/>
  <c r="G545" i="10"/>
  <c r="H544" i="10"/>
  <c r="G544" i="10"/>
  <c r="H543" i="10"/>
  <c r="G543" i="10"/>
  <c r="H542" i="10"/>
  <c r="G542" i="10"/>
  <c r="H541" i="10"/>
  <c r="G541" i="10"/>
  <c r="H540" i="10"/>
  <c r="G540" i="10"/>
  <c r="H539" i="10"/>
  <c r="G539" i="10"/>
  <c r="H538" i="10"/>
  <c r="G538" i="10"/>
  <c r="H537" i="10"/>
  <c r="G537" i="10"/>
  <c r="H536" i="10"/>
  <c r="G536" i="10"/>
  <c r="H535" i="10"/>
  <c r="G535" i="10"/>
  <c r="H534" i="10"/>
  <c r="G534" i="10"/>
  <c r="H533" i="10"/>
  <c r="G533" i="10"/>
  <c r="H532" i="10"/>
  <c r="G532" i="10"/>
  <c r="H531" i="10"/>
  <c r="G531" i="10"/>
  <c r="H530" i="10"/>
  <c r="G530" i="10"/>
  <c r="H529" i="10"/>
  <c r="G529" i="10"/>
  <c r="H528" i="10"/>
  <c r="G528" i="10"/>
  <c r="H527" i="10"/>
  <c r="G527" i="10"/>
  <c r="H526" i="10"/>
  <c r="G526" i="10"/>
  <c r="H525" i="10"/>
  <c r="G525" i="10"/>
  <c r="H524" i="10"/>
  <c r="G524" i="10"/>
  <c r="H523" i="10"/>
  <c r="G523" i="10"/>
  <c r="H522" i="10"/>
  <c r="G522" i="10"/>
  <c r="H521" i="10"/>
  <c r="G521" i="10"/>
  <c r="H520" i="10"/>
  <c r="G520" i="10"/>
  <c r="H519" i="10"/>
  <c r="G519" i="10"/>
  <c r="H518" i="10"/>
  <c r="G518" i="10"/>
  <c r="H517" i="10"/>
  <c r="G517" i="10"/>
  <c r="H516" i="10"/>
  <c r="G516" i="10"/>
  <c r="H515" i="10"/>
  <c r="G515" i="10"/>
  <c r="H514" i="10"/>
  <c r="G514" i="10"/>
  <c r="H513" i="10"/>
  <c r="G513" i="10"/>
  <c r="H512" i="10"/>
  <c r="G512" i="10"/>
  <c r="H511" i="10"/>
  <c r="G511" i="10"/>
  <c r="H510" i="10"/>
  <c r="G510" i="10"/>
  <c r="H509" i="10"/>
  <c r="G509" i="10"/>
  <c r="H508" i="10"/>
  <c r="G508" i="10"/>
  <c r="H507" i="10"/>
  <c r="G507" i="10"/>
  <c r="H506" i="10"/>
  <c r="G506" i="10"/>
  <c r="H505" i="10"/>
  <c r="G505" i="10"/>
  <c r="H504" i="10"/>
  <c r="G504" i="10"/>
  <c r="H503" i="10"/>
  <c r="G503" i="10"/>
  <c r="H502" i="10"/>
  <c r="G502" i="10"/>
  <c r="H501" i="10"/>
  <c r="G501" i="10"/>
  <c r="H500" i="10"/>
  <c r="G500" i="10"/>
  <c r="H499" i="10"/>
  <c r="G499" i="10"/>
  <c r="H498" i="10"/>
  <c r="G498" i="10"/>
  <c r="H497" i="10"/>
  <c r="G497" i="10"/>
  <c r="H496" i="10"/>
  <c r="G496" i="10"/>
  <c r="H495" i="10"/>
  <c r="G495" i="10"/>
  <c r="H494" i="10"/>
  <c r="G494" i="10"/>
  <c r="H493" i="10"/>
  <c r="G493" i="10"/>
  <c r="H492" i="10"/>
  <c r="G492" i="10"/>
  <c r="H491" i="10"/>
  <c r="G491" i="10"/>
  <c r="H490" i="10"/>
  <c r="G490" i="10"/>
  <c r="H489" i="10"/>
  <c r="G489" i="10"/>
  <c r="H488" i="10"/>
  <c r="G488" i="10"/>
  <c r="H487" i="10"/>
  <c r="G487" i="10"/>
  <c r="H486" i="10"/>
  <c r="G486" i="10"/>
  <c r="H485" i="10"/>
  <c r="G485" i="10"/>
  <c r="H484" i="10"/>
  <c r="G484" i="10"/>
  <c r="H483" i="10"/>
  <c r="G483" i="10"/>
  <c r="H482" i="10"/>
  <c r="G482" i="10"/>
  <c r="H481" i="10"/>
  <c r="G481" i="10"/>
  <c r="H480" i="10"/>
  <c r="G480" i="10"/>
  <c r="H479" i="10"/>
  <c r="G479" i="10"/>
  <c r="H478" i="10"/>
  <c r="G478" i="10"/>
  <c r="H477" i="10"/>
  <c r="G477" i="10"/>
  <c r="H476" i="10"/>
  <c r="G476" i="10"/>
  <c r="H475" i="10"/>
  <c r="G475" i="10"/>
  <c r="H474" i="10"/>
  <c r="G474" i="10"/>
  <c r="H473" i="10"/>
  <c r="G473" i="10"/>
  <c r="H472" i="10"/>
  <c r="G472" i="10"/>
  <c r="H471" i="10"/>
  <c r="G471" i="10"/>
  <c r="H470" i="10"/>
  <c r="G470" i="10"/>
  <c r="H469" i="10"/>
  <c r="G469" i="10"/>
  <c r="H468" i="10"/>
  <c r="G468" i="10"/>
  <c r="H467" i="10"/>
  <c r="G467" i="10"/>
  <c r="H466" i="10"/>
  <c r="G466" i="10"/>
  <c r="H465" i="10"/>
  <c r="G465" i="10"/>
  <c r="H464" i="10"/>
  <c r="G464" i="10"/>
  <c r="H463" i="10"/>
  <c r="G463" i="10"/>
  <c r="H462" i="10"/>
  <c r="G462" i="10"/>
  <c r="H461" i="10"/>
  <c r="G461" i="10"/>
  <c r="H460" i="10"/>
  <c r="G460" i="10"/>
  <c r="H459" i="10"/>
  <c r="G459" i="10"/>
  <c r="H458" i="10"/>
  <c r="G458" i="10"/>
  <c r="H457" i="10"/>
  <c r="G457" i="10"/>
  <c r="H456" i="10"/>
  <c r="G456" i="10"/>
  <c r="H455" i="10"/>
  <c r="G455" i="10"/>
  <c r="H454" i="10"/>
  <c r="G454" i="10"/>
  <c r="H453" i="10"/>
  <c r="G453" i="10"/>
  <c r="H452" i="10"/>
  <c r="G452" i="10"/>
  <c r="H451" i="10"/>
  <c r="G451" i="10"/>
  <c r="H450" i="10"/>
  <c r="G450" i="10"/>
  <c r="H449" i="10"/>
  <c r="G449" i="10"/>
  <c r="H448" i="10"/>
  <c r="G448" i="10"/>
  <c r="H447" i="10"/>
  <c r="G447" i="10"/>
  <c r="H446" i="10"/>
  <c r="G446" i="10"/>
  <c r="H445" i="10"/>
  <c r="G445" i="10"/>
  <c r="H444" i="10"/>
  <c r="G444" i="10"/>
  <c r="H443" i="10"/>
  <c r="G443" i="10"/>
  <c r="H442" i="10"/>
  <c r="G442" i="10"/>
  <c r="H441" i="10"/>
  <c r="G441" i="10"/>
  <c r="H440" i="10"/>
  <c r="G440" i="10"/>
  <c r="H439" i="10"/>
  <c r="G439" i="10"/>
  <c r="H438" i="10"/>
  <c r="G438" i="10"/>
  <c r="H437" i="10"/>
  <c r="G437" i="10"/>
  <c r="H436" i="10"/>
  <c r="G436" i="10"/>
  <c r="H435" i="10"/>
  <c r="G435" i="10"/>
  <c r="H434" i="10"/>
  <c r="G434" i="10"/>
  <c r="H433" i="10"/>
  <c r="G433" i="10"/>
  <c r="H432" i="10"/>
  <c r="G432" i="10"/>
  <c r="H431" i="10"/>
  <c r="G431" i="10"/>
  <c r="H430" i="10"/>
  <c r="G430" i="10"/>
  <c r="H429" i="10"/>
  <c r="G429" i="10"/>
  <c r="H428" i="10"/>
  <c r="G428" i="10"/>
  <c r="H427" i="10"/>
  <c r="G427" i="10"/>
  <c r="H426" i="10"/>
  <c r="G426" i="10"/>
  <c r="H425" i="10"/>
  <c r="G425" i="10"/>
  <c r="H424" i="10"/>
  <c r="G424" i="10"/>
  <c r="H423" i="10"/>
  <c r="G423" i="10"/>
  <c r="H422" i="10"/>
  <c r="G422" i="10"/>
  <c r="H421" i="10"/>
  <c r="G421" i="10"/>
  <c r="H420" i="10"/>
  <c r="G420" i="10"/>
  <c r="H419" i="10"/>
  <c r="G419" i="10"/>
  <c r="H418" i="10"/>
  <c r="G418" i="10"/>
  <c r="H417" i="10"/>
  <c r="G417" i="10"/>
  <c r="H416" i="10"/>
  <c r="G416" i="10"/>
  <c r="H415" i="10"/>
  <c r="G415" i="10"/>
  <c r="H414" i="10"/>
  <c r="G414" i="10"/>
  <c r="H413" i="10"/>
  <c r="G413" i="10"/>
  <c r="H412" i="10"/>
  <c r="G412" i="10"/>
  <c r="H411" i="10"/>
  <c r="G411" i="10"/>
  <c r="H410" i="10"/>
  <c r="G410" i="10"/>
  <c r="H409" i="10"/>
  <c r="G409" i="10"/>
  <c r="H408" i="10"/>
  <c r="G408" i="10"/>
  <c r="H407" i="10"/>
  <c r="G407" i="10"/>
  <c r="H406" i="10"/>
  <c r="G406" i="10"/>
  <c r="H405" i="10"/>
  <c r="G405" i="10"/>
  <c r="H404" i="10"/>
  <c r="G404" i="10"/>
  <c r="H403" i="10"/>
  <c r="G403" i="10"/>
  <c r="H402" i="10"/>
  <c r="G402" i="10"/>
  <c r="H401" i="10"/>
  <c r="G401" i="10"/>
  <c r="H400" i="10"/>
  <c r="G400" i="10"/>
  <c r="H399" i="10"/>
  <c r="G399" i="10"/>
  <c r="H398" i="10"/>
  <c r="G398" i="10"/>
  <c r="H397" i="10"/>
  <c r="G397" i="10"/>
  <c r="H396" i="10"/>
  <c r="G396" i="10"/>
  <c r="H395" i="10"/>
  <c r="G395" i="10"/>
  <c r="H394" i="10"/>
  <c r="G394" i="10"/>
  <c r="H393" i="10"/>
  <c r="G393" i="10"/>
  <c r="H392" i="10"/>
  <c r="G392" i="10"/>
  <c r="H391" i="10"/>
  <c r="G391" i="10"/>
  <c r="H390" i="10"/>
  <c r="G390" i="10"/>
  <c r="H389" i="10"/>
  <c r="G389" i="10"/>
  <c r="H388" i="10"/>
  <c r="G388" i="10"/>
  <c r="H387" i="10"/>
  <c r="G387" i="10"/>
  <c r="H386" i="10"/>
  <c r="G386" i="10"/>
  <c r="H385" i="10"/>
  <c r="G385" i="10"/>
  <c r="H384" i="10"/>
  <c r="G384" i="10"/>
  <c r="H383" i="10"/>
  <c r="G383" i="10"/>
  <c r="H382" i="10"/>
  <c r="G382" i="10"/>
  <c r="H381" i="10"/>
  <c r="G381" i="10"/>
  <c r="H380" i="10"/>
  <c r="G380" i="10"/>
  <c r="H379" i="10"/>
  <c r="G379" i="10"/>
  <c r="H378" i="10"/>
  <c r="G378" i="10"/>
  <c r="H377" i="10"/>
  <c r="G377" i="10"/>
  <c r="H376" i="10"/>
  <c r="G376" i="10"/>
  <c r="H375" i="10"/>
  <c r="G375" i="10"/>
  <c r="H374" i="10"/>
  <c r="G374" i="10"/>
  <c r="H373" i="10"/>
  <c r="G373" i="10"/>
  <c r="H372" i="10"/>
  <c r="G372" i="10"/>
  <c r="H371" i="10"/>
  <c r="G371" i="10"/>
  <c r="H370" i="10"/>
  <c r="G370" i="10"/>
  <c r="H369" i="10"/>
  <c r="G369" i="10"/>
  <c r="H368" i="10"/>
  <c r="G368" i="10"/>
  <c r="H367" i="10"/>
  <c r="G367" i="10"/>
  <c r="H366" i="10"/>
  <c r="G366" i="10"/>
  <c r="H365" i="10"/>
  <c r="G365" i="10"/>
  <c r="H364" i="10"/>
  <c r="G364" i="10"/>
  <c r="H363" i="10"/>
  <c r="G363" i="10"/>
  <c r="H362" i="10"/>
  <c r="G362" i="10"/>
  <c r="H361" i="10"/>
  <c r="G361" i="10"/>
  <c r="H360" i="10"/>
  <c r="G360" i="10"/>
  <c r="H359" i="10"/>
  <c r="G359" i="10"/>
  <c r="H358" i="10"/>
  <c r="G358" i="10"/>
  <c r="H357" i="10"/>
  <c r="G357" i="10"/>
  <c r="H356" i="10"/>
  <c r="G356" i="10"/>
  <c r="H355" i="10"/>
  <c r="G355" i="10"/>
  <c r="H354" i="10"/>
  <c r="G354" i="10"/>
  <c r="H353" i="10"/>
  <c r="G353" i="10"/>
  <c r="H352" i="10"/>
  <c r="G352" i="10"/>
  <c r="H351" i="10"/>
  <c r="G351" i="10"/>
  <c r="H350" i="10"/>
  <c r="G350" i="10"/>
  <c r="H349" i="10"/>
  <c r="G349" i="10"/>
  <c r="H348" i="10"/>
  <c r="G348" i="10"/>
  <c r="H347" i="10"/>
  <c r="G347" i="10"/>
  <c r="H346" i="10"/>
  <c r="G346" i="10"/>
  <c r="H345" i="10"/>
  <c r="G345" i="10"/>
  <c r="H344" i="10"/>
  <c r="G344" i="10"/>
  <c r="H343" i="10"/>
  <c r="G343" i="10"/>
  <c r="H342" i="10"/>
  <c r="G342" i="10"/>
  <c r="H341" i="10"/>
  <c r="G341" i="10"/>
  <c r="H340" i="10"/>
  <c r="G340" i="10"/>
  <c r="H339" i="10"/>
  <c r="G339" i="10"/>
  <c r="H338" i="10"/>
  <c r="G338" i="10"/>
  <c r="H337" i="10"/>
  <c r="G337" i="10"/>
  <c r="H336" i="10"/>
  <c r="G336" i="10"/>
  <c r="H335" i="10"/>
  <c r="G335" i="10"/>
  <c r="H334" i="10"/>
  <c r="G334" i="10"/>
  <c r="H333" i="10"/>
  <c r="G333" i="10"/>
  <c r="H332" i="10"/>
  <c r="G332" i="10"/>
  <c r="H331" i="10"/>
  <c r="G331" i="10"/>
  <c r="H330" i="10"/>
  <c r="G330" i="10"/>
  <c r="H329" i="10"/>
  <c r="G329" i="10"/>
  <c r="H328" i="10"/>
  <c r="G328" i="10"/>
  <c r="H327" i="10"/>
  <c r="G327" i="10"/>
  <c r="H326" i="10"/>
  <c r="G326" i="10"/>
  <c r="H325" i="10"/>
  <c r="G325" i="10"/>
  <c r="H324" i="10"/>
  <c r="G324" i="10"/>
  <c r="H323" i="10"/>
  <c r="G323" i="10"/>
  <c r="H322" i="10"/>
  <c r="G322" i="10"/>
  <c r="H321" i="10"/>
  <c r="G321" i="10"/>
  <c r="H320" i="10"/>
  <c r="G320" i="10"/>
  <c r="H319" i="10"/>
  <c r="G319" i="10"/>
  <c r="H318" i="10"/>
  <c r="G318" i="10"/>
  <c r="H317" i="10"/>
  <c r="G317" i="10"/>
  <c r="H316" i="10"/>
  <c r="G316" i="10"/>
  <c r="H315" i="10"/>
  <c r="G315" i="10"/>
  <c r="H314" i="10"/>
  <c r="G314" i="10"/>
  <c r="H313" i="10"/>
  <c r="G313" i="10"/>
  <c r="H312" i="10"/>
  <c r="G312" i="10"/>
  <c r="H311" i="10"/>
  <c r="G311" i="10"/>
  <c r="H310" i="10"/>
  <c r="G310" i="10"/>
  <c r="H309" i="10"/>
  <c r="G309" i="10"/>
  <c r="H308" i="10"/>
  <c r="G308" i="10"/>
  <c r="H307" i="10"/>
  <c r="G307" i="10"/>
  <c r="H306" i="10"/>
  <c r="G306" i="10"/>
  <c r="H305" i="10"/>
  <c r="G305" i="10"/>
  <c r="H304" i="10"/>
  <c r="G304" i="10"/>
  <c r="H303" i="10"/>
  <c r="G303" i="10"/>
  <c r="H302" i="10"/>
  <c r="G302" i="10"/>
  <c r="H301" i="10"/>
  <c r="G301" i="10"/>
  <c r="H300" i="10"/>
  <c r="G300" i="10"/>
  <c r="H299" i="10"/>
  <c r="G299" i="10"/>
  <c r="H298" i="10"/>
  <c r="G298" i="10"/>
  <c r="H297" i="10"/>
  <c r="G297" i="10"/>
  <c r="H296" i="10"/>
  <c r="G296" i="10"/>
  <c r="H295" i="10"/>
  <c r="G295" i="10"/>
  <c r="H294" i="10"/>
  <c r="G294" i="10"/>
  <c r="H293" i="10"/>
  <c r="G293" i="10"/>
  <c r="H292" i="10"/>
  <c r="G292" i="10"/>
  <c r="H291" i="10"/>
  <c r="G291" i="10"/>
  <c r="H290" i="10"/>
  <c r="G290" i="10"/>
  <c r="H289" i="10"/>
  <c r="G289" i="10"/>
  <c r="H288" i="10"/>
  <c r="G288" i="10"/>
  <c r="H287" i="10"/>
  <c r="G287" i="10"/>
  <c r="H286" i="10"/>
  <c r="G286" i="10"/>
  <c r="H285" i="10"/>
  <c r="G285" i="10"/>
  <c r="H284" i="10"/>
  <c r="G284" i="10"/>
  <c r="H283" i="10"/>
  <c r="G283" i="10"/>
  <c r="H282" i="10"/>
  <c r="G282" i="10"/>
  <c r="H281" i="10"/>
  <c r="G281" i="10"/>
  <c r="H280" i="10"/>
  <c r="G280" i="10"/>
  <c r="H279" i="10"/>
  <c r="G279" i="10"/>
  <c r="H278" i="10"/>
  <c r="G278" i="10"/>
  <c r="H277" i="10"/>
  <c r="G277" i="10"/>
  <c r="H276" i="10"/>
  <c r="G276" i="10"/>
  <c r="H275" i="10"/>
  <c r="G275" i="10"/>
  <c r="H274" i="10"/>
  <c r="G274" i="10"/>
  <c r="H273" i="10"/>
  <c r="G273" i="10"/>
  <c r="H272" i="10"/>
  <c r="G272" i="10"/>
  <c r="H271" i="10"/>
  <c r="G271" i="10"/>
  <c r="H270" i="10"/>
  <c r="G270" i="10"/>
  <c r="H269" i="10"/>
  <c r="G269" i="10"/>
  <c r="H268" i="10"/>
  <c r="G268" i="10"/>
  <c r="H267" i="10"/>
  <c r="G267" i="10"/>
  <c r="H266" i="10"/>
  <c r="G266" i="10"/>
  <c r="H265" i="10"/>
  <c r="G265" i="10"/>
  <c r="H264" i="10"/>
  <c r="G264" i="10"/>
  <c r="H263" i="10"/>
  <c r="G263" i="10"/>
  <c r="H262" i="10"/>
  <c r="G262" i="10"/>
  <c r="H261" i="10"/>
  <c r="G261" i="10"/>
  <c r="H260" i="10"/>
  <c r="G260" i="10"/>
  <c r="H259" i="10"/>
  <c r="G259" i="10"/>
  <c r="H258" i="10"/>
  <c r="G258" i="10"/>
  <c r="H257" i="10"/>
  <c r="G257" i="10"/>
  <c r="H256" i="10"/>
  <c r="G256" i="10"/>
  <c r="H255" i="10"/>
  <c r="G255" i="10"/>
  <c r="H254" i="10"/>
  <c r="G254" i="10"/>
  <c r="H253" i="10"/>
  <c r="G253" i="10"/>
  <c r="H252" i="10"/>
  <c r="G252" i="10"/>
  <c r="H251" i="10"/>
  <c r="G251" i="10"/>
  <c r="H250" i="10"/>
  <c r="G250" i="10"/>
  <c r="H249" i="10"/>
  <c r="G249" i="10"/>
  <c r="H248" i="10"/>
  <c r="G248" i="10"/>
  <c r="H247" i="10"/>
  <c r="G247" i="10"/>
  <c r="H246" i="10"/>
  <c r="G246" i="10"/>
  <c r="H245" i="10"/>
  <c r="G245" i="10"/>
  <c r="H244" i="10"/>
  <c r="G244" i="10"/>
  <c r="H243" i="10"/>
  <c r="G243" i="10"/>
  <c r="H242" i="10"/>
  <c r="G242" i="10"/>
  <c r="H241" i="10"/>
  <c r="G241" i="10"/>
  <c r="H240" i="10"/>
  <c r="G240" i="10"/>
  <c r="H239" i="10"/>
  <c r="G239" i="10"/>
  <c r="H238" i="10"/>
  <c r="G238" i="10"/>
  <c r="H237" i="10"/>
  <c r="G237" i="10"/>
  <c r="H236" i="10"/>
  <c r="G236" i="10"/>
  <c r="H235" i="10"/>
  <c r="G235" i="10"/>
  <c r="H234" i="10"/>
  <c r="G234" i="10"/>
  <c r="H233" i="10"/>
  <c r="G233" i="10"/>
  <c r="H232" i="10"/>
  <c r="G232" i="10"/>
  <c r="H231" i="10"/>
  <c r="G231" i="10"/>
  <c r="H230" i="10"/>
  <c r="G230" i="10"/>
  <c r="H229" i="10"/>
  <c r="G229" i="10"/>
  <c r="H228" i="10"/>
  <c r="G228" i="10"/>
  <c r="H227" i="10"/>
  <c r="G227" i="10"/>
  <c r="H226" i="10"/>
  <c r="G226" i="10"/>
  <c r="H225" i="10"/>
  <c r="G225" i="10"/>
  <c r="H224" i="10"/>
  <c r="G224" i="10"/>
  <c r="H223" i="10"/>
  <c r="G223" i="10"/>
  <c r="H222" i="10"/>
  <c r="G222" i="10"/>
  <c r="H221" i="10"/>
  <c r="G221" i="10"/>
  <c r="H220" i="10"/>
  <c r="G220" i="10"/>
  <c r="H219" i="10"/>
  <c r="G219" i="10"/>
  <c r="H218" i="10"/>
  <c r="G218" i="10"/>
  <c r="H217" i="10"/>
  <c r="G217" i="10"/>
  <c r="H216" i="10"/>
  <c r="G216" i="10"/>
  <c r="H215" i="10"/>
  <c r="G215" i="10"/>
  <c r="H214" i="10"/>
  <c r="G214" i="10"/>
  <c r="H213" i="10"/>
  <c r="G213" i="10"/>
  <c r="H212" i="10"/>
  <c r="G212" i="10"/>
  <c r="H211" i="10"/>
  <c r="G211" i="10"/>
  <c r="H210" i="10"/>
  <c r="G210" i="10"/>
  <c r="H209" i="10"/>
  <c r="G209" i="10"/>
  <c r="H208" i="10"/>
  <c r="G208" i="10"/>
  <c r="H207" i="10"/>
  <c r="G207" i="10"/>
  <c r="H206" i="10"/>
  <c r="G206" i="10"/>
  <c r="H205" i="10"/>
  <c r="G205" i="10"/>
  <c r="H204" i="10"/>
  <c r="G204" i="10"/>
  <c r="H203" i="10"/>
  <c r="G203" i="10"/>
  <c r="H202" i="10"/>
  <c r="G202" i="10"/>
  <c r="H201" i="10"/>
  <c r="G201" i="10"/>
  <c r="H200" i="10"/>
  <c r="G200" i="10"/>
  <c r="H199" i="10"/>
  <c r="G199" i="10"/>
  <c r="H198" i="10"/>
  <c r="G198" i="10"/>
  <c r="H197" i="10"/>
  <c r="G197" i="10"/>
  <c r="H196" i="10"/>
  <c r="G196" i="10"/>
  <c r="H195" i="10"/>
  <c r="G195" i="10"/>
  <c r="H194" i="10"/>
  <c r="G194" i="10"/>
  <c r="H193" i="10"/>
  <c r="G193" i="10"/>
  <c r="H192" i="10"/>
  <c r="G192" i="10"/>
  <c r="H191" i="10"/>
  <c r="G191" i="10"/>
  <c r="H190" i="10"/>
  <c r="G190" i="10"/>
  <c r="H189" i="10"/>
  <c r="G189" i="10"/>
  <c r="H188" i="10"/>
  <c r="G188" i="10"/>
  <c r="H187" i="10"/>
  <c r="G187" i="10"/>
  <c r="H186" i="10"/>
  <c r="G186" i="10"/>
  <c r="H185" i="10"/>
  <c r="G185" i="10"/>
  <c r="H184" i="10"/>
  <c r="G184" i="10"/>
  <c r="H183" i="10"/>
  <c r="G183" i="10"/>
  <c r="H182" i="10"/>
  <c r="G182" i="10"/>
  <c r="H181" i="10"/>
  <c r="G181" i="10"/>
  <c r="H180" i="10"/>
  <c r="G180" i="10"/>
  <c r="H179" i="10"/>
  <c r="G179" i="10"/>
  <c r="H178" i="10"/>
  <c r="G178" i="10"/>
  <c r="H177" i="10"/>
  <c r="G177" i="10"/>
  <c r="H176" i="10"/>
  <c r="G176" i="10"/>
  <c r="H175" i="10"/>
  <c r="G175" i="10"/>
  <c r="H174" i="10"/>
  <c r="G174" i="10"/>
  <c r="H173" i="10"/>
  <c r="G173" i="10"/>
  <c r="H172" i="10"/>
  <c r="G172" i="10"/>
  <c r="H171" i="10"/>
  <c r="G171" i="10"/>
  <c r="H170" i="10"/>
  <c r="G170" i="10"/>
  <c r="H169" i="10"/>
  <c r="G169" i="10"/>
  <c r="H168" i="10"/>
  <c r="G168" i="10"/>
  <c r="H167" i="10"/>
  <c r="G167" i="10"/>
  <c r="H166" i="10"/>
  <c r="G166" i="10"/>
  <c r="H165" i="10"/>
  <c r="G165" i="10"/>
  <c r="H164" i="10"/>
  <c r="G164" i="10"/>
  <c r="H163" i="10"/>
  <c r="G163" i="10"/>
  <c r="H162" i="10"/>
  <c r="G162" i="10"/>
  <c r="H161" i="10"/>
  <c r="G161" i="10"/>
  <c r="H160" i="10"/>
  <c r="G160" i="10"/>
  <c r="H159" i="10"/>
  <c r="G159" i="10"/>
  <c r="H158" i="10"/>
  <c r="G158" i="10"/>
  <c r="H157" i="10"/>
  <c r="G157" i="10"/>
  <c r="H156" i="10"/>
  <c r="G156" i="10"/>
  <c r="H155" i="10"/>
  <c r="G155" i="10"/>
  <c r="H154" i="10"/>
  <c r="G154" i="10"/>
  <c r="H153" i="10"/>
  <c r="G153" i="10"/>
  <c r="H152" i="10"/>
  <c r="G152" i="10"/>
  <c r="H151" i="10"/>
  <c r="G151" i="10"/>
  <c r="H150" i="10"/>
  <c r="G150" i="10"/>
  <c r="H149" i="10"/>
  <c r="G149" i="10"/>
  <c r="H148" i="10"/>
  <c r="G148" i="10"/>
  <c r="H147" i="10"/>
  <c r="G147" i="10"/>
  <c r="H146" i="10"/>
  <c r="G146" i="10"/>
  <c r="H145" i="10"/>
  <c r="G145" i="10"/>
  <c r="H144" i="10"/>
  <c r="G144" i="10"/>
  <c r="H143" i="10"/>
  <c r="G143" i="10"/>
  <c r="H142" i="10"/>
  <c r="G142" i="10"/>
  <c r="H141" i="10"/>
  <c r="G141" i="10"/>
  <c r="H140" i="10"/>
  <c r="G140" i="10"/>
  <c r="H139" i="10"/>
  <c r="G139" i="10"/>
  <c r="H138" i="10"/>
  <c r="G138" i="10"/>
  <c r="H137" i="10"/>
  <c r="G137" i="10"/>
  <c r="H136" i="10"/>
  <c r="G136" i="10"/>
  <c r="H135" i="10"/>
  <c r="G135" i="10"/>
  <c r="H134" i="10"/>
  <c r="G134" i="10"/>
  <c r="H133" i="10"/>
  <c r="G133" i="10"/>
  <c r="H132" i="10"/>
  <c r="G132" i="10"/>
  <c r="H131" i="10"/>
  <c r="G131" i="10"/>
  <c r="H130" i="10"/>
  <c r="G130" i="10"/>
  <c r="H129" i="10"/>
  <c r="G129" i="10"/>
  <c r="H128" i="10"/>
  <c r="G128" i="10"/>
  <c r="H127" i="10"/>
  <c r="G127" i="10"/>
  <c r="H126" i="10"/>
  <c r="G126" i="10"/>
  <c r="H125" i="10"/>
  <c r="G125" i="10"/>
  <c r="H124" i="10"/>
  <c r="G124" i="10"/>
  <c r="H123" i="10"/>
  <c r="G123" i="10"/>
  <c r="H122" i="10"/>
  <c r="G122" i="10"/>
  <c r="H121" i="10"/>
  <c r="G121" i="10"/>
  <c r="H120" i="10"/>
  <c r="G120" i="10"/>
  <c r="H119" i="10"/>
  <c r="G119" i="10"/>
  <c r="H118" i="10"/>
  <c r="G118" i="10"/>
  <c r="H117" i="10"/>
  <c r="G117" i="10"/>
  <c r="H116" i="10"/>
  <c r="G116" i="10"/>
  <c r="H115" i="10"/>
  <c r="G115" i="10"/>
  <c r="H114" i="10"/>
  <c r="G114" i="10"/>
  <c r="H113" i="10"/>
  <c r="G113" i="10"/>
  <c r="H112" i="10"/>
  <c r="G112" i="10"/>
  <c r="H111" i="10"/>
  <c r="G111" i="10"/>
  <c r="H110" i="10"/>
  <c r="G110" i="10"/>
  <c r="H109" i="10"/>
  <c r="G109" i="10"/>
  <c r="H108" i="10"/>
  <c r="G108" i="10"/>
  <c r="H107" i="10"/>
  <c r="G107" i="10"/>
  <c r="H106" i="10"/>
  <c r="G106" i="10"/>
  <c r="H105" i="10"/>
  <c r="G105" i="10"/>
  <c r="H104" i="10"/>
  <c r="G104" i="10"/>
  <c r="H103" i="10"/>
  <c r="G103" i="10"/>
  <c r="H102" i="10"/>
  <c r="G102" i="10"/>
  <c r="H101" i="10"/>
  <c r="G101" i="10"/>
  <c r="H100" i="10"/>
  <c r="G100" i="10"/>
  <c r="H99" i="10"/>
  <c r="G99" i="10"/>
  <c r="H98" i="10"/>
  <c r="G98" i="10"/>
  <c r="H97" i="10"/>
  <c r="G97" i="10"/>
  <c r="H96" i="10"/>
  <c r="G96" i="10"/>
  <c r="H95" i="10"/>
  <c r="G95" i="10"/>
  <c r="H94" i="10"/>
  <c r="G94" i="10"/>
  <c r="H93" i="10"/>
  <c r="G93" i="10"/>
  <c r="H92" i="10"/>
  <c r="G92" i="10"/>
  <c r="H91" i="10"/>
  <c r="G91" i="10"/>
  <c r="H90" i="10"/>
  <c r="G90" i="10"/>
  <c r="H89" i="10"/>
  <c r="G89" i="10"/>
  <c r="H88" i="10"/>
  <c r="G88" i="10"/>
  <c r="H87" i="10"/>
  <c r="G87" i="10"/>
  <c r="H86" i="10"/>
  <c r="G86" i="10"/>
  <c r="H85" i="10"/>
  <c r="G85" i="10"/>
  <c r="H84" i="10"/>
  <c r="G84" i="10"/>
  <c r="H83" i="10"/>
  <c r="G83" i="10"/>
  <c r="H82" i="10"/>
  <c r="G82" i="10"/>
  <c r="H81" i="10"/>
  <c r="G81" i="10"/>
  <c r="H80" i="10"/>
  <c r="G80" i="10"/>
  <c r="H79" i="10"/>
  <c r="G79" i="10"/>
  <c r="H78" i="10"/>
  <c r="G78" i="10"/>
  <c r="H77" i="10"/>
  <c r="G77" i="10"/>
  <c r="H76" i="10"/>
  <c r="G76" i="10"/>
  <c r="H75" i="10"/>
  <c r="G75" i="10"/>
  <c r="H74" i="10"/>
  <c r="G74" i="10"/>
  <c r="H73" i="10"/>
  <c r="G73" i="10"/>
  <c r="H72" i="10"/>
  <c r="G72" i="10"/>
  <c r="H71" i="10"/>
  <c r="G71" i="10"/>
  <c r="H70" i="10"/>
  <c r="G70" i="10"/>
  <c r="H69" i="10"/>
  <c r="G69" i="10"/>
  <c r="H68" i="10"/>
  <c r="G68" i="10"/>
  <c r="H67" i="10"/>
  <c r="G67" i="10"/>
  <c r="H66" i="10"/>
  <c r="G66" i="10"/>
  <c r="H65" i="10"/>
  <c r="G65" i="10"/>
  <c r="H64" i="10"/>
  <c r="G64" i="10"/>
  <c r="H63" i="10"/>
  <c r="G63" i="10"/>
  <c r="H62" i="10"/>
  <c r="G62" i="10"/>
  <c r="H61" i="10"/>
  <c r="G61" i="10"/>
  <c r="H60" i="10"/>
  <c r="G60" i="10"/>
  <c r="H59" i="10"/>
  <c r="G59" i="10"/>
  <c r="H58" i="10"/>
  <c r="G58" i="10"/>
  <c r="H57" i="10"/>
  <c r="G57" i="10"/>
  <c r="H56" i="10"/>
  <c r="G56" i="10"/>
  <c r="H55" i="10"/>
  <c r="G55" i="10"/>
  <c r="H54" i="10"/>
  <c r="G54" i="10"/>
  <c r="H53" i="10"/>
  <c r="G53" i="10"/>
  <c r="H52" i="10"/>
  <c r="G52" i="10"/>
  <c r="H51" i="10"/>
  <c r="G51" i="10"/>
  <c r="H50" i="10"/>
  <c r="G50" i="10"/>
  <c r="H49" i="10"/>
  <c r="G49" i="10"/>
  <c r="H48" i="10"/>
  <c r="G48" i="10"/>
  <c r="H47" i="10"/>
  <c r="G47" i="10"/>
  <c r="H46" i="10"/>
  <c r="G46" i="10"/>
  <c r="H45" i="10"/>
  <c r="G45" i="10"/>
  <c r="H44" i="10"/>
  <c r="G44" i="10"/>
  <c r="H43" i="10"/>
  <c r="G43" i="10"/>
  <c r="H42" i="10"/>
  <c r="G42" i="10"/>
  <c r="H41" i="10"/>
  <c r="G41" i="10"/>
  <c r="H40" i="10"/>
  <c r="G40" i="10"/>
  <c r="H39" i="10"/>
  <c r="G39" i="10"/>
  <c r="H38" i="10"/>
  <c r="G38" i="10"/>
  <c r="H37" i="10"/>
  <c r="G37" i="10"/>
  <c r="H36" i="10"/>
  <c r="G36" i="10"/>
  <c r="H35" i="10"/>
  <c r="G35" i="10"/>
  <c r="H34" i="10"/>
  <c r="G34" i="10"/>
  <c r="H33" i="10"/>
  <c r="G33" i="10"/>
  <c r="H32" i="10"/>
  <c r="G32" i="10"/>
  <c r="H31" i="10"/>
  <c r="G31" i="10"/>
  <c r="H30" i="10"/>
  <c r="G30" i="10"/>
  <c r="H29" i="10"/>
  <c r="G29" i="10"/>
  <c r="H28" i="10"/>
  <c r="G28" i="10"/>
  <c r="H27" i="10"/>
  <c r="G27" i="10"/>
  <c r="H26" i="10"/>
  <c r="G26" i="10"/>
  <c r="H25" i="10"/>
  <c r="G25" i="10"/>
  <c r="H24" i="10"/>
  <c r="G24" i="10"/>
  <c r="H23" i="10"/>
  <c r="G23" i="10"/>
  <c r="H22" i="10"/>
  <c r="G22" i="10"/>
  <c r="H21" i="10"/>
  <c r="G21" i="10"/>
  <c r="H20" i="10"/>
  <c r="G20" i="10"/>
  <c r="H19" i="10"/>
  <c r="G19" i="10"/>
  <c r="H18" i="10"/>
  <c r="G18" i="10"/>
  <c r="H17" i="10"/>
  <c r="G17" i="10"/>
  <c r="H16" i="10"/>
  <c r="G16" i="10"/>
  <c r="H15" i="10"/>
  <c r="G15" i="10"/>
  <c r="H14" i="10"/>
  <c r="G14" i="10"/>
  <c r="H13" i="10"/>
  <c r="G13" i="10"/>
  <c r="H12" i="10"/>
  <c r="G12" i="10"/>
  <c r="H11" i="10"/>
  <c r="G11" i="10"/>
  <c r="H10" i="10"/>
  <c r="G10" i="10"/>
  <c r="H9" i="10"/>
  <c r="G9" i="10"/>
  <c r="H8" i="10"/>
  <c r="G8" i="10"/>
  <c r="H7" i="10"/>
  <c r="G7" i="10"/>
  <c r="H6" i="10"/>
  <c r="G6" i="10"/>
  <c r="H5" i="10"/>
  <c r="G5" i="10"/>
  <c r="H4" i="10"/>
  <c r="G4" i="10"/>
  <c r="H3" i="10"/>
  <c r="G3" i="10"/>
  <c r="H2" i="10"/>
  <c r="G2" i="10"/>
  <c r="H672" i="19"/>
  <c r="G672" i="19"/>
  <c r="H671" i="19"/>
  <c r="G671" i="19"/>
  <c r="H670" i="19"/>
  <c r="G670" i="19"/>
  <c r="H669" i="19"/>
  <c r="G669" i="19"/>
  <c r="H668" i="19"/>
  <c r="G668" i="19"/>
  <c r="H667" i="19"/>
  <c r="G667" i="19"/>
  <c r="H666" i="19"/>
  <c r="G666" i="19"/>
  <c r="H665" i="19"/>
  <c r="G665" i="19"/>
  <c r="H664" i="19"/>
  <c r="G664" i="19"/>
  <c r="H663" i="19"/>
  <c r="G663" i="19"/>
  <c r="H662" i="19"/>
  <c r="G662" i="19"/>
  <c r="H661" i="19"/>
  <c r="G661" i="19"/>
  <c r="H660" i="19"/>
  <c r="G660" i="19"/>
  <c r="H659" i="19"/>
  <c r="G659" i="19"/>
  <c r="H658" i="19"/>
  <c r="G658" i="19"/>
  <c r="H657" i="19"/>
  <c r="G657" i="19"/>
  <c r="H656" i="19"/>
  <c r="G656" i="19"/>
  <c r="H655" i="19"/>
  <c r="G655" i="19"/>
  <c r="H654" i="19"/>
  <c r="G654" i="19"/>
  <c r="H653" i="19"/>
  <c r="G653" i="19"/>
  <c r="H652" i="19"/>
  <c r="G652" i="19"/>
  <c r="H651" i="19"/>
  <c r="G651" i="19"/>
  <c r="H650" i="19"/>
  <c r="G650" i="19"/>
  <c r="H649" i="19"/>
  <c r="G649" i="19"/>
  <c r="H648" i="19"/>
  <c r="G648" i="19"/>
  <c r="H647" i="19"/>
  <c r="G647" i="19"/>
  <c r="H646" i="19"/>
  <c r="G646" i="19"/>
  <c r="H645" i="19"/>
  <c r="G645" i="19"/>
  <c r="H644" i="19"/>
  <c r="G644" i="19"/>
  <c r="H643" i="19"/>
  <c r="G643" i="19"/>
  <c r="H642" i="19"/>
  <c r="G642" i="19"/>
  <c r="H641" i="19"/>
  <c r="G641" i="19"/>
  <c r="H640" i="19"/>
  <c r="G640" i="19"/>
  <c r="H639" i="19"/>
  <c r="G639" i="19"/>
  <c r="H638" i="19"/>
  <c r="G638" i="19"/>
  <c r="H637" i="19"/>
  <c r="G637" i="19"/>
  <c r="H636" i="19"/>
  <c r="G636" i="19"/>
  <c r="H635" i="19"/>
  <c r="G635" i="19"/>
  <c r="H634" i="19"/>
  <c r="G634" i="19"/>
  <c r="H633" i="19"/>
  <c r="G633" i="19"/>
  <c r="H632" i="19"/>
  <c r="G632" i="19"/>
  <c r="H631" i="19"/>
  <c r="G631" i="19"/>
  <c r="H630" i="19"/>
  <c r="G630" i="19"/>
  <c r="H629" i="19"/>
  <c r="G629" i="19"/>
  <c r="H628" i="19"/>
  <c r="G628" i="19"/>
  <c r="H627" i="19"/>
  <c r="G627" i="19"/>
  <c r="H626" i="19"/>
  <c r="G626" i="19"/>
  <c r="H625" i="19"/>
  <c r="G625" i="19"/>
  <c r="H624" i="19"/>
  <c r="G624" i="19"/>
  <c r="H623" i="19"/>
  <c r="G623" i="19"/>
  <c r="H622" i="19"/>
  <c r="G622" i="19"/>
  <c r="H621" i="19"/>
  <c r="G621" i="19"/>
  <c r="H620" i="19"/>
  <c r="G620" i="19"/>
  <c r="H619" i="19"/>
  <c r="G619" i="19"/>
  <c r="H618" i="19"/>
  <c r="G618" i="19"/>
  <c r="H617" i="19"/>
  <c r="G617" i="19"/>
  <c r="H616" i="19"/>
  <c r="G616" i="19"/>
  <c r="H615" i="19"/>
  <c r="G615" i="19"/>
  <c r="H614" i="19"/>
  <c r="G614" i="19"/>
  <c r="H613" i="19"/>
  <c r="G613" i="19"/>
  <c r="H612" i="19"/>
  <c r="G612" i="19"/>
  <c r="H611" i="19"/>
  <c r="G611" i="19"/>
  <c r="H610" i="19"/>
  <c r="G610" i="19"/>
  <c r="H609" i="19"/>
  <c r="G609" i="19"/>
  <c r="H608" i="19"/>
  <c r="G608" i="19"/>
  <c r="H607" i="19"/>
  <c r="G607" i="19"/>
  <c r="H606" i="19"/>
  <c r="G606" i="19"/>
  <c r="H605" i="19"/>
  <c r="G605" i="19"/>
  <c r="H604" i="19"/>
  <c r="G604" i="19"/>
  <c r="H603" i="19"/>
  <c r="G603" i="19"/>
  <c r="H602" i="19"/>
  <c r="G602" i="19"/>
  <c r="H601" i="19"/>
  <c r="G601" i="19"/>
  <c r="H600" i="19"/>
  <c r="G600" i="19"/>
  <c r="H599" i="19"/>
  <c r="G599" i="19"/>
  <c r="H598" i="19"/>
  <c r="G598" i="19"/>
  <c r="H597" i="19"/>
  <c r="G597" i="19"/>
  <c r="H596" i="19"/>
  <c r="G596" i="19"/>
  <c r="H595" i="19"/>
  <c r="G595" i="19"/>
  <c r="H594" i="19"/>
  <c r="G594" i="19"/>
  <c r="H593" i="19"/>
  <c r="G593" i="19"/>
  <c r="H592" i="19"/>
  <c r="G592" i="19"/>
  <c r="H591" i="19"/>
  <c r="G591" i="19"/>
  <c r="H590" i="19"/>
  <c r="G590" i="19"/>
  <c r="H589" i="19"/>
  <c r="G589" i="19"/>
  <c r="H588" i="19"/>
  <c r="G588" i="19"/>
  <c r="H587" i="19"/>
  <c r="G587" i="19"/>
  <c r="H586" i="19"/>
  <c r="G586" i="19"/>
  <c r="H585" i="19"/>
  <c r="G585" i="19"/>
  <c r="H584" i="19"/>
  <c r="G584" i="19"/>
  <c r="H583" i="19"/>
  <c r="G583" i="19"/>
  <c r="H582" i="19"/>
  <c r="G582" i="19"/>
  <c r="H581" i="19"/>
  <c r="G581" i="19"/>
  <c r="H580" i="19"/>
  <c r="G580" i="19"/>
  <c r="H579" i="19"/>
  <c r="G579" i="19"/>
  <c r="H578" i="19"/>
  <c r="G578" i="19"/>
  <c r="H577" i="19"/>
  <c r="G577" i="19"/>
  <c r="H576" i="19"/>
  <c r="G576" i="19"/>
  <c r="H575" i="19"/>
  <c r="G575" i="19"/>
  <c r="H574" i="19"/>
  <c r="G574" i="19"/>
  <c r="H573" i="19"/>
  <c r="G573" i="19"/>
  <c r="H572" i="19"/>
  <c r="G572" i="19"/>
  <c r="H571" i="19"/>
  <c r="G571" i="19"/>
  <c r="H570" i="19"/>
  <c r="G570" i="19"/>
  <c r="H569" i="19"/>
  <c r="G569" i="19"/>
  <c r="H568" i="19"/>
  <c r="G568" i="19"/>
  <c r="H567" i="19"/>
  <c r="G567" i="19"/>
  <c r="H566" i="19"/>
  <c r="G566" i="19"/>
  <c r="H565" i="19"/>
  <c r="G565" i="19"/>
  <c r="H564" i="19"/>
  <c r="G564" i="19"/>
  <c r="H563" i="19"/>
  <c r="G563" i="19"/>
  <c r="H562" i="19"/>
  <c r="G562" i="19"/>
  <c r="H561" i="19"/>
  <c r="G561" i="19"/>
  <c r="H560" i="19"/>
  <c r="G560" i="19"/>
  <c r="H559" i="19"/>
  <c r="G559" i="19"/>
  <c r="H558" i="19"/>
  <c r="G558" i="19"/>
  <c r="H557" i="19"/>
  <c r="G557" i="19"/>
  <c r="H556" i="19"/>
  <c r="G556" i="19"/>
  <c r="H555" i="19"/>
  <c r="G555" i="19"/>
  <c r="H554" i="19"/>
  <c r="G554" i="19"/>
  <c r="H553" i="19"/>
  <c r="G553" i="19"/>
  <c r="H552" i="19"/>
  <c r="G552" i="19"/>
  <c r="H551" i="19"/>
  <c r="G551" i="19"/>
  <c r="H550" i="19"/>
  <c r="G550" i="19"/>
  <c r="H549" i="19"/>
  <c r="G549" i="19"/>
  <c r="H548" i="19"/>
  <c r="G548" i="19"/>
  <c r="H547" i="19"/>
  <c r="G547" i="19"/>
  <c r="H546" i="19"/>
  <c r="G546" i="19"/>
  <c r="H545" i="19"/>
  <c r="G545" i="19"/>
  <c r="H544" i="19"/>
  <c r="G544" i="19"/>
  <c r="H543" i="19"/>
  <c r="G543" i="19"/>
  <c r="H542" i="19"/>
  <c r="G542" i="19"/>
  <c r="H541" i="19"/>
  <c r="G541" i="19"/>
  <c r="H540" i="19"/>
  <c r="G540" i="19"/>
  <c r="H539" i="19"/>
  <c r="G539" i="19"/>
  <c r="H538" i="19"/>
  <c r="G538" i="19"/>
  <c r="H537" i="19"/>
  <c r="G537" i="19"/>
  <c r="H536" i="19"/>
  <c r="G536" i="19"/>
  <c r="H535" i="19"/>
  <c r="G535" i="19"/>
  <c r="H534" i="19"/>
  <c r="G534" i="19"/>
  <c r="H533" i="19"/>
  <c r="G533" i="19"/>
  <c r="H532" i="19"/>
  <c r="G532" i="19"/>
  <c r="H531" i="19"/>
  <c r="G531" i="19"/>
  <c r="H530" i="19"/>
  <c r="G530" i="19"/>
  <c r="H529" i="19"/>
  <c r="G529" i="19"/>
  <c r="H528" i="19"/>
  <c r="G528" i="19"/>
  <c r="H527" i="19"/>
  <c r="G527" i="19"/>
  <c r="H526" i="19"/>
  <c r="G526" i="19"/>
  <c r="H525" i="19"/>
  <c r="G525" i="19"/>
  <c r="H524" i="19"/>
  <c r="G524" i="19"/>
  <c r="H523" i="19"/>
  <c r="G523" i="19"/>
  <c r="H522" i="19"/>
  <c r="G522" i="19"/>
  <c r="H521" i="19"/>
  <c r="G521" i="19"/>
  <c r="H520" i="19"/>
  <c r="G520" i="19"/>
  <c r="H519" i="19"/>
  <c r="G519" i="19"/>
  <c r="H518" i="19"/>
  <c r="G518" i="19"/>
  <c r="H517" i="19"/>
  <c r="G517" i="19"/>
  <c r="H516" i="19"/>
  <c r="G516" i="19"/>
  <c r="H515" i="19"/>
  <c r="G515" i="19"/>
  <c r="H514" i="19"/>
  <c r="G514" i="19"/>
  <c r="H513" i="19"/>
  <c r="G513" i="19"/>
  <c r="H512" i="19"/>
  <c r="G512" i="19"/>
  <c r="H511" i="19"/>
  <c r="G511" i="19"/>
  <c r="H510" i="19"/>
  <c r="G510" i="19"/>
  <c r="H509" i="19"/>
  <c r="G509" i="19"/>
  <c r="H508" i="19"/>
  <c r="G508" i="19"/>
  <c r="H507" i="19"/>
  <c r="G507" i="19"/>
  <c r="H506" i="19"/>
  <c r="G506" i="19"/>
  <c r="H505" i="19"/>
  <c r="G505" i="19"/>
  <c r="H504" i="19"/>
  <c r="G504" i="19"/>
  <c r="H503" i="19"/>
  <c r="G503" i="19"/>
  <c r="H502" i="19"/>
  <c r="G502" i="19"/>
  <c r="H501" i="19"/>
  <c r="G501" i="19"/>
  <c r="H500" i="19"/>
  <c r="G500" i="19"/>
  <c r="H499" i="19"/>
  <c r="G499" i="19"/>
  <c r="H498" i="19"/>
  <c r="G498" i="19"/>
  <c r="H497" i="19"/>
  <c r="G497" i="19"/>
  <c r="H496" i="19"/>
  <c r="G496" i="19"/>
  <c r="H495" i="19"/>
  <c r="G495" i="19"/>
  <c r="H494" i="19"/>
  <c r="G494" i="19"/>
  <c r="H493" i="19"/>
  <c r="G493" i="19"/>
  <c r="H492" i="19"/>
  <c r="G492" i="19"/>
  <c r="H491" i="19"/>
  <c r="G491" i="19"/>
  <c r="H490" i="19"/>
  <c r="G490" i="19"/>
  <c r="H489" i="19"/>
  <c r="G489" i="19"/>
  <c r="H488" i="19"/>
  <c r="G488" i="19"/>
  <c r="H487" i="19"/>
  <c r="G487" i="19"/>
  <c r="H486" i="19"/>
  <c r="G486" i="19"/>
  <c r="H485" i="19"/>
  <c r="G485" i="19"/>
  <c r="H484" i="19"/>
  <c r="G484" i="19"/>
  <c r="H483" i="19"/>
  <c r="G483" i="19"/>
  <c r="H482" i="19"/>
  <c r="G482" i="19"/>
  <c r="H481" i="19"/>
  <c r="G481" i="19"/>
  <c r="H480" i="19"/>
  <c r="G480" i="19"/>
  <c r="H479" i="19"/>
  <c r="G479" i="19"/>
  <c r="H478" i="19"/>
  <c r="G478" i="19"/>
  <c r="H477" i="19"/>
  <c r="G477" i="19"/>
  <c r="H476" i="19"/>
  <c r="G476" i="19"/>
  <c r="H475" i="19"/>
  <c r="G475" i="19"/>
  <c r="H474" i="19"/>
  <c r="G474" i="19"/>
  <c r="H473" i="19"/>
  <c r="G473" i="19"/>
  <c r="H472" i="19"/>
  <c r="G472" i="19"/>
  <c r="H471" i="19"/>
  <c r="G471" i="19"/>
  <c r="H470" i="19"/>
  <c r="G470" i="19"/>
  <c r="H469" i="19"/>
  <c r="G469" i="19"/>
  <c r="H468" i="19"/>
  <c r="G468" i="19"/>
  <c r="H467" i="19"/>
  <c r="G467" i="19"/>
  <c r="H466" i="19"/>
  <c r="G466" i="19"/>
  <c r="H465" i="19"/>
  <c r="G465" i="19"/>
  <c r="H464" i="19"/>
  <c r="G464" i="19"/>
  <c r="H463" i="19"/>
  <c r="G463" i="19"/>
  <c r="H462" i="19"/>
  <c r="G462" i="19"/>
  <c r="H461" i="19"/>
  <c r="G461" i="19"/>
  <c r="H460" i="19"/>
  <c r="G460" i="19"/>
  <c r="H459" i="19"/>
  <c r="G459" i="19"/>
  <c r="H458" i="19"/>
  <c r="G458" i="19"/>
  <c r="H457" i="19"/>
  <c r="G457" i="19"/>
  <c r="H456" i="19"/>
  <c r="G456" i="19"/>
  <c r="H455" i="19"/>
  <c r="G455" i="19"/>
  <c r="H454" i="19"/>
  <c r="G454" i="19"/>
  <c r="H453" i="19"/>
  <c r="G453" i="19"/>
  <c r="H452" i="19"/>
  <c r="G452" i="19"/>
  <c r="H451" i="19"/>
  <c r="G451" i="19"/>
  <c r="H450" i="19"/>
  <c r="G450" i="19"/>
  <c r="H449" i="19"/>
  <c r="G449" i="19"/>
  <c r="H448" i="19"/>
  <c r="G448" i="19"/>
  <c r="H447" i="19"/>
  <c r="G447" i="19"/>
  <c r="H446" i="19"/>
  <c r="G446" i="19"/>
  <c r="H445" i="19"/>
  <c r="G445" i="19"/>
  <c r="H444" i="19"/>
  <c r="G444" i="19"/>
  <c r="H443" i="19"/>
  <c r="G443" i="19"/>
  <c r="H442" i="19"/>
  <c r="G442" i="19"/>
  <c r="H441" i="19"/>
  <c r="G441" i="19"/>
  <c r="H440" i="19"/>
  <c r="G440" i="19"/>
  <c r="H439" i="19"/>
  <c r="G439" i="19"/>
  <c r="H438" i="19"/>
  <c r="G438" i="19"/>
  <c r="H437" i="19"/>
  <c r="G437" i="19"/>
  <c r="H436" i="19"/>
  <c r="G436" i="19"/>
  <c r="H435" i="19"/>
  <c r="G435" i="19"/>
  <c r="H434" i="19"/>
  <c r="G434" i="19"/>
  <c r="H433" i="19"/>
  <c r="G433" i="19"/>
  <c r="H432" i="19"/>
  <c r="G432" i="19"/>
  <c r="H431" i="19"/>
  <c r="G431" i="19"/>
  <c r="H430" i="19"/>
  <c r="G430" i="19"/>
  <c r="H429" i="19"/>
  <c r="G429" i="19"/>
  <c r="H428" i="19"/>
  <c r="G428" i="19"/>
  <c r="H427" i="19"/>
  <c r="G427" i="19"/>
  <c r="H426" i="19"/>
  <c r="G426" i="19"/>
  <c r="H425" i="19"/>
  <c r="G425" i="19"/>
  <c r="H424" i="19"/>
  <c r="G424" i="19"/>
  <c r="H423" i="19"/>
  <c r="G423" i="19"/>
  <c r="H422" i="19"/>
  <c r="G422" i="19"/>
  <c r="H421" i="19"/>
  <c r="G421" i="19"/>
  <c r="H420" i="19"/>
  <c r="G420" i="19"/>
  <c r="H419" i="19"/>
  <c r="G419" i="19"/>
  <c r="H418" i="19"/>
  <c r="G418" i="19"/>
  <c r="H417" i="19"/>
  <c r="G417" i="19"/>
  <c r="H416" i="19"/>
  <c r="G416" i="19"/>
  <c r="H415" i="19"/>
  <c r="G415" i="19"/>
  <c r="H414" i="19"/>
  <c r="G414" i="19"/>
  <c r="H413" i="19"/>
  <c r="G413" i="19"/>
  <c r="H412" i="19"/>
  <c r="G412" i="19"/>
  <c r="H411" i="19"/>
  <c r="G411" i="19"/>
  <c r="H410" i="19"/>
  <c r="G410" i="19"/>
  <c r="H409" i="19"/>
  <c r="G409" i="19"/>
  <c r="H408" i="19"/>
  <c r="G408" i="19"/>
  <c r="H407" i="19"/>
  <c r="G407" i="19"/>
  <c r="H406" i="19"/>
  <c r="G406" i="19"/>
  <c r="H405" i="19"/>
  <c r="G405" i="19"/>
  <c r="H404" i="19"/>
  <c r="G404" i="19"/>
  <c r="H403" i="19"/>
  <c r="G403" i="19"/>
  <c r="H402" i="19"/>
  <c r="G402" i="19"/>
  <c r="H401" i="19"/>
  <c r="G401" i="19"/>
  <c r="H400" i="19"/>
  <c r="G400" i="19"/>
  <c r="H399" i="19"/>
  <c r="G399" i="19"/>
  <c r="H398" i="19"/>
  <c r="G398" i="19"/>
  <c r="H397" i="19"/>
  <c r="G397" i="19"/>
  <c r="H396" i="19"/>
  <c r="G396" i="19"/>
  <c r="H395" i="19"/>
  <c r="G395" i="19"/>
  <c r="H394" i="19"/>
  <c r="G394" i="19"/>
  <c r="H393" i="19"/>
  <c r="G393" i="19"/>
  <c r="H392" i="19"/>
  <c r="G392" i="19"/>
  <c r="H391" i="19"/>
  <c r="G391" i="19"/>
  <c r="H390" i="19"/>
  <c r="G390" i="19"/>
  <c r="H389" i="19"/>
  <c r="G389" i="19"/>
  <c r="H388" i="19"/>
  <c r="G388" i="19"/>
  <c r="H387" i="19"/>
  <c r="G387" i="19"/>
  <c r="H386" i="19"/>
  <c r="G386" i="19"/>
  <c r="H385" i="19"/>
  <c r="G385" i="19"/>
  <c r="H384" i="19"/>
  <c r="G384" i="19"/>
  <c r="H383" i="19"/>
  <c r="G383" i="19"/>
  <c r="H382" i="19"/>
  <c r="G382" i="19"/>
  <c r="H381" i="19"/>
  <c r="G381" i="19"/>
  <c r="H380" i="19"/>
  <c r="G380" i="19"/>
  <c r="H379" i="19"/>
  <c r="G379" i="19"/>
  <c r="H378" i="19"/>
  <c r="G378" i="19"/>
  <c r="H377" i="19"/>
  <c r="G377" i="19"/>
  <c r="H376" i="19"/>
  <c r="G376" i="19"/>
  <c r="H375" i="19"/>
  <c r="G375" i="19"/>
  <c r="H374" i="19"/>
  <c r="G374" i="19"/>
  <c r="H373" i="19"/>
  <c r="G373" i="19"/>
  <c r="H372" i="19"/>
  <c r="G372" i="19"/>
  <c r="H371" i="19"/>
  <c r="G371" i="19"/>
  <c r="H370" i="19"/>
  <c r="G370" i="19"/>
  <c r="H369" i="19"/>
  <c r="G369" i="19"/>
  <c r="H368" i="19"/>
  <c r="G368" i="19"/>
  <c r="H367" i="19"/>
  <c r="G367" i="19"/>
  <c r="H366" i="19"/>
  <c r="G366" i="19"/>
  <c r="H365" i="19"/>
  <c r="G365" i="19"/>
  <c r="H364" i="19"/>
  <c r="G364" i="19"/>
  <c r="H363" i="19"/>
  <c r="G363" i="19"/>
  <c r="H362" i="19"/>
  <c r="G362" i="19"/>
  <c r="H361" i="19"/>
  <c r="G361" i="19"/>
  <c r="H360" i="19"/>
  <c r="G360" i="19"/>
  <c r="H359" i="19"/>
  <c r="G359" i="19"/>
  <c r="H358" i="19"/>
  <c r="G358" i="19"/>
  <c r="H357" i="19"/>
  <c r="G357" i="19"/>
  <c r="H356" i="19"/>
  <c r="G356" i="19"/>
  <c r="H355" i="19"/>
  <c r="G355" i="19"/>
  <c r="H354" i="19"/>
  <c r="G354" i="19"/>
  <c r="H353" i="19"/>
  <c r="G353" i="19"/>
  <c r="H352" i="19"/>
  <c r="G352" i="19"/>
  <c r="H351" i="19"/>
  <c r="G351" i="19"/>
  <c r="H350" i="19"/>
  <c r="G350" i="19"/>
  <c r="H349" i="19"/>
  <c r="G349" i="19"/>
  <c r="H348" i="19"/>
  <c r="G348" i="19"/>
  <c r="H347" i="19"/>
  <c r="G347" i="19"/>
  <c r="H346" i="19"/>
  <c r="G346" i="19"/>
  <c r="H345" i="19"/>
  <c r="G345" i="19"/>
  <c r="H344" i="19"/>
  <c r="G344" i="19"/>
  <c r="H343" i="19"/>
  <c r="G343" i="19"/>
  <c r="H342" i="19"/>
  <c r="G342" i="19"/>
  <c r="H341" i="19"/>
  <c r="G341" i="19"/>
  <c r="H340" i="19"/>
  <c r="G340" i="19"/>
  <c r="H339" i="19"/>
  <c r="G339" i="19"/>
  <c r="H338" i="19"/>
  <c r="G338" i="19"/>
  <c r="H337" i="19"/>
  <c r="G337" i="19"/>
  <c r="H336" i="19"/>
  <c r="G336" i="19"/>
  <c r="H335" i="19"/>
  <c r="G335" i="19"/>
  <c r="H334" i="19"/>
  <c r="G334" i="19"/>
  <c r="H333" i="19"/>
  <c r="G333" i="19"/>
  <c r="H332" i="19"/>
  <c r="G332" i="19"/>
  <c r="H331" i="19"/>
  <c r="G331" i="19"/>
  <c r="H330" i="19"/>
  <c r="G330" i="19"/>
  <c r="H329" i="19"/>
  <c r="G329" i="19"/>
  <c r="H328" i="19"/>
  <c r="G328" i="19"/>
  <c r="H327" i="19"/>
  <c r="G327" i="19"/>
  <c r="H326" i="19"/>
  <c r="G326" i="19"/>
  <c r="H325" i="19"/>
  <c r="G325" i="19"/>
  <c r="H324" i="19"/>
  <c r="G324" i="19"/>
  <c r="H323" i="19"/>
  <c r="G323" i="19"/>
  <c r="H322" i="19"/>
  <c r="G322" i="19"/>
  <c r="H321" i="19"/>
  <c r="G321" i="19"/>
  <c r="H320" i="19"/>
  <c r="G320" i="19"/>
  <c r="H319" i="19"/>
  <c r="G319" i="19"/>
  <c r="H318" i="19"/>
  <c r="G318" i="19"/>
  <c r="H317" i="19"/>
  <c r="G317" i="19"/>
  <c r="H316" i="19"/>
  <c r="G316" i="19"/>
  <c r="H315" i="19"/>
  <c r="G315" i="19"/>
  <c r="H314" i="19"/>
  <c r="G314" i="19"/>
  <c r="H313" i="19"/>
  <c r="G313" i="19"/>
  <c r="H312" i="19"/>
  <c r="G312" i="19"/>
  <c r="H311" i="19"/>
  <c r="G311" i="19"/>
  <c r="H310" i="19"/>
  <c r="G310" i="19"/>
  <c r="H309" i="19"/>
  <c r="G309" i="19"/>
  <c r="H308" i="19"/>
  <c r="G308" i="19"/>
  <c r="H307" i="19"/>
  <c r="G307" i="19"/>
  <c r="H306" i="19"/>
  <c r="G306" i="19"/>
  <c r="H305" i="19"/>
  <c r="G305" i="19"/>
  <c r="H304" i="19"/>
  <c r="G304" i="19"/>
  <c r="H303" i="19"/>
  <c r="G303" i="19"/>
  <c r="H302" i="19"/>
  <c r="G302" i="19"/>
  <c r="H301" i="19"/>
  <c r="G301" i="19"/>
  <c r="H300" i="19"/>
  <c r="G300" i="19"/>
  <c r="H299" i="19"/>
  <c r="G299" i="19"/>
  <c r="H298" i="19"/>
  <c r="G298" i="19"/>
  <c r="H297" i="19"/>
  <c r="G297" i="19"/>
  <c r="H296" i="19"/>
  <c r="G296" i="19"/>
  <c r="H295" i="19"/>
  <c r="G295" i="19"/>
  <c r="H294" i="19"/>
  <c r="G294" i="19"/>
  <c r="H293" i="19"/>
  <c r="G293" i="19"/>
  <c r="H292" i="19"/>
  <c r="G292" i="19"/>
  <c r="H291" i="19"/>
  <c r="G291" i="19"/>
  <c r="H290" i="19"/>
  <c r="G290" i="19"/>
  <c r="H289" i="19"/>
  <c r="G289" i="19"/>
  <c r="H288" i="19"/>
  <c r="G288" i="19"/>
  <c r="H287" i="19"/>
  <c r="G287" i="19"/>
  <c r="H286" i="19"/>
  <c r="G286" i="19"/>
  <c r="H285" i="19"/>
  <c r="G285" i="19"/>
  <c r="H284" i="19"/>
  <c r="G284" i="19"/>
  <c r="H283" i="19"/>
  <c r="G283" i="19"/>
  <c r="H282" i="19"/>
  <c r="G282" i="19"/>
  <c r="H281" i="19"/>
  <c r="G281" i="19"/>
  <c r="H280" i="19"/>
  <c r="G280" i="19"/>
  <c r="H279" i="19"/>
  <c r="G279" i="19"/>
  <c r="H278" i="19"/>
  <c r="G278" i="19"/>
  <c r="H277" i="19"/>
  <c r="G277" i="19"/>
  <c r="H276" i="19"/>
  <c r="G276" i="19"/>
  <c r="H275" i="19"/>
  <c r="G275" i="19"/>
  <c r="H274" i="19"/>
  <c r="G274" i="19"/>
  <c r="H273" i="19"/>
  <c r="G273" i="19"/>
  <c r="H272" i="19"/>
  <c r="G272" i="19"/>
  <c r="H271" i="19"/>
  <c r="G271" i="19"/>
  <c r="H270" i="19"/>
  <c r="G270" i="19"/>
  <c r="H269" i="19"/>
  <c r="G269" i="19"/>
  <c r="H268" i="19"/>
  <c r="G268" i="19"/>
  <c r="H267" i="19"/>
  <c r="G267" i="19"/>
  <c r="H266" i="19"/>
  <c r="G266" i="19"/>
  <c r="H265" i="19"/>
  <c r="G265" i="19"/>
  <c r="H264" i="19"/>
  <c r="G264" i="19"/>
  <c r="H263" i="19"/>
  <c r="G263" i="19"/>
  <c r="H262" i="19"/>
  <c r="G262" i="19"/>
  <c r="H261" i="19"/>
  <c r="G261" i="19"/>
  <c r="H260" i="19"/>
  <c r="G260" i="19"/>
  <c r="H259" i="19"/>
  <c r="G259" i="19"/>
  <c r="H258" i="19"/>
  <c r="G258" i="19"/>
  <c r="H257" i="19"/>
  <c r="G257" i="19"/>
  <c r="H256" i="19"/>
  <c r="G256" i="19"/>
  <c r="H255" i="19"/>
  <c r="G255" i="19"/>
  <c r="H254" i="19"/>
  <c r="G254" i="19"/>
  <c r="H253" i="19"/>
  <c r="G253" i="19"/>
  <c r="H252" i="19"/>
  <c r="G252" i="19"/>
  <c r="H251" i="19"/>
  <c r="G251" i="19"/>
  <c r="H250" i="19"/>
  <c r="G250" i="19"/>
  <c r="H249" i="19"/>
  <c r="G249" i="19"/>
  <c r="H248" i="19"/>
  <c r="G248" i="19"/>
  <c r="H247" i="19"/>
  <c r="G247" i="19"/>
  <c r="H246" i="19"/>
  <c r="G246" i="19"/>
  <c r="H245" i="19"/>
  <c r="G245" i="19"/>
  <c r="H244" i="19"/>
  <c r="G244" i="19"/>
  <c r="H243" i="19"/>
  <c r="G243" i="19"/>
  <c r="H242" i="19"/>
  <c r="G242" i="19"/>
  <c r="H241" i="19"/>
  <c r="G241" i="19"/>
  <c r="H240" i="19"/>
  <c r="G240" i="19"/>
  <c r="H239" i="19"/>
  <c r="G239" i="19"/>
  <c r="H238" i="19"/>
  <c r="G238" i="19"/>
  <c r="H237" i="19"/>
  <c r="G237" i="19"/>
  <c r="H236" i="19"/>
  <c r="G236" i="19"/>
  <c r="H235" i="19"/>
  <c r="G235" i="19"/>
  <c r="H234" i="19"/>
  <c r="G234" i="19"/>
  <c r="H233" i="19"/>
  <c r="G233" i="19"/>
  <c r="H232" i="19"/>
  <c r="G232" i="19"/>
  <c r="H231" i="19"/>
  <c r="G231" i="19"/>
  <c r="H230" i="19"/>
  <c r="G230" i="19"/>
  <c r="H229" i="19"/>
  <c r="G229" i="19"/>
  <c r="H228" i="19"/>
  <c r="G228" i="19"/>
  <c r="H227" i="19"/>
  <c r="G227" i="19"/>
  <c r="H226" i="19"/>
  <c r="G226" i="19"/>
  <c r="H225" i="19"/>
  <c r="G225" i="19"/>
  <c r="H224" i="19"/>
  <c r="G224" i="19"/>
  <c r="H223" i="19"/>
  <c r="G223" i="19"/>
  <c r="H222" i="19"/>
  <c r="G222" i="19"/>
  <c r="H221" i="19"/>
  <c r="G221" i="19"/>
  <c r="H220" i="19"/>
  <c r="G220" i="19"/>
  <c r="H219" i="19"/>
  <c r="G219" i="19"/>
  <c r="H218" i="19"/>
  <c r="G218" i="19"/>
  <c r="H217" i="19"/>
  <c r="G217" i="19"/>
  <c r="H216" i="19"/>
  <c r="G216" i="19"/>
  <c r="H215" i="19"/>
  <c r="G215" i="19"/>
  <c r="H214" i="19"/>
  <c r="G214" i="19"/>
  <c r="H213" i="19"/>
  <c r="G213" i="19"/>
  <c r="H212" i="19"/>
  <c r="G212" i="19"/>
  <c r="H211" i="19"/>
  <c r="G211" i="19"/>
  <c r="H210" i="19"/>
  <c r="G210" i="19"/>
  <c r="H209" i="19"/>
  <c r="G209" i="19"/>
  <c r="H208" i="19"/>
  <c r="G208" i="19"/>
  <c r="H207" i="19"/>
  <c r="G207" i="19"/>
  <c r="H206" i="19"/>
  <c r="G206" i="19"/>
  <c r="H205" i="19"/>
  <c r="G205" i="19"/>
  <c r="H204" i="19"/>
  <c r="G204" i="19"/>
  <c r="H203" i="19"/>
  <c r="G203" i="19"/>
  <c r="H202" i="19"/>
  <c r="G202" i="19"/>
  <c r="H201" i="19"/>
  <c r="G201" i="19"/>
  <c r="H200" i="19"/>
  <c r="G200" i="19"/>
  <c r="H199" i="19"/>
  <c r="G199" i="19"/>
  <c r="H198" i="19"/>
  <c r="G198" i="19"/>
  <c r="H197" i="19"/>
  <c r="G197" i="19"/>
  <c r="H196" i="19"/>
  <c r="G196" i="19"/>
  <c r="H195" i="19"/>
  <c r="G195" i="19"/>
  <c r="H194" i="19"/>
  <c r="G194" i="19"/>
  <c r="H193" i="19"/>
  <c r="G193" i="19"/>
  <c r="H192" i="19"/>
  <c r="G192" i="19"/>
  <c r="H191" i="19"/>
  <c r="G191" i="19"/>
  <c r="H190" i="19"/>
  <c r="G190" i="19"/>
  <c r="H189" i="19"/>
  <c r="G189" i="19"/>
  <c r="H188" i="19"/>
  <c r="G188" i="19"/>
  <c r="H187" i="19"/>
  <c r="G187" i="19"/>
  <c r="H186" i="19"/>
  <c r="G186" i="19"/>
  <c r="H185" i="19"/>
  <c r="G185" i="19"/>
  <c r="H184" i="19"/>
  <c r="G184" i="19"/>
  <c r="H183" i="19"/>
  <c r="G183" i="19"/>
  <c r="H182" i="19"/>
  <c r="G182" i="19"/>
  <c r="H181" i="19"/>
  <c r="G181" i="19"/>
  <c r="H180" i="19"/>
  <c r="G180" i="19"/>
  <c r="H179" i="19"/>
  <c r="G179" i="19"/>
  <c r="H178" i="19"/>
  <c r="G178" i="19"/>
  <c r="H177" i="19"/>
  <c r="G177" i="19"/>
  <c r="H176" i="19"/>
  <c r="G176" i="19"/>
  <c r="H175" i="19"/>
  <c r="G175" i="19"/>
  <c r="H174" i="19"/>
  <c r="G174" i="19"/>
  <c r="H173" i="19"/>
  <c r="G173" i="19"/>
  <c r="H172" i="19"/>
  <c r="G172" i="19"/>
  <c r="H171" i="19"/>
  <c r="G171" i="19"/>
  <c r="H170" i="19"/>
  <c r="G170" i="19"/>
  <c r="H169" i="19"/>
  <c r="G169" i="19"/>
  <c r="H168" i="19"/>
  <c r="G168" i="19"/>
  <c r="H167" i="19"/>
  <c r="G167" i="19"/>
  <c r="H166" i="19"/>
  <c r="G166" i="19"/>
  <c r="H165" i="19"/>
  <c r="G165" i="19"/>
  <c r="H164" i="19"/>
  <c r="G164" i="19"/>
  <c r="H163" i="19"/>
  <c r="G163" i="19"/>
  <c r="H162" i="19"/>
  <c r="G162" i="19"/>
  <c r="H161" i="19"/>
  <c r="G161" i="19"/>
  <c r="H160" i="19"/>
  <c r="G160" i="19"/>
  <c r="H159" i="19"/>
  <c r="G159" i="19"/>
  <c r="H158" i="19"/>
  <c r="G158" i="19"/>
  <c r="H157" i="19"/>
  <c r="G157" i="19"/>
  <c r="H156" i="19"/>
  <c r="G156" i="19"/>
  <c r="H155" i="19"/>
  <c r="G155" i="19"/>
  <c r="H154" i="19"/>
  <c r="G154" i="19"/>
  <c r="H153" i="19"/>
  <c r="G153" i="19"/>
  <c r="H152" i="19"/>
  <c r="G152" i="19"/>
  <c r="H151" i="19"/>
  <c r="G151" i="19"/>
  <c r="H150" i="19"/>
  <c r="G150" i="19"/>
  <c r="H149" i="19"/>
  <c r="G149" i="19"/>
  <c r="H148" i="19"/>
  <c r="G148" i="19"/>
  <c r="H147" i="19"/>
  <c r="G147" i="19"/>
  <c r="H146" i="19"/>
  <c r="G146" i="19"/>
  <c r="H145" i="19"/>
  <c r="G145" i="19"/>
  <c r="H144" i="19"/>
  <c r="G144" i="19"/>
  <c r="H143" i="19"/>
  <c r="G143" i="19"/>
  <c r="H142" i="19"/>
  <c r="G142" i="19"/>
  <c r="H141" i="19"/>
  <c r="G141" i="19"/>
  <c r="H140" i="19"/>
  <c r="G140" i="19"/>
  <c r="H139" i="19"/>
  <c r="G139" i="19"/>
  <c r="H138" i="19"/>
  <c r="G138" i="19"/>
  <c r="H137" i="19"/>
  <c r="G137" i="19"/>
  <c r="H136" i="19"/>
  <c r="G136" i="19"/>
  <c r="H135" i="19"/>
  <c r="G135" i="19"/>
  <c r="H134" i="19"/>
  <c r="G134" i="19"/>
  <c r="H133" i="19"/>
  <c r="G133" i="19"/>
  <c r="H132" i="19"/>
  <c r="G132" i="19"/>
  <c r="H131" i="19"/>
  <c r="G131" i="19"/>
  <c r="H130" i="19"/>
  <c r="G130" i="19"/>
  <c r="H129" i="19"/>
  <c r="G129" i="19"/>
  <c r="H128" i="19"/>
  <c r="G128" i="19"/>
  <c r="H127" i="19"/>
  <c r="G127" i="19"/>
  <c r="H126" i="19"/>
  <c r="G126" i="19"/>
  <c r="H125" i="19"/>
  <c r="G125" i="19"/>
  <c r="H124" i="19"/>
  <c r="G124" i="19"/>
  <c r="H123" i="19"/>
  <c r="G123" i="19"/>
  <c r="H122" i="19"/>
  <c r="G122" i="19"/>
  <c r="H121" i="19"/>
  <c r="G121" i="19"/>
  <c r="H120" i="19"/>
  <c r="G120" i="19"/>
  <c r="H119" i="19"/>
  <c r="G119" i="19"/>
  <c r="H118" i="19"/>
  <c r="G118" i="19"/>
  <c r="H117" i="19"/>
  <c r="G117" i="19"/>
  <c r="H116" i="19"/>
  <c r="G116" i="19"/>
  <c r="H115" i="19"/>
  <c r="G115" i="19"/>
  <c r="H114" i="19"/>
  <c r="G114" i="19"/>
  <c r="H113" i="19"/>
  <c r="G113" i="19"/>
  <c r="H112" i="19"/>
  <c r="G112" i="19"/>
  <c r="H111" i="19"/>
  <c r="G111" i="19"/>
  <c r="H110" i="19"/>
  <c r="G110" i="19"/>
  <c r="H109" i="19"/>
  <c r="G109" i="19"/>
  <c r="H108" i="19"/>
  <c r="G108" i="19"/>
  <c r="H107" i="19"/>
  <c r="G107" i="19"/>
  <c r="H106" i="19"/>
  <c r="G106" i="19"/>
  <c r="H105" i="19"/>
  <c r="G105" i="19"/>
  <c r="H104" i="19"/>
  <c r="G104" i="19"/>
  <c r="H103" i="19"/>
  <c r="G103" i="19"/>
  <c r="H102" i="19"/>
  <c r="G102" i="19"/>
  <c r="H101" i="19"/>
  <c r="G101" i="19"/>
  <c r="H100" i="19"/>
  <c r="G100" i="19"/>
  <c r="H99" i="19"/>
  <c r="G99" i="19"/>
  <c r="H98" i="19"/>
  <c r="G98" i="19"/>
  <c r="H97" i="19"/>
  <c r="G97" i="19"/>
  <c r="H96" i="19"/>
  <c r="G96" i="19"/>
  <c r="H95" i="19"/>
  <c r="G95" i="19"/>
  <c r="H94" i="19"/>
  <c r="G94" i="19"/>
  <c r="H93" i="19"/>
  <c r="G93" i="19"/>
  <c r="H92" i="19"/>
  <c r="G92" i="19"/>
  <c r="H91" i="19"/>
  <c r="G91" i="19"/>
  <c r="H90" i="19"/>
  <c r="G90" i="19"/>
  <c r="H89" i="19"/>
  <c r="G89" i="19"/>
  <c r="H88" i="19"/>
  <c r="G88" i="19"/>
  <c r="H87" i="19"/>
  <c r="G87" i="19"/>
  <c r="H86" i="19"/>
  <c r="G86" i="19"/>
  <c r="H85" i="19"/>
  <c r="G85" i="19"/>
  <c r="H84" i="19"/>
  <c r="G84" i="19"/>
  <c r="H83" i="19"/>
  <c r="G83" i="19"/>
  <c r="H82" i="19"/>
  <c r="G82" i="19"/>
  <c r="H81" i="19"/>
  <c r="G81" i="19"/>
  <c r="H80" i="19"/>
  <c r="G80" i="19"/>
  <c r="H79" i="19"/>
  <c r="G79" i="19"/>
  <c r="H78" i="19"/>
  <c r="G78" i="19"/>
  <c r="H77" i="19"/>
  <c r="G77" i="19"/>
  <c r="H76" i="19"/>
  <c r="G76" i="19"/>
  <c r="H75" i="19"/>
  <c r="G75" i="19"/>
  <c r="H74" i="19"/>
  <c r="G74" i="19"/>
  <c r="H73" i="19"/>
  <c r="G73" i="19"/>
  <c r="H72" i="19"/>
  <c r="G72" i="19"/>
  <c r="H71" i="19"/>
  <c r="G71" i="19"/>
  <c r="H70" i="19"/>
  <c r="G70" i="19"/>
  <c r="H69" i="19"/>
  <c r="G69" i="19"/>
  <c r="H68" i="19"/>
  <c r="G68" i="19"/>
  <c r="H67" i="19"/>
  <c r="G67" i="19"/>
  <c r="H66" i="19"/>
  <c r="G66" i="19"/>
  <c r="H65" i="19"/>
  <c r="G65" i="19"/>
  <c r="H64" i="19"/>
  <c r="G64" i="19"/>
  <c r="H63" i="19"/>
  <c r="G63" i="19"/>
  <c r="H62" i="19"/>
  <c r="G62" i="19"/>
  <c r="H61" i="19"/>
  <c r="G61" i="19"/>
  <c r="H60" i="19"/>
  <c r="G60" i="19"/>
  <c r="H59" i="19"/>
  <c r="G59" i="19"/>
  <c r="H58" i="19"/>
  <c r="G58" i="19"/>
  <c r="H57" i="19"/>
  <c r="G57" i="19"/>
  <c r="H56" i="19"/>
  <c r="G56" i="19"/>
  <c r="H55" i="19"/>
  <c r="G55" i="19"/>
  <c r="H54" i="19"/>
  <c r="G54" i="19"/>
  <c r="H53" i="19"/>
  <c r="G53" i="19"/>
  <c r="H52" i="19"/>
  <c r="G52" i="19"/>
  <c r="H51" i="19"/>
  <c r="G51" i="19"/>
  <c r="H50" i="19"/>
  <c r="G50" i="19"/>
  <c r="H49" i="19"/>
  <c r="G49" i="19"/>
  <c r="H48" i="19"/>
  <c r="G48" i="19"/>
  <c r="H47" i="19"/>
  <c r="G47" i="19"/>
  <c r="H46" i="19"/>
  <c r="G46" i="19"/>
  <c r="H45" i="19"/>
  <c r="G45" i="19"/>
  <c r="H44" i="19"/>
  <c r="G44" i="19"/>
  <c r="H43" i="19"/>
  <c r="G43" i="19"/>
  <c r="H42" i="19"/>
  <c r="G42" i="19"/>
  <c r="H41" i="19"/>
  <c r="G41" i="19"/>
  <c r="H40" i="19"/>
  <c r="G40" i="19"/>
  <c r="H39" i="19"/>
  <c r="G39" i="19"/>
  <c r="H38" i="19"/>
  <c r="G38" i="19"/>
  <c r="H37" i="19"/>
  <c r="G37" i="19"/>
  <c r="H36" i="19"/>
  <c r="G36" i="19"/>
  <c r="H35" i="19"/>
  <c r="G35" i="19"/>
  <c r="H34" i="19"/>
  <c r="G34" i="19"/>
  <c r="H33" i="19"/>
  <c r="G33" i="19"/>
  <c r="H32" i="19"/>
  <c r="G32" i="19"/>
  <c r="H31" i="19"/>
  <c r="G31" i="19"/>
  <c r="H30" i="19"/>
  <c r="G30" i="19"/>
  <c r="H29" i="19"/>
  <c r="G29" i="19"/>
  <c r="H28" i="19"/>
  <c r="G28" i="19"/>
  <c r="H27" i="19"/>
  <c r="G27" i="19"/>
  <c r="H26" i="19"/>
  <c r="G26" i="19"/>
  <c r="H25" i="19"/>
  <c r="G25" i="19"/>
  <c r="H24" i="19"/>
  <c r="G24" i="19"/>
  <c r="H23" i="19"/>
  <c r="G23" i="19"/>
  <c r="H22" i="19"/>
  <c r="G22" i="19"/>
  <c r="H21" i="19"/>
  <c r="G21" i="19"/>
  <c r="H20" i="19"/>
  <c r="G20" i="19"/>
  <c r="H19" i="19"/>
  <c r="G19" i="19"/>
  <c r="H18" i="19"/>
  <c r="G18" i="19"/>
  <c r="H17" i="19"/>
  <c r="G17" i="19"/>
  <c r="H16" i="19"/>
  <c r="G16" i="19"/>
  <c r="H15" i="19"/>
  <c r="G15" i="19"/>
  <c r="H14" i="19"/>
  <c r="G14" i="19"/>
  <c r="H13" i="19"/>
  <c r="G13" i="19"/>
  <c r="H12" i="19"/>
  <c r="G12" i="19"/>
  <c r="H11" i="19"/>
  <c r="G11" i="19"/>
  <c r="H10" i="19"/>
  <c r="G10" i="19"/>
  <c r="H9" i="19"/>
  <c r="G9" i="19"/>
  <c r="H8" i="19"/>
  <c r="G8" i="19"/>
  <c r="H7" i="19"/>
  <c r="G7" i="19"/>
  <c r="H6" i="19"/>
  <c r="G6" i="19"/>
  <c r="H5" i="19"/>
  <c r="G5" i="19"/>
  <c r="H4" i="19"/>
  <c r="G4" i="19"/>
  <c r="H3" i="19"/>
  <c r="G3" i="19"/>
  <c r="H2" i="19"/>
  <c r="G2" i="19"/>
  <c r="L128" i="18"/>
  <c r="J128" i="18"/>
  <c r="L127" i="18"/>
  <c r="J127" i="18"/>
  <c r="L126" i="18"/>
  <c r="J126" i="18"/>
  <c r="L125" i="18"/>
  <c r="J125" i="18"/>
  <c r="L124" i="18"/>
  <c r="J124" i="18"/>
  <c r="L123" i="18"/>
  <c r="J123" i="18"/>
  <c r="L122" i="18"/>
  <c r="J122" i="18"/>
  <c r="L121" i="18"/>
  <c r="J121" i="18"/>
  <c r="K15" i="18"/>
  <c r="K14" i="18"/>
  <c r="K13" i="18"/>
  <c r="K12" i="18"/>
  <c r="F6" i="18"/>
  <c r="E6" i="18"/>
  <c r="F4" i="15" s="1"/>
  <c r="F5" i="18"/>
  <c r="C8" i="15" s="1"/>
  <c r="E5" i="18"/>
  <c r="C4" i="15" s="1"/>
  <c r="D5" i="18"/>
  <c r="C6" i="15" s="1"/>
  <c r="C5" i="18"/>
  <c r="B5" i="18"/>
  <c r="C7" i="15" s="1"/>
  <c r="F4" i="18"/>
  <c r="A8" i="15" s="1"/>
  <c r="E4" i="18"/>
  <c r="A4" i="15" s="1"/>
  <c r="D4" i="18"/>
  <c r="A6" i="15" s="1"/>
  <c r="C4" i="18"/>
  <c r="A5" i="15" s="1"/>
  <c r="B4" i="18"/>
  <c r="A7" i="15" s="1"/>
  <c r="AB47" i="4"/>
  <c r="AB46" i="4"/>
  <c r="AB45" i="4"/>
  <c r="AB44" i="4"/>
  <c r="AB43" i="4"/>
  <c r="Q43" i="4"/>
  <c r="AB42" i="4"/>
  <c r="Q42" i="4"/>
  <c r="AB41" i="4"/>
  <c r="Q41" i="4" a="1"/>
  <c r="Q41" i="4" s="1"/>
  <c r="AB40" i="4"/>
  <c r="Q40" i="4"/>
  <c r="AB39" i="4"/>
  <c r="Q39" i="4"/>
  <c r="AB38" i="4"/>
  <c r="Q38" i="4"/>
  <c r="AB37" i="4"/>
  <c r="Q37" i="4"/>
  <c r="AB36" i="4"/>
  <c r="Q36" i="4"/>
  <c r="AB35" i="4"/>
  <c r="AB34" i="4"/>
  <c r="AB33" i="4"/>
  <c r="AK19" i="4"/>
  <c r="AJ19" i="4"/>
  <c r="AH19" i="4"/>
  <c r="AF19" i="4"/>
  <c r="AK18" i="4"/>
  <c r="AJ18" i="4"/>
  <c r="AH18" i="4"/>
  <c r="AF18" i="4"/>
  <c r="L18" i="4"/>
  <c r="K18" i="4"/>
  <c r="AK17" i="4"/>
  <c r="AJ17" i="4"/>
  <c r="AH17" i="4"/>
  <c r="AF17" i="4"/>
  <c r="L17" i="4"/>
  <c r="K17" i="4"/>
  <c r="AK16" i="4"/>
  <c r="AJ16" i="4"/>
  <c r="AH16" i="4"/>
  <c r="AF16" i="4"/>
  <c r="L16" i="4"/>
  <c r="K16" i="4"/>
  <c r="AL19" i="4" s="1"/>
  <c r="AL15" i="4"/>
  <c r="AK15" i="4"/>
  <c r="AJ15" i="4"/>
  <c r="AH15" i="4"/>
  <c r="AF15" i="4"/>
  <c r="L15" i="4"/>
  <c r="K15" i="4"/>
  <c r="AK14" i="4"/>
  <c r="AJ14" i="4"/>
  <c r="AH14" i="4"/>
  <c r="AF14" i="4"/>
  <c r="L14" i="4"/>
  <c r="K14" i="4"/>
  <c r="AL17" i="4" s="1"/>
  <c r="AK13" i="4"/>
  <c r="AJ13" i="4"/>
  <c r="AH13" i="4"/>
  <c r="AF13" i="4"/>
  <c r="L13" i="4"/>
  <c r="K13" i="4"/>
  <c r="AK12" i="4"/>
  <c r="AJ12" i="4"/>
  <c r="AH12" i="4"/>
  <c r="AF12" i="4"/>
  <c r="L12" i="4"/>
  <c r="K12" i="4"/>
  <c r="AL14" i="4" s="1"/>
  <c r="AK11" i="4"/>
  <c r="AJ11" i="4"/>
  <c r="AH11" i="4"/>
  <c r="AF11" i="4"/>
  <c r="P11" i="4"/>
  <c r="O11" i="4"/>
  <c r="L11" i="4"/>
  <c r="K11" i="4"/>
  <c r="AK10" i="4"/>
  <c r="AJ10" i="4"/>
  <c r="AH10" i="4"/>
  <c r="AF10" i="4"/>
  <c r="P10" i="4"/>
  <c r="O10" i="4"/>
  <c r="L10" i="4"/>
  <c r="K10" i="4"/>
  <c r="AL13" i="4" s="1"/>
  <c r="AK9" i="4"/>
  <c r="AJ9" i="4"/>
  <c r="AH9" i="4"/>
  <c r="AF9" i="4"/>
  <c r="P9" i="4" a="1"/>
  <c r="P9" i="4" s="1"/>
  <c r="O9" i="4" a="1"/>
  <c r="O9" i="4" s="1"/>
  <c r="L9" i="4"/>
  <c r="K9" i="4"/>
  <c r="AL12" i="4" s="1"/>
  <c r="AK8" i="4"/>
  <c r="AJ8" i="4"/>
  <c r="AH8" i="4"/>
  <c r="AF8" i="4"/>
  <c r="P8" i="4"/>
  <c r="O8" i="4"/>
  <c r="L8" i="4"/>
  <c r="K8" i="4"/>
  <c r="AK7" i="4"/>
  <c r="AJ7" i="4"/>
  <c r="AH7" i="4"/>
  <c r="AF7" i="4"/>
  <c r="P7" i="4"/>
  <c r="O7" i="4"/>
  <c r="L7" i="4"/>
  <c r="K7" i="4"/>
  <c r="AL10" i="4" s="1"/>
  <c r="P6" i="4"/>
  <c r="O6" i="4"/>
  <c r="L6" i="4"/>
  <c r="K6" i="4"/>
  <c r="P5" i="4"/>
  <c r="O5" i="4"/>
  <c r="L5" i="4"/>
  <c r="K5" i="4"/>
  <c r="P4" i="4"/>
  <c r="O4" i="4"/>
  <c r="L4" i="4"/>
  <c r="K4" i="4"/>
  <c r="Q11" i="4" s="1"/>
  <c r="O409" i="18" l="1"/>
  <c r="O407" i="18"/>
  <c r="O404" i="18"/>
  <c r="O410" i="18"/>
  <c r="O408" i="18"/>
  <c r="O405" i="18"/>
  <c r="O406" i="18"/>
  <c r="L408" i="18"/>
  <c r="O412" i="18"/>
  <c r="O411" i="18"/>
  <c r="L14" i="18"/>
  <c r="P409" i="18"/>
  <c r="P408" i="18"/>
  <c r="P407" i="18"/>
  <c r="G424" i="18"/>
  <c r="P406" i="18"/>
  <c r="P405" i="18"/>
  <c r="P404" i="18"/>
  <c r="P403" i="18"/>
  <c r="N427" i="18"/>
  <c r="Y3" i="13" a="1"/>
  <c r="Y3" i="13" s="1"/>
  <c r="M3" i="13" a="1"/>
  <c r="M3" i="13" s="1"/>
  <c r="AK3" i="13" a="1"/>
  <c r="AK3" i="13" s="1"/>
  <c r="A3" i="13" a="1"/>
  <c r="A3" i="13" s="1"/>
  <c r="O413" i="18"/>
  <c r="P402" i="18"/>
  <c r="P412" i="18"/>
  <c r="O403" i="18"/>
  <c r="P413" i="18"/>
  <c r="P411" i="18"/>
  <c r="P252" i="18"/>
  <c r="P247" i="18"/>
  <c r="P244" i="18"/>
  <c r="P243" i="18"/>
  <c r="P242" i="18"/>
  <c r="P241" i="18"/>
  <c r="P251" i="18"/>
  <c r="P250" i="18"/>
  <c r="P249" i="18"/>
  <c r="P248" i="18"/>
  <c r="P246" i="18"/>
  <c r="S238" i="18"/>
  <c r="P256" i="18"/>
  <c r="P240" i="18"/>
  <c r="P245" i="18"/>
  <c r="P255" i="18"/>
  <c r="P239" i="18"/>
  <c r="P254" i="18"/>
  <c r="P238" i="18"/>
  <c r="P253" i="18"/>
  <c r="P237" i="18"/>
  <c r="L15" i="18"/>
  <c r="B6" i="18"/>
  <c r="J5" i="18"/>
  <c r="L12" i="18"/>
  <c r="K4" i="18"/>
  <c r="F8" i="15"/>
  <c r="Q7" i="4"/>
  <c r="AL11" i="4"/>
  <c r="AL9" i="4"/>
  <c r="AL8" i="4"/>
  <c r="Q4" i="4"/>
  <c r="Q10" i="4"/>
  <c r="AL18" i="4"/>
  <c r="Q5" i="4"/>
  <c r="AL7" i="4"/>
  <c r="AL16" i="4"/>
  <c r="J4" i="18"/>
  <c r="Q8" i="4"/>
  <c r="Q6" i="4"/>
  <c r="C6" i="18" s="1"/>
  <c r="L405" i="18" l="1"/>
  <c r="G421" i="18"/>
  <c r="F7" i="15"/>
  <c r="K5" i="18"/>
  <c r="F5" i="15"/>
  <c r="C5" i="15"/>
  <c r="Q9" i="4" a="1"/>
  <c r="Q9" i="4" s="1"/>
  <c r="D6" i="18"/>
  <c r="F6"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H2" authorId="0" shapeId="0" xr:uid="{50CA4D02-6A88-4D9D-B463-406CE90F81FE}">
      <text>
        <r>
          <rPr>
            <b/>
            <sz val="9"/>
            <color indexed="81"/>
            <rFont val="Tahoma"/>
            <family val="2"/>
          </rPr>
          <t>Acer:</t>
        </r>
        <r>
          <rPr>
            <sz val="9"/>
            <color indexed="81"/>
            <rFont val="Tahoma"/>
            <family val="2"/>
          </rPr>
          <t xml:space="preserve">
Monthly expenses, income and net income computation.</t>
        </r>
      </text>
    </comment>
    <comment ref="N2" authorId="0" shapeId="0" xr:uid="{55A59BB8-52F5-4DA1-B32F-183313C2C529}">
      <text>
        <r>
          <rPr>
            <b/>
            <sz val="9"/>
            <color indexed="81"/>
            <rFont val="Tahoma"/>
            <family val="2"/>
          </rPr>
          <t>Acer:</t>
        </r>
        <r>
          <rPr>
            <sz val="9"/>
            <color indexed="81"/>
            <rFont val="Tahoma"/>
            <family val="2"/>
          </rPr>
          <t xml:space="preserve">
Statistic summary of expenses, income and net income.
1. Skew
- the symmetry of data distribution.
- interpretation guidelines:
    - Normal skew value:
        - value = 0
    - Roughly Normal value:
        - 0 &gt; value &gt;= -0.5
        - 0 &lt; value &lt;= 0.5
    - Slightly skewed value:
        - (-1) &lt; value &lt;= -0.5; or
        - 1 &gt; value &gt;= 0.5
    - Skewed value:
        - value &lt; -1
        - value &gt; 1
2. Kurtosis
- the presence of data to the left and right tail of the distribution.
- interpretation guidelines:
    - Normal tail value
        - value = 0
    - Approximately normal value
        -  (-0.5) &lt;= value &lt;= 0.5
    - Slightly tailed value:
        - 0.5 &lt; value &lt;= 1
    - Heavily tailed value
        - value &gt; 1
    - Slightly light-tailed value:
        - (-0.5) &gt; value &gt;= -1
    - Strongly light-tailed value:
        - value &lt; -1
3. Mean
- quantitative average of the data.
4. Standard deviation (stedev)
- the spread of data from the mean.
5. Median
- the middle value of the data.
6. MAD (median absolute deviation)
- absolute data dispersion around the median.
7. 25th percentile (25%)
- median value in 25th percentile
8. 75th percentile (75%)
- median value in 75th percentile.</t>
        </r>
      </text>
    </comment>
    <comment ref="J3" authorId="0" shapeId="0" xr:uid="{87FE2DAD-B30A-4922-9936-721CBCCBEEEC}">
      <text>
        <r>
          <rPr>
            <b/>
            <sz val="9"/>
            <color indexed="81"/>
            <rFont val="Tahoma"/>
            <family val="2"/>
          </rPr>
          <t>Acer:</t>
        </r>
        <r>
          <rPr>
            <sz val="9"/>
            <color indexed="81"/>
            <rFont val="Tahoma"/>
            <family val="2"/>
          </rPr>
          <t xml:space="preserve">
Sep. 2023 and Oct. 2023 income months were not included since it does not have expenses records and will disrupt the analysis on net income.
See "Monthly Expenses and Income" pivot table (left side of this table)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J72" authorId="0" shapeId="0" xr:uid="{07075438-35F3-478F-80B9-EFDBC0CCF9D2}">
      <text>
        <r>
          <rPr>
            <b/>
            <sz val="9"/>
            <color indexed="81"/>
            <rFont val="Tahoma"/>
            <family val="2"/>
          </rPr>
          <t>Acer:</t>
        </r>
        <r>
          <rPr>
            <sz val="9"/>
            <color indexed="81"/>
            <rFont val="Tahoma"/>
            <family val="2"/>
          </rPr>
          <t xml:space="preserve">
</t>
        </r>
        <r>
          <rPr>
            <b/>
            <sz val="9"/>
            <color indexed="81"/>
            <rFont val="Tahoma"/>
            <family val="2"/>
          </rPr>
          <t>Fixed</t>
        </r>
        <r>
          <rPr>
            <sz val="9"/>
            <color indexed="81"/>
            <rFont val="Tahoma"/>
            <family val="2"/>
          </rPr>
          <t xml:space="preserve">
- Usual monthly expenses transaction.
- Usually do transaction at least once in a month.
</t>
        </r>
        <r>
          <rPr>
            <b/>
            <sz val="9"/>
            <color indexed="81"/>
            <rFont val="Tahoma"/>
            <family val="2"/>
          </rPr>
          <t>Not Fixed</t>
        </r>
        <r>
          <rPr>
            <sz val="9"/>
            <color indexed="81"/>
            <rFont val="Tahoma"/>
            <family val="2"/>
          </rPr>
          <t xml:space="preserve">
- Sometimes do not have transactions a month.
- Transaction frequency may vary, maybe once, twice or none in a month.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A2" authorId="0" shapeId="0" xr:uid="{CC887EA1-94DB-4AA3-BA66-67C5F66CA776}">
      <text>
        <r>
          <rPr>
            <b/>
            <sz val="9"/>
            <color indexed="81"/>
            <rFont val="Tahoma"/>
            <family val="2"/>
          </rPr>
          <t>Acer:</t>
        </r>
        <r>
          <rPr>
            <sz val="9"/>
            <color indexed="81"/>
            <rFont val="Tahoma"/>
            <family val="2"/>
          </rPr>
          <t xml:space="preserve">
The dataset was drawn from MySQL.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45FA29-3A7E-48EA-B9D0-22CB2CB36768}" keepAlive="1" name="Query - FromArray_1" description="Connection to the 'FromArray_1' query in the workbook." type="5" refreshedVersion="0" background="1">
    <dbPr connection="Provider=Microsoft.Mashup.OleDb.1;Data Source=$Workbook$;Location=FromArray_1;Extended Properties=&quot;&quot;" command="SELECT * FROM [FromArray_1]"/>
  </connection>
  <connection id="2" xr16:uid="{FCB3239B-56E9-4F87-9DD8-ECAAE8048663}" keepAlive="1" name="Query - personal_finance_data" description="Connection to the 'personal_finance_data' query in the workbook." type="5" refreshedVersion="0" background="1">
    <dbPr connection="Provider=Microsoft.Mashup.OleDb.1;Data Source=$Workbook$;Location=personal_finance_data;Extended Properties=&quot;&quot;" command="SELECT * FROM [personal_finance_data]"/>
  </connection>
  <connection id="3" xr16:uid="{C0C1D1FF-1D6A-4024-895F-A3D90DEE346E}" keepAlive="1" name="Query - personal_finance_data (2)" description="Connection to the 'personal_finance_data (2)' query in the workbook." type="5" refreshedVersion="8" background="1" saveData="1">
    <dbPr connection="Provider=Microsoft.Mashup.OleDb.1;Data Source=$Workbook$;Location=&quot;personal_finance_data (2)&quot;;Extended Properties=&quot;&quot;" command="SELECT * FROM [personal_finance_data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<sst xmlns="http://schemas.openxmlformats.org/spreadsheetml/2006/main" count="14834" uniqueCount="500">
  <si>
    <t>trans_no</t>
  </si>
  <si>
    <t>date</t>
  </si>
  <si>
    <t>details</t>
  </si>
  <si>
    <t>amount</t>
  </si>
  <si>
    <t>transaction</t>
  </si>
  <si>
    <t>transaction_mode</t>
  </si>
  <si>
    <t>サラリー</t>
  </si>
  <si>
    <t>Income</t>
  </si>
  <si>
    <t>Bank</t>
  </si>
  <si>
    <t xml:space="preserve">bank withdraw </t>
  </si>
  <si>
    <t>Withdraw</t>
  </si>
  <si>
    <t>stash deposit</t>
  </si>
  <si>
    <t>Deposit</t>
  </si>
  <si>
    <t>Stash</t>
  </si>
  <si>
    <t>Monthly gasoline (oct)</t>
  </si>
  <si>
    <t>Expenses</t>
  </si>
  <si>
    <t>Balay (Oct)</t>
  </si>
  <si>
    <t>Tahong harvest</t>
  </si>
  <si>
    <t>pansit canton</t>
  </si>
  <si>
    <t>monay</t>
  </si>
  <si>
    <t>Gcash cash-in</t>
  </si>
  <si>
    <t>G-cash</t>
  </si>
  <si>
    <t>Ink</t>
  </si>
  <si>
    <t>Oishi</t>
  </si>
  <si>
    <t>Spotify</t>
  </si>
  <si>
    <t>Monay (1 putos)</t>
  </si>
  <si>
    <t>Century Tuna</t>
  </si>
  <si>
    <t>Tatoos</t>
  </si>
  <si>
    <t>Supa</t>
  </si>
  <si>
    <t>Mineral water</t>
  </si>
  <si>
    <t>Mang Juan</t>
  </si>
  <si>
    <t xml:space="preserve">Bayad referee </t>
  </si>
  <si>
    <t>chalk</t>
  </si>
  <si>
    <t>Income (with bonus?)</t>
  </si>
  <si>
    <t>YT Membership</t>
  </si>
  <si>
    <t>Genshin Welkin</t>
  </si>
  <si>
    <t>kape</t>
  </si>
  <si>
    <t>bioderm</t>
  </si>
  <si>
    <t>Ebo Sweldo</t>
  </si>
  <si>
    <t>Pasahe</t>
  </si>
  <si>
    <t>Pamahaw</t>
  </si>
  <si>
    <t>Choco-choco</t>
  </si>
  <si>
    <t>Star bread</t>
  </si>
  <si>
    <t>Pamasahe</t>
  </si>
  <si>
    <t>Noodles beef</t>
  </si>
  <si>
    <t>balay (nov)</t>
  </si>
  <si>
    <t>Gasolina (nov)</t>
  </si>
  <si>
    <t>Bioderm</t>
  </si>
  <si>
    <t>Aragmot (chrsPty_simba)</t>
  </si>
  <si>
    <t>Family day price</t>
  </si>
  <si>
    <t>wifi load (magic data)</t>
  </si>
  <si>
    <t>pamasahe (lamingao - villa)</t>
  </si>
  <si>
    <t>pamasahe (pantalan - sakayan)</t>
  </si>
  <si>
    <t>pamasahe (Villareal - Tacloban)</t>
  </si>
  <si>
    <t>pamahaw</t>
  </si>
  <si>
    <t>laptop upgrade labor</t>
  </si>
  <si>
    <t xml:space="preserve">battery </t>
  </si>
  <si>
    <t>SSD</t>
  </si>
  <si>
    <t xml:space="preserve">HDD enclosure </t>
  </si>
  <si>
    <t>tinapay</t>
  </si>
  <si>
    <t>lubi shake</t>
  </si>
  <si>
    <t>pamasahe (tacloban - villa)</t>
  </si>
  <si>
    <t>pamasahe (villareal - Lamingao)</t>
  </si>
  <si>
    <t>wow ulam</t>
  </si>
  <si>
    <t>wifi load (family access)</t>
  </si>
  <si>
    <t>Steam (nirvanA Initiative)</t>
  </si>
  <si>
    <t>pandesal</t>
  </si>
  <si>
    <t>tubig</t>
  </si>
  <si>
    <t>pamasahe (villa - kasang-an)</t>
  </si>
  <si>
    <t>utang sir caro</t>
  </si>
  <si>
    <t>fita</t>
  </si>
  <si>
    <t>SRI</t>
  </si>
  <si>
    <t>district t-shirt</t>
  </si>
  <si>
    <t>pamasahe (kasang-an - villa</t>
  </si>
  <si>
    <t>putok</t>
  </si>
  <si>
    <t>pamasahe (villa - pantalan)</t>
  </si>
  <si>
    <t>pamasahe (villa - lamingao)</t>
  </si>
  <si>
    <t>hatag kanda mama</t>
  </si>
  <si>
    <t>tuba</t>
  </si>
  <si>
    <t>pepsi</t>
  </si>
  <si>
    <t>pamasahe (villa - tacloban)</t>
  </si>
  <si>
    <t>medisina</t>
  </si>
  <si>
    <t>pagkaon</t>
  </si>
  <si>
    <t>laptop keyboard</t>
  </si>
  <si>
    <t>keyboard labor</t>
  </si>
  <si>
    <t>shawarma</t>
  </si>
  <si>
    <t>coke 1.5 (2 pcs)</t>
  </si>
  <si>
    <t>irimnon</t>
  </si>
  <si>
    <t>Gcash cash-in (aragmot kanda(ate angie, mam angel)</t>
  </si>
  <si>
    <t>Gcash cash-in (aragmot kan(mam jonna)</t>
  </si>
  <si>
    <t>Steam (Left 4 Dead 2)</t>
  </si>
  <si>
    <t>aragmot (trainer)</t>
  </si>
  <si>
    <t>aragmot (trainer kanda(ate angie, mam angel, mam jonna))</t>
  </si>
  <si>
    <t>aragmot (festival trainer)</t>
  </si>
  <si>
    <t>aragmot (misa sponsor)</t>
  </si>
  <si>
    <t>aragmot (kan mam jonna)</t>
  </si>
  <si>
    <t>black shoes</t>
  </si>
  <si>
    <t>bluetooth speaker</t>
  </si>
  <si>
    <t>USB port extension</t>
  </si>
  <si>
    <t>crispy king paniudto</t>
  </si>
  <si>
    <t>pamasahe (catbalogan - pier 1)</t>
  </si>
  <si>
    <t>pamasahe (lamingao - catbalogan x4)</t>
  </si>
  <si>
    <t>Gasolina (dec)</t>
  </si>
  <si>
    <t>Kape 2x</t>
  </si>
  <si>
    <t>Irimnon</t>
  </si>
  <si>
    <t>tapar para kan sir Rugie</t>
  </si>
  <si>
    <t>paniudto</t>
  </si>
  <si>
    <t>snack</t>
  </si>
  <si>
    <t>pamasahe</t>
  </si>
  <si>
    <t>pamahase (villa - lamingao)</t>
  </si>
  <si>
    <t>pamasahe (villa - catbalogan)</t>
  </si>
  <si>
    <t>bag sena</t>
  </si>
  <si>
    <t>boxer shorts walker</t>
  </si>
  <si>
    <t>ID picture (michaela)</t>
  </si>
  <si>
    <t>paste</t>
  </si>
  <si>
    <t>photopaper</t>
  </si>
  <si>
    <t>tsinelas</t>
  </si>
  <si>
    <t>notaryo</t>
  </si>
  <si>
    <t>pamasahe (catbalogan - terminal)</t>
  </si>
  <si>
    <t>pamasahe (terminal - villa)</t>
  </si>
  <si>
    <t>Gasolina (jan)</t>
  </si>
  <si>
    <t>balay (jan)</t>
  </si>
  <si>
    <t>Steam (Yakuza 0)</t>
  </si>
  <si>
    <t>pasahe (villa II - villa)</t>
  </si>
  <si>
    <t>Earphone</t>
  </si>
  <si>
    <t>Steam (vampire survivors)</t>
  </si>
  <si>
    <t>Steam (overcooked 2)</t>
  </si>
  <si>
    <t>coke 1.5</t>
  </si>
  <si>
    <t>pamasahe (terminal - downtown)</t>
  </si>
  <si>
    <t>pamasahe (downtown - terminal)</t>
  </si>
  <si>
    <t>earpod</t>
  </si>
  <si>
    <t>さラリー</t>
  </si>
  <si>
    <t>coke</t>
  </si>
  <si>
    <t>Gasolina (feb 2024)</t>
  </si>
  <si>
    <t>balay (feb 2024)</t>
  </si>
  <si>
    <t>Arot</t>
  </si>
  <si>
    <t>bank withdraw</t>
  </si>
  <si>
    <t>bank withdraw fee</t>
  </si>
  <si>
    <t>ref (hulog)</t>
  </si>
  <si>
    <t>ketchup</t>
  </si>
  <si>
    <t>inom</t>
  </si>
  <si>
    <t>panilot</t>
  </si>
  <si>
    <t>sabon powder</t>
  </si>
  <si>
    <t>halo-halo (4x)</t>
  </si>
  <si>
    <t>Gasolina (mar)</t>
  </si>
  <si>
    <t>balay</t>
  </si>
  <si>
    <t>brutsa</t>
  </si>
  <si>
    <t>clothing allowance</t>
  </si>
  <si>
    <t>sabon powder (1 tie)</t>
  </si>
  <si>
    <t>Palaman peanut</t>
  </si>
  <si>
    <t>Tolits financial assistance</t>
  </si>
  <si>
    <t>Tito patron assistance</t>
  </si>
  <si>
    <t>Lola Rosa patron assistance</t>
  </si>
  <si>
    <t>Gasolina (april)</t>
  </si>
  <si>
    <t>mobile load (magic data)</t>
  </si>
  <si>
    <t>ボーナスサラリー</t>
  </si>
  <si>
    <t xml:space="preserve">folder </t>
  </si>
  <si>
    <t>aragmot (recognition hosting)</t>
  </si>
  <si>
    <t>aragmot (graduation)</t>
  </si>
  <si>
    <t>Gasolina</t>
  </si>
  <si>
    <t>pasahe (villa - tacloban)</t>
  </si>
  <si>
    <t>Mcdo</t>
  </si>
  <si>
    <t>withdraw (atm)</t>
  </si>
  <si>
    <t>withdraw charges</t>
  </si>
  <si>
    <t>deposit (to stash)</t>
  </si>
  <si>
    <t>ID picture (Asayas)</t>
  </si>
  <si>
    <t>pamasahe (prc - mercury)</t>
  </si>
  <si>
    <t>Jollibee</t>
  </si>
  <si>
    <t>Sheena (Exam fee)</t>
  </si>
  <si>
    <t>mango shake</t>
  </si>
  <si>
    <t>aficionado (F28)</t>
  </si>
  <si>
    <t>pasahe (tacloban - villa)</t>
  </si>
  <si>
    <t>Gcash cash-in (NLC)</t>
  </si>
  <si>
    <t>Gcash cash-out (NLC; to mam Daisy)</t>
  </si>
  <si>
    <t>Gacash cash-in</t>
  </si>
  <si>
    <t>gasolina</t>
  </si>
  <si>
    <t>Membership gift</t>
  </si>
  <si>
    <t xml:space="preserve">Sheena </t>
  </si>
  <si>
    <t>pamasahe (lamingao - catbalogan)</t>
  </si>
  <si>
    <t>eco-bag</t>
  </si>
  <si>
    <t>pasahe</t>
  </si>
  <si>
    <t>pamasahe (catbalogan - villa)</t>
  </si>
  <si>
    <t>bioderm 3 bxs</t>
  </si>
  <si>
    <t>steam summer sale</t>
  </si>
  <si>
    <t>supa</t>
  </si>
  <si>
    <t>gaming chair</t>
  </si>
  <si>
    <t xml:space="preserve">cellophane </t>
  </si>
  <si>
    <t>pancit canton</t>
  </si>
  <si>
    <t>plywood sta clara</t>
  </si>
  <si>
    <t>epoxy el kapitan</t>
  </si>
  <si>
    <t>bronze nail</t>
  </si>
  <si>
    <t>labor</t>
  </si>
  <si>
    <t>jolly-spagetti (1 topperware)</t>
  </si>
  <si>
    <t>jolly-burger</t>
  </si>
  <si>
    <t>handa (birthday)</t>
  </si>
  <si>
    <t>welcome party aragmot</t>
  </si>
  <si>
    <t>bokbok</t>
  </si>
  <si>
    <t>diatabs</t>
  </si>
  <si>
    <t>donation</t>
  </si>
  <si>
    <t>lomotil</t>
  </si>
  <si>
    <t>cash allowance</t>
  </si>
  <si>
    <t>yakult</t>
  </si>
  <si>
    <t>piatos</t>
  </si>
  <si>
    <t>sphero (1 L)</t>
  </si>
  <si>
    <t>epoxy</t>
  </si>
  <si>
    <t>pintura orange (1 L)</t>
  </si>
  <si>
    <t>pintura blue (1 can)</t>
  </si>
  <si>
    <t>mano tantan</t>
  </si>
  <si>
    <t>boysen lemon yellow (1/4 L)</t>
  </si>
  <si>
    <t>Epoxy Red oxide (1 L)</t>
  </si>
  <si>
    <t>chalk allowance</t>
  </si>
  <si>
    <t>soft drinks 1.5L</t>
  </si>
  <si>
    <t>aragmot (induction)</t>
  </si>
  <si>
    <t>microsoft office install</t>
  </si>
  <si>
    <t>gala</t>
  </si>
  <si>
    <t>coke mismo (2 case)</t>
  </si>
  <si>
    <t>bag</t>
  </si>
  <si>
    <t>ぴびび</t>
  </si>
  <si>
    <t>sura</t>
  </si>
  <si>
    <t>YT sticker</t>
  </si>
  <si>
    <t>bonay</t>
  </si>
  <si>
    <t>sheena</t>
  </si>
  <si>
    <t>pamasahe (guimbalangawan - guintarcan)</t>
  </si>
  <si>
    <t>pamasahe (guintarcan - guimbalangawan)</t>
  </si>
  <si>
    <t>notebook</t>
  </si>
  <si>
    <t>coke mismo</t>
  </si>
  <si>
    <t>tito dondon</t>
  </si>
  <si>
    <t>aragmot (teachers day)</t>
  </si>
  <si>
    <t>science quiz bee rewards</t>
  </si>
  <si>
    <t>burger</t>
  </si>
  <si>
    <t>intrams props</t>
  </si>
  <si>
    <t>???</t>
  </si>
  <si>
    <t>gasolina (sept 24)</t>
  </si>
  <si>
    <t>balay (sept 24)</t>
  </si>
  <si>
    <t>sheena paayad</t>
  </si>
  <si>
    <t>pasahe (guimbalangawan - guintarcan)</t>
  </si>
  <si>
    <t>scouting membership</t>
  </si>
  <si>
    <t>sabon panlaba</t>
  </si>
  <si>
    <t>letson</t>
  </si>
  <si>
    <t>steam (outlast)</t>
  </si>
  <si>
    <t>arot</t>
  </si>
  <si>
    <t>manok</t>
  </si>
  <si>
    <t>hotdog</t>
  </si>
  <si>
    <t>burger steak</t>
  </si>
  <si>
    <t>bayad absent</t>
  </si>
  <si>
    <t>referee</t>
  </si>
  <si>
    <t>suhol tubig</t>
  </si>
  <si>
    <t>disposable cups</t>
  </si>
  <si>
    <t>歳末のボーナス</t>
  </si>
  <si>
    <t>cash gift</t>
  </si>
  <si>
    <t>gasolina (oct 24)</t>
  </si>
  <si>
    <t>asite</t>
  </si>
  <si>
    <t>donation - basket ball G11</t>
  </si>
  <si>
    <t>donation - basket ball G9</t>
  </si>
  <si>
    <t>donation - basket ball G10</t>
  </si>
  <si>
    <t>donation - volley ball</t>
  </si>
  <si>
    <t>ballpen</t>
  </si>
  <si>
    <t>kape blanca</t>
  </si>
  <si>
    <t>portfolio day</t>
  </si>
  <si>
    <t>mesa de gallo</t>
  </si>
  <si>
    <t>xmas party</t>
  </si>
  <si>
    <t>prize</t>
  </si>
  <si>
    <t>soft drinks</t>
  </si>
  <si>
    <t>brownies</t>
  </si>
  <si>
    <t>第十三月のサラリー</t>
  </si>
  <si>
    <t>bado</t>
  </si>
  <si>
    <t>phone stand</t>
  </si>
  <si>
    <t>asiti</t>
  </si>
  <si>
    <t>panigab-i</t>
  </si>
  <si>
    <t>boxer shorts</t>
  </si>
  <si>
    <t>sliced bread</t>
  </si>
  <si>
    <t>kuya huram</t>
  </si>
  <si>
    <t>red horse (1 case)</t>
  </si>
  <si>
    <t>pamaskuhan</t>
  </si>
  <si>
    <t>bata medyas</t>
  </si>
  <si>
    <t>bata pajama w/ hood</t>
  </si>
  <si>
    <t>hoody jacket</t>
  </si>
  <si>
    <t>t-shirt</t>
  </si>
  <si>
    <t>grocery</t>
  </si>
  <si>
    <t>lamesa</t>
  </si>
  <si>
    <t>beer (1 case)</t>
  </si>
  <si>
    <t>pasahe (lamingao - catbalogan)</t>
  </si>
  <si>
    <t>payong</t>
  </si>
  <si>
    <t>pasahe (catbalogan - villa)</t>
  </si>
  <si>
    <t>pashe (villa - lamingao)</t>
  </si>
  <si>
    <t>monitor</t>
  </si>
  <si>
    <t>pasahe (catbalogan - lamingao)</t>
  </si>
  <si>
    <t>pasahe (lamingao - villa)</t>
  </si>
  <si>
    <t>extension wire</t>
  </si>
  <si>
    <t>paperworld</t>
  </si>
  <si>
    <t>photocopy</t>
  </si>
  <si>
    <t>pahahe</t>
  </si>
  <si>
    <t>month</t>
  </si>
  <si>
    <t>year</t>
  </si>
  <si>
    <t>Row Labels</t>
  </si>
  <si>
    <t>Grand Total</t>
  </si>
  <si>
    <t>2023</t>
  </si>
  <si>
    <t>2024</t>
  </si>
  <si>
    <t>2025</t>
  </si>
  <si>
    <t>Sum of amount</t>
  </si>
  <si>
    <t>Column Labels</t>
  </si>
  <si>
    <t>Nov</t>
  </si>
  <si>
    <t>Dec</t>
  </si>
  <si>
    <t>Jan</t>
  </si>
  <si>
    <t>Feb</t>
  </si>
  <si>
    <t>Mar</t>
  </si>
  <si>
    <t>Apr</t>
  </si>
  <si>
    <t>May</t>
  </si>
  <si>
    <t>Jun</t>
  </si>
  <si>
    <t>Jul</t>
  </si>
  <si>
    <t>Aug</t>
  </si>
  <si>
    <t>Sep</t>
  </si>
  <si>
    <t>Oct</t>
  </si>
  <si>
    <t>month_year</t>
  </si>
  <si>
    <t>Net Income</t>
  </si>
  <si>
    <t>Monthly Expenses, Income, and Net Income</t>
  </si>
  <si>
    <t>Monthly Expenses and Income</t>
  </si>
  <si>
    <t>cleaned_detail</t>
  </si>
  <si>
    <t>salary</t>
  </si>
  <si>
    <t>aragmot</t>
  </si>
  <si>
    <t>ID picture</t>
  </si>
  <si>
    <t>pintura</t>
  </si>
  <si>
    <t>red horse</t>
  </si>
  <si>
    <t>sheena-related</t>
  </si>
  <si>
    <t>steam</t>
  </si>
  <si>
    <t>PBB</t>
  </si>
  <si>
    <t>13th month pay</t>
  </si>
  <si>
    <t>year-end bonus</t>
  </si>
  <si>
    <t>Total Expenses or Income in Every Transaction Detail</t>
  </si>
  <si>
    <t>Kape</t>
  </si>
  <si>
    <t>Bonus salary</t>
  </si>
  <si>
    <t>skew</t>
  </si>
  <si>
    <t>kurtosis</t>
  </si>
  <si>
    <t>mean</t>
  </si>
  <si>
    <t>stdev</t>
  </si>
  <si>
    <t>median</t>
  </si>
  <si>
    <t>mad</t>
  </si>
  <si>
    <t>stat</t>
  </si>
  <si>
    <t>Stat Summary of Monthly Expenses, Income, and Net Income</t>
  </si>
  <si>
    <t>Average</t>
  </si>
  <si>
    <t>StdDev</t>
  </si>
  <si>
    <t>Count</t>
  </si>
  <si>
    <t>Sum</t>
  </si>
  <si>
    <t>Expenses and Income Average, Stdev, Sum, and Counts</t>
  </si>
  <si>
    <t>Income Data</t>
  </si>
  <si>
    <t>G-cash Transactions</t>
  </si>
  <si>
    <t>detail</t>
  </si>
  <si>
    <t>day</t>
  </si>
  <si>
    <t>Daily Expenses</t>
  </si>
  <si>
    <t>G-cash Expenses</t>
  </si>
  <si>
    <t>G-cash Total Expenses</t>
  </si>
  <si>
    <t>supa_expenses</t>
  </si>
  <si>
    <t>Statistic Summary</t>
  </si>
  <si>
    <t>Supa Transactions</t>
  </si>
  <si>
    <t>Total</t>
  </si>
  <si>
    <t>Monthly Average</t>
  </si>
  <si>
    <t>KPI</t>
  </si>
  <si>
    <t>Monthly Median</t>
  </si>
  <si>
    <t>Daily Total Supa Expenses</t>
  </si>
  <si>
    <t>Sum of Income Details</t>
  </si>
  <si>
    <t>Percentage of Sum</t>
  </si>
  <si>
    <t>Key Performance Indicator</t>
  </si>
  <si>
    <t>Growth Rate</t>
  </si>
  <si>
    <t>Latest Month Record</t>
  </si>
  <si>
    <t>Month (in 2025)</t>
  </si>
  <si>
    <t>Jan. 2025</t>
  </si>
  <si>
    <t>Dec. 2024</t>
  </si>
  <si>
    <t>Nov. 2024</t>
  </si>
  <si>
    <t>Oct. 2024</t>
  </si>
  <si>
    <t>Income Growth Rate</t>
  </si>
  <si>
    <t>Gcash Transactions</t>
  </si>
  <si>
    <t>expenses</t>
  </si>
  <si>
    <t>income</t>
  </si>
  <si>
    <t>net income</t>
  </si>
  <si>
    <t>expenses_mov_ave</t>
  </si>
  <si>
    <t>income_mov_ave</t>
  </si>
  <si>
    <t>net_income_mov_ave</t>
  </si>
  <si>
    <t>Moving Averages of Expenses, Income, and Net Income</t>
  </si>
  <si>
    <t>Tables for Data Visualization Crafting Section</t>
  </si>
  <si>
    <r>
      <t xml:space="preserve">General Monthly Trend </t>
    </r>
    <r>
      <rPr>
        <sz val="20"/>
        <color theme="1"/>
        <rFont val="Aptos Narrow"/>
        <family val="2"/>
        <scheme val="minor"/>
      </rPr>
      <t>(Moving Averages)</t>
    </r>
  </si>
  <si>
    <t>Net Income Growth %</t>
  </si>
  <si>
    <t>Income Sources</t>
  </si>
  <si>
    <t>Sum (%)</t>
  </si>
  <si>
    <t>December 2023 Expenses</t>
  </si>
  <si>
    <r>
      <t xml:space="preserve">Analysis 1: </t>
    </r>
    <r>
      <rPr>
        <sz val="20"/>
        <color theme="1"/>
        <rFont val="Aptos Narrow"/>
        <family val="2"/>
        <scheme val="minor"/>
      </rPr>
      <t>Why there is a huge decrease in Net Income in the latest month (Jan 2025)?</t>
    </r>
  </si>
  <si>
    <t>transaction_detail</t>
  </si>
  <si>
    <t>expense_prcnt</t>
  </si>
  <si>
    <t>count</t>
  </si>
  <si>
    <t>bills</t>
  </si>
  <si>
    <t>laptop-related</t>
  </si>
  <si>
    <t>medicine</t>
  </si>
  <si>
    <t>transportation</t>
  </si>
  <si>
    <t>entertainment</t>
  </si>
  <si>
    <t>job-related</t>
  </si>
  <si>
    <t>personal necessity</t>
  </si>
  <si>
    <t>food</t>
  </si>
  <si>
    <t>category</t>
  </si>
  <si>
    <t>Sum of expenses</t>
  </si>
  <si>
    <t>Sum of count</t>
  </si>
  <si>
    <t>Sum of expense_prcnt</t>
  </si>
  <si>
    <t>December 2023 Expenses by Category</t>
  </si>
  <si>
    <t>expense</t>
  </si>
  <si>
    <t>expense_propxn</t>
  </si>
  <si>
    <t>average_rounded</t>
  </si>
  <si>
    <r>
      <t xml:space="preserve">Analysis 2: </t>
    </r>
    <r>
      <rPr>
        <sz val="20"/>
        <color theme="1"/>
        <rFont val="Aptos Narrow"/>
        <family val="2"/>
        <scheme val="minor"/>
      </rPr>
      <t>What is the reason why December 2023 has the highest expenses in record?</t>
    </r>
  </si>
  <si>
    <r>
      <t xml:space="preserve">Analysis 3: </t>
    </r>
    <r>
      <rPr>
        <sz val="20"/>
        <color theme="1"/>
        <rFont val="Aptos Narrow"/>
        <family val="2"/>
        <scheme val="minor"/>
      </rPr>
      <t>What transaction in G-cash has the highest expenses and mostly needed an attention to mind spending?</t>
    </r>
  </si>
  <si>
    <t>Count of amount2</t>
  </si>
  <si>
    <t>Average of amount2</t>
  </si>
  <si>
    <t>average</t>
  </si>
  <si>
    <t>percentage</t>
  </si>
  <si>
    <r>
      <t xml:space="preserve">Data Searcher </t>
    </r>
    <r>
      <rPr>
        <sz val="16"/>
        <color theme="1"/>
        <rFont val="Aptos Narrow"/>
        <family val="2"/>
        <scheme val="minor"/>
      </rPr>
      <t>(Filtering)</t>
    </r>
  </si>
  <si>
    <t>Count of amount</t>
  </si>
  <si>
    <t>Average of amount</t>
  </si>
  <si>
    <t>2. Income and Net Income Have Negative Growth Rate</t>
  </si>
  <si>
    <t>1. Negative Expenses Growth Rate</t>
  </si>
  <si>
    <t>Expeneses</t>
  </si>
  <si>
    <t>Latest Month</t>
  </si>
  <si>
    <t>Income scope</t>
  </si>
  <si>
    <t>Full Period Income</t>
  </si>
  <si>
    <t>salary (other half)</t>
  </si>
  <si>
    <t>Nov. 2023 and Dec. 2023 Income</t>
  </si>
  <si>
    <t>Supposed Nov. 2023 and Dec. 2023 Income</t>
  </si>
  <si>
    <t>Sum of income</t>
  </si>
  <si>
    <t>Refined Nov. 2023 Income</t>
  </si>
  <si>
    <t>Unlabeled Income (bonus?)</t>
  </si>
  <si>
    <t>Month of November Income in Each Year</t>
  </si>
  <si>
    <t>sum income</t>
  </si>
  <si>
    <t>count of transaction</t>
  </si>
  <si>
    <t>Monthly Income Transaction</t>
  </si>
  <si>
    <t>Total Monthly Income and Transactions Counts</t>
  </si>
  <si>
    <t>Filtered: Every Income Transaction Except "Salary"</t>
  </si>
  <si>
    <t>Navigate:</t>
  </si>
  <si>
    <t>Dashboard</t>
  </si>
  <si>
    <t>Findings</t>
  </si>
  <si>
    <t>Pivot &amp; Derived Tables</t>
  </si>
  <si>
    <t>Analysis &amp; Diagnosis</t>
  </si>
  <si>
    <t>Data Visualization</t>
  </si>
  <si>
    <t>Cleaned Data Source</t>
  </si>
  <si>
    <t>Raw Data Source</t>
  </si>
  <si>
    <t>Detail</t>
  </si>
  <si>
    <t>G-cash Percentage</t>
  </si>
  <si>
    <t>Total Expenses of Each Transaction Detail</t>
  </si>
  <si>
    <t>Top 20 Exepenses</t>
  </si>
  <si>
    <t>The G-cash Expenses in Top 20 Expenses</t>
  </si>
  <si>
    <r>
      <t xml:space="preserve">Analysis 4: </t>
    </r>
    <r>
      <rPr>
        <sz val="20"/>
        <color theme="1"/>
        <rFont val="Aptos Narrow"/>
        <family val="2"/>
        <scheme val="minor"/>
      </rPr>
      <t>Is "Supa" in G-cash expenses affecting the general expenses behavior?</t>
    </r>
  </si>
  <si>
    <t>Rank</t>
  </si>
  <si>
    <t>*Helper Table</t>
  </si>
  <si>
    <t>Total Sum of amount</t>
  </si>
  <si>
    <t>Total Count of amount2</t>
  </si>
  <si>
    <t>Sum of G-cash Expenses</t>
  </si>
  <si>
    <t>Count of G-cash</t>
  </si>
  <si>
    <t>Total Expenses</t>
  </si>
  <si>
    <t>Total Count</t>
  </si>
  <si>
    <t>Sum of Sum of G-cash Expenses</t>
  </si>
  <si>
    <t>Sum of Count of G-cash</t>
  </si>
  <si>
    <t>Ranking</t>
  </si>
  <si>
    <t>Total Percentage</t>
  </si>
  <si>
    <t>Median is more reliable than mean</t>
  </si>
  <si>
    <t>Percent from Total Expenses</t>
  </si>
  <si>
    <t>statistic</t>
  </si>
  <si>
    <t>value</t>
  </si>
  <si>
    <t>Skew:</t>
  </si>
  <si>
    <t>Kurtosis:</t>
  </si>
  <si>
    <t>Remarks:</t>
  </si>
  <si>
    <r>
      <t xml:space="preserve">Analysis 5: </t>
    </r>
    <r>
      <rPr>
        <sz val="20"/>
        <color theme="1"/>
        <rFont val="Aptos Narrow"/>
        <family val="2"/>
        <scheme val="minor"/>
      </rPr>
      <t>What is the general behavior of spending "Supa"?</t>
    </r>
  </si>
  <si>
    <t>Monthly Expenses</t>
  </si>
  <si>
    <t>Date</t>
  </si>
  <si>
    <t>Purchase Count</t>
  </si>
  <si>
    <t>per Purchase Average</t>
  </si>
  <si>
    <t>Summary Statistics: Monthly Expenses</t>
  </si>
  <si>
    <t>Summary Statistics: Purchase Count</t>
  </si>
  <si>
    <t>Median:</t>
  </si>
  <si>
    <t>MAD:</t>
  </si>
  <si>
    <t>MAD calc</t>
  </si>
  <si>
    <t>Average:</t>
  </si>
  <si>
    <t>Stand. Dev.</t>
  </si>
  <si>
    <t>Mean-stdev Ratio:</t>
  </si>
  <si>
    <t>Summary Statistics: "Supa" Expenses</t>
  </si>
  <si>
    <r>
      <t xml:space="preserve">Monthly"Supa" Expenses in G-cash </t>
    </r>
    <r>
      <rPr>
        <sz val="16"/>
        <color theme="1"/>
        <rFont val="Aptos Narrow"/>
        <family val="2"/>
        <scheme val="minor"/>
      </rPr>
      <t>(helper table)</t>
    </r>
  </si>
  <si>
    <t>Monthly "Supa" Expenses in G-cash</t>
  </si>
  <si>
    <t>Mean still reliable</t>
  </si>
  <si>
    <t>Monthly "Supa" Expenses 3-month Average Smoothing</t>
  </si>
  <si>
    <t>MAD calculation</t>
  </si>
  <si>
    <t>"Supa" Expense Amount Count</t>
  </si>
  <si>
    <t>Expenses2</t>
  </si>
  <si>
    <t>3-month Average2</t>
  </si>
  <si>
    <t>Sum of amount2</t>
  </si>
  <si>
    <t>Supa type</t>
  </si>
  <si>
    <t>Percentage</t>
  </si>
  <si>
    <r>
      <t xml:space="preserve">Analysis 6: </t>
    </r>
    <r>
      <rPr>
        <sz val="20"/>
        <color theme="1"/>
        <rFont val="Aptos Narrow"/>
        <family val="2"/>
        <scheme val="minor"/>
      </rPr>
      <t>Why month of November 2023 have the highest income?</t>
    </r>
  </si>
  <si>
    <r>
      <t xml:space="preserve">Analysis 7: </t>
    </r>
    <r>
      <rPr>
        <sz val="20"/>
        <color theme="1"/>
        <rFont val="Aptos Narrow"/>
        <family val="2"/>
        <scheme val="minor"/>
      </rPr>
      <t>Why month of November seemed mostly have the highest income in each year?</t>
    </r>
  </si>
  <si>
    <t>3. December 2023 has the highest expenses in record</t>
  </si>
  <si>
    <t>5. "Supa" in G-cash expenses affects the general expenses behavior.</t>
  </si>
  <si>
    <t>6. "Supa" expenses behaves like creeping expenses.</t>
  </si>
  <si>
    <t>4. "Supa" in G-cash has the highest expenses and mostly needed an attention to mind spending.</t>
  </si>
  <si>
    <t>7. ₱125 "Supa" is most likely type of "Supa" to be purchased</t>
  </si>
  <si>
    <t>8. The trend of "Supa" monthly expenses in G-cash is decreasing.</t>
  </si>
  <si>
    <t>9. November 2023 have the highest income because of unlabeled income source.</t>
  </si>
  <si>
    <t xml:space="preserve">10. Because of extra income (cash gift, year-end salary, etc.), months of November mostly have the highest income each year </t>
  </si>
  <si>
    <t>Key Performance Indicator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</si>
</sst>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17" x14ac:knownFonts="1">
    <font>
      <sz val="11"/>
      <color theme="1"/>
      <name val="Aptos Narrow"/>
      <family val="2"/>
      <scheme val="minor"/>
    </font>
    <font>
      <b/>
      <sz val="16"/>
      <color theme="1"/>
      <name val="Aptos Narrow"/>
      <family val="2"/>
      <scheme val="minor"/>
    </font>
    <font>
      <i/>
      <sz val="11"/>
      <color theme="1"/>
      <name val="Aptos Narrow"/>
      <family val="2"/>
      <scheme val="minor"/>
    </font>
    <font>
      <b/>
      <sz val="18"/>
      <color theme="1"/>
      <name val="Aptos Narrow"/>
      <family val="2"/>
      <scheme val="minor"/>
    </font>
    <font>
      <sz val="11"/>
      <color theme="1"/>
      <name val="Aptos Narrow"/>
      <family val="2"/>
      <scheme val="minor"/>
    </font>
    <font>
      <b/>
      <sz val="12"/>
      <color theme="1"/>
      <name val="Aptos Narrow"/>
      <family val="2"/>
      <scheme val="minor"/>
    </font>
    <font>
      <b/>
      <sz val="14"/>
      <color theme="1"/>
      <name val="Aptos Narrow"/>
      <family val="2"/>
      <scheme val="minor"/>
    </font>
    <font>
      <sz val="9"/>
      <color indexed="81"/>
      <name val="Tahoma"/>
      <family val="2"/>
    </font>
    <font>
      <b/>
      <sz val="9"/>
      <color indexed="81"/>
      <name val="Tahoma"/>
      <family val="2"/>
    </font>
    <font>
      <u/>
      <sz val="11"/>
      <color theme="10"/>
      <name val="Aptos Narrow"/>
      <family val="2"/>
      <scheme val="minor"/>
    </font>
    <font>
      <b/>
      <sz val="20"/>
      <color theme="1"/>
      <name val="Aptos Narrow"/>
      <family val="2"/>
      <scheme val="minor"/>
    </font>
    <font>
      <sz val="20"/>
      <color theme="1"/>
      <name val="Aptos Narrow"/>
      <family val="2"/>
      <scheme val="minor"/>
    </font>
    <font>
      <b/>
      <sz val="18"/>
      <color rgb="FFFF0000"/>
      <name val="Aptos Narrow"/>
      <family val="2"/>
      <scheme val="minor"/>
    </font>
    <font>
      <sz val="16"/>
      <color theme="1"/>
      <name val="Aptos Narrow"/>
      <family val="2"/>
      <scheme val="minor"/>
    </font>
    <font>
      <b/>
      <sz val="11"/>
      <color theme="0"/>
      <name val="Aptos Narrow"/>
      <family val="2"/>
      <scheme val="minor"/>
    </font>
    <font>
      <b/>
      <sz val="14"/>
      <color theme="0"/>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7" tint="-0.249977111117893"/>
        <bgColor indexed="64"/>
      </patternFill>
    </fill>
    <fill>
      <patternFill patternType="solid">
        <fgColor rgb="FF92D050"/>
        <bgColor indexed="64"/>
      </patternFill>
    </fill>
  </fills>
  <borders count="1">
    <border>
      <left/>
      <right/>
      <top/>
      <bottom/>
      <diagonal/>
    </border>
  </borders>
  <cellStyleXfs count="4">
    <xf numFmtId="0" fontId="0" fillId="0" borderId="0"/>
    <xf numFmtId="44" fontId="4" fillId="0" borderId="0" applyFont="0" applyFill="0" applyBorder="0" applyAlignment="0" applyProtection="0"/>
    <xf numFmtId="9" fontId="4" fillId="0" borderId="0" applyFont="0" applyFill="0" applyBorder="0" applyAlignment="0" applyProtection="0"/>
    <xf numFmtId="0" fontId="9" fillId="0" borderId="0" applyNumberFormat="0" applyFill="0" applyBorder="0" applyAlignment="0" applyProtection="0"/>
  </cellStyleXfs>
  <cellXfs count="4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7" fontId="0" fillId="0" borderId="0" xfId="0" applyNumberFormat="1" applyAlignment="1">
      <alignment horizontal="left" indent="1"/>
    </xf>
    <xf numFmtId="0" fontId="1" fillId="0" borderId="0" xfId="0" applyFont="1"/>
    <xf numFmtId="0" fontId="1" fillId="0" borderId="0" xfId="0" applyFont="1" applyAlignment="1">
      <alignment horizontal="left"/>
    </xf>
    <xf numFmtId="2" fontId="0" fillId="0" borderId="0" xfId="0" applyNumberFormat="1"/>
    <xf numFmtId="9" fontId="0" fillId="0" borderId="0" xfId="0" applyNumberFormat="1"/>
    <xf numFmtId="14" fontId="0" fillId="0" borderId="0" xfId="0" applyNumberFormat="1" applyAlignment="1">
      <alignment horizontal="left"/>
    </xf>
    <xf numFmtId="0" fontId="2" fillId="0" borderId="0" xfId="0" applyFont="1"/>
    <xf numFmtId="0" fontId="3" fillId="0" borderId="0" xfId="0" applyFont="1"/>
    <xf numFmtId="0" fontId="5" fillId="0" borderId="0" xfId="0" applyFont="1"/>
    <xf numFmtId="0" fontId="6" fillId="0" borderId="0" xfId="0" applyFont="1"/>
    <xf numFmtId="44" fontId="0" fillId="0" borderId="0" xfId="1" applyFont="1"/>
    <xf numFmtId="9" fontId="0" fillId="0" borderId="0" xfId="2" applyFont="1"/>
    <xf numFmtId="10" fontId="0" fillId="0" borderId="0" xfId="0" applyNumberFormat="1"/>
    <xf numFmtId="0" fontId="3" fillId="2" borderId="0" xfId="0" applyFont="1" applyFill="1"/>
    <xf numFmtId="0" fontId="0" fillId="2" borderId="0" xfId="0" applyFill="1"/>
    <xf numFmtId="0" fontId="0" fillId="0" borderId="0" xfId="0" quotePrefix="1"/>
    <xf numFmtId="0" fontId="0" fillId="0" borderId="0" xfId="0" applyAlignment="1">
      <alignment vertical="center"/>
    </xf>
    <xf numFmtId="0" fontId="0" fillId="0" borderId="0" xfId="0" applyAlignment="1">
      <alignment horizontal="left" indent="2"/>
    </xf>
    <xf numFmtId="0" fontId="0" fillId="0" borderId="0" xfId="0" applyAlignment="1">
      <alignment horizontal="right"/>
    </xf>
    <xf numFmtId="0" fontId="10" fillId="2" borderId="0" xfId="0" applyFont="1" applyFill="1"/>
    <xf numFmtId="17" fontId="0" fillId="0" borderId="0" xfId="0" applyNumberFormat="1"/>
    <xf numFmtId="0" fontId="12" fillId="0" borderId="0" xfId="0" applyFont="1"/>
    <xf numFmtId="0" fontId="0" fillId="3" borderId="0" xfId="0" applyFill="1"/>
    <xf numFmtId="17" fontId="1" fillId="0" borderId="0" xfId="0" applyNumberFormat="1" applyFont="1"/>
    <xf numFmtId="0" fontId="11" fillId="2" borderId="0" xfId="0" applyFont="1" applyFill="1"/>
    <xf numFmtId="17" fontId="10" fillId="0" borderId="0" xfId="0" applyNumberFormat="1" applyFont="1"/>
    <xf numFmtId="0" fontId="10" fillId="0" borderId="0" xfId="0" applyFont="1"/>
    <xf numFmtId="0" fontId="11" fillId="0" borderId="0" xfId="0" applyFont="1"/>
    <xf numFmtId="16" fontId="0" fillId="0" borderId="0" xfId="0" applyNumberFormat="1"/>
    <xf numFmtId="17" fontId="0" fillId="0" borderId="0" xfId="0" applyNumberFormat="1" applyAlignment="1">
      <alignment horizontal="left"/>
    </xf>
    <xf numFmtId="0" fontId="9" fillId="0" borderId="0" xfId="3"/>
    <xf numFmtId="0" fontId="15" fillId="4" borderId="0" xfId="3" applyFont="1" applyFill="1" applyAlignment="1">
      <alignment horizontal="center" vertical="center" wrapText="1"/>
    </xf>
    <xf numFmtId="0" fontId="15" fillId="4" borderId="0" xfId="0" applyFont="1" applyFill="1" applyAlignment="1">
      <alignment horizontal="center" vertical="center" wrapText="1"/>
    </xf>
    <xf numFmtId="0" fontId="14" fillId="4" borderId="0" xfId="0" applyFont="1" applyFill="1" applyAlignment="1">
      <alignment horizontal="center" vertical="center" wrapText="1"/>
    </xf>
    <xf numFmtId="0" fontId="1" fillId="5" borderId="0" xfId="0" applyFont="1" applyFill="1" applyAlignment="1">
      <alignment horizontal="left" vertical="center" wrapText="1"/>
    </xf>
    <xf numFmtId="0" fontId="0" fillId="0" borderId="0" xfId="0" applyAlignment="1">
      <alignment wrapText="1"/>
    </xf>
    <xf numFmtId="0" fontId="9" fillId="0" borderId="0" xfId="3" quotePrefix="1" applyFill="1"/>
    <xf numFmtId="0" fontId="13" fillId="0" borderId="0" xfId="0" applyFont="1"/>
    <xf numFmtId="0" fontId="16" fillId="0" borderId="0" xfId="0" applyFont="1" applyAlignment="1">
      <alignment horizontal="right"/>
    </xf>
    <xf numFmtId="0" fontId="0" fillId="0" borderId="0" xfId="0" applyAlignment="1">
      <alignment horizontal="right" vertical="center"/>
    </xf>
    <xf numFmtId="9" fontId="16" fillId="0" borderId="0" xfId="0" applyNumberFormat="1" applyFont="1" applyAlignment="1">
      <alignment horizontal="right"/>
    </xf>
    <xf numFmtId="164" fontId="0" fillId="0" borderId="0" xfId="0" applyNumberFormat="1"/>
  </cellXfs>
  <cellStyles count="4">
    <cellStyle name="Currency" xfId="1" builtinId="4"/>
    <cellStyle name="Hyperlink" xfId="3" builtinId="8"/>
    <cellStyle name="Normal" xfId="0" builtinId="0"/>
    <cellStyle name="Percent" xfId="2" builtinId="5"/>
  </cellStyles>
  <dxfs count="91">
    <dxf>
      <font>
        <color rgb="FF006100"/>
      </font>
      <fill>
        <patternFill>
          <bgColor rgb="FFC6EFCE"/>
        </patternFill>
      </fill>
    </dxf>
    <dxf>
      <font>
        <color rgb="FF9C0006"/>
      </font>
      <fill>
        <patternFill>
          <bgColor rgb="FFFFC7CE"/>
        </patternFill>
      </fill>
    </dxf>
    <dxf>
      <fill>
        <patternFill>
          <bgColor rgb="FFFFFF99"/>
        </patternFill>
      </fil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val="0"/>
        <i/>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4" formatCode="&quot;₱&quot;#,##0.00"/>
    </dxf>
    <dxf>
      <numFmt numFmtId="22" formatCode="mmm\-yy"/>
    </dxf>
    <dxf>
      <font>
        <b/>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dxf>
    <dxf>
      <alignment horizontal="right" textRotation="0" wrapText="0" indent="0" justifyLastLine="0" shrinkToFit="0" readingOrder="0"/>
    </dxf>
    <dxf>
      <numFmt numFmtId="0" formatCode="General"/>
    </dxf>
    <dxf>
      <numFmt numFmtId="0" formatCode="General"/>
    </dxf>
    <dxf>
      <numFmt numFmtId="0" formatCode="General"/>
    </dxf>
    <dxf>
      <numFmt numFmtId="22" formatCode="mmm\-yy"/>
    </dxf>
    <dxf>
      <numFmt numFmtId="22" formatCode="mmm\-yy"/>
    </dxf>
    <dxf>
      <numFmt numFmtId="0" formatCode="General"/>
    </dxf>
    <dxf>
      <alignment horizontal="left" vertical="bottom" textRotation="0" wrapText="0" indent="2" justifyLastLine="0" shrinkToFit="0" readingOrder="0"/>
    </dxf>
    <dxf>
      <numFmt numFmtId="22" formatCode="mmm\-yy"/>
    </dxf>
    <dxf>
      <numFmt numFmtId="0" formatCode="General"/>
    </dxf>
    <dxf>
      <numFmt numFmtId="0" formatCode="General"/>
    </dxf>
    <dxf>
      <numFmt numFmtId="0" formatCode="General"/>
    </dxf>
    <dxf>
      <numFmt numFmtId="0" formatCode="General"/>
    </dxf>
    <dxf>
      <numFmt numFmtId="14" formatCode="0.00%"/>
    </dxf>
    <dxf>
      <numFmt numFmtId="0" formatCode="General"/>
    </dxf>
    <dxf>
      <alignment horizontal="left" vertical="bottom" textRotation="0" wrapText="0" indent="2" justifyLastLine="0" shrinkToFit="0" readingOrder="0"/>
    </dxf>
    <dxf>
      <numFmt numFmtId="0" formatCode="General"/>
    </dxf>
    <dxf>
      <numFmt numFmtId="0" formatCode="General"/>
    </dxf>
    <dxf>
      <numFmt numFmtId="0" formatCode="General"/>
    </dxf>
    <dxf>
      <numFmt numFmtId="0" formatCode="General"/>
    </dxf>
    <dxf>
      <numFmt numFmtId="0" formatCode="General"/>
      <alignment horizontal="left" vertical="bottom" textRotation="0" wrapText="0" indent="1" justifyLastLine="0" shrinkToFit="0" readingOrder="0"/>
    </dxf>
    <dxf>
      <font>
        <b val="0"/>
        <i val="0"/>
        <strike val="0"/>
        <condense val="0"/>
        <extend val="0"/>
        <outline val="0"/>
        <shadow val="0"/>
        <u val="none"/>
        <vertAlign val="baseline"/>
        <sz val="11"/>
        <color theme="1"/>
        <name val="Aptos Narrow"/>
        <family val="2"/>
        <scheme val="minor"/>
      </font>
      <numFmt numFmtId="34" formatCode="_-&quot;₱&quot;* #,##0.00_-;\-&quot;₱&quot;* #,##0.00_-;_-&quot;₱&quot;* &quot;-&quot;??_-;_-@_-"/>
    </dxf>
    <dxf>
      <font>
        <b val="0"/>
        <i val="0"/>
        <strike val="0"/>
        <condense val="0"/>
        <extend val="0"/>
        <outline val="0"/>
        <shadow val="0"/>
        <u val="none"/>
        <vertAlign val="baseline"/>
        <sz val="11"/>
        <color theme="1"/>
        <name val="Aptos Narrow"/>
        <family val="2"/>
        <scheme val="minor"/>
      </font>
      <numFmt numFmtId="34" formatCode="_-&quot;₱&quot;* #,##0.00_-;\-&quot;₱&quot;* #,##0.00_-;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strike val="0"/>
        <outline val="0"/>
        <shadow val="0"/>
        <u val="none"/>
        <vertAlign val="baseline"/>
        <sz val="12"/>
        <color theme="1"/>
        <name val="Aptos Narrow"/>
        <family val="2"/>
        <scheme val="minor"/>
      </font>
    </dxf>
    <dxf>
      <font>
        <b val="0"/>
        <i val="0"/>
        <strike val="0"/>
        <condense val="0"/>
        <extend val="0"/>
        <outline val="0"/>
        <shadow val="0"/>
        <u val="none"/>
        <vertAlign val="baseline"/>
        <sz val="11"/>
        <color theme="1"/>
        <name val="Aptos Narrow"/>
        <family val="2"/>
        <scheme val="minor"/>
      </font>
    </dxf>
    <dxf>
      <font>
        <color rgb="FFFF0000"/>
      </font>
    </dxf>
    <dxf>
      <font>
        <color rgb="FF00B050"/>
      </font>
    </dxf>
    <dxf>
      <font>
        <color rgb="FFFFC000"/>
      </font>
    </dxf>
    <dxf>
      <font>
        <color rgb="FF00B050"/>
      </font>
    </dxf>
    <dxf>
      <font>
        <color rgb="FFFF0000"/>
      </font>
    </dxf>
    <dxf>
      <font>
        <color rgb="FFFFC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2" formatCode="mmm\-yy"/>
    </dxf>
    <dxf>
      <alignment horizontal="left" vertical="bottom" textRotation="0" wrapText="0" indent="0" justifyLastLine="0" shrinkToFit="0" readingOrder="0"/>
    </dxf>
    <dxf>
      <numFmt numFmtId="0" formatCode="General"/>
    </dxf>
    <dxf>
      <numFmt numFmtId="19" formatCode="m/d/yyyy"/>
      <alignment horizontal="lef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22" formatCode="mmm\-yy"/>
      <alignment horizontal="left" vertical="bottom" textRotation="0" wrapText="0" indent="1" justifyLastLine="0" shrinkToFit="0" readingOrder="0"/>
    </dxf>
    <dxf>
      <fill>
        <patternFill>
          <bgColor auto="1"/>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3.xml"/><Relationship Id="rId28" Type="http://schemas.microsoft.com/office/2007/relationships/slicerCache" Target="slicerCaches/slicerCache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2.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3.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Ex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Ex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Ex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Monthly Expenses, Income and Net Income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&amp; derived tables'!$I$3</c:f>
              <c:strCache>
                <c:ptCount val="1"/>
                <c:pt idx="0">
                  <c:v>Expenses</c:v>
                </c:pt>
              </c:strCache>
            </c:strRef>
          </c:tx>
          <c:spPr>
            <a:solidFill>
              <a:schemeClr val="bg1">
                <a:lumMod val="75000"/>
              </a:schemeClr>
            </a:solidFill>
            <a:ln>
              <a:noFill/>
            </a:ln>
            <a:effectLst/>
          </c:spPr>
          <c:invertIfNegative val="0"/>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tables'!$I$4:$I$18</c:f>
              <c:numCache>
                <c:formatCode>General</c:formatCode>
                <c:ptCount val="15"/>
                <c:pt idx="0">
                  <c:v>10181</c:v>
                </c:pt>
                <c:pt idx="1">
                  <c:v>32023</c:v>
                </c:pt>
                <c:pt idx="2">
                  <c:v>9647</c:v>
                </c:pt>
                <c:pt idx="3">
                  <c:v>17583</c:v>
                </c:pt>
                <c:pt idx="4">
                  <c:v>18789</c:v>
                </c:pt>
                <c:pt idx="5">
                  <c:v>16059</c:v>
                </c:pt>
                <c:pt idx="6">
                  <c:v>12242</c:v>
                </c:pt>
                <c:pt idx="7">
                  <c:v>20411</c:v>
                </c:pt>
                <c:pt idx="8">
                  <c:v>21985</c:v>
                </c:pt>
                <c:pt idx="9">
                  <c:v>11107</c:v>
                </c:pt>
                <c:pt idx="10">
                  <c:v>11720</c:v>
                </c:pt>
                <c:pt idx="11">
                  <c:v>25236</c:v>
                </c:pt>
                <c:pt idx="12">
                  <c:v>9721</c:v>
                </c:pt>
                <c:pt idx="13">
                  <c:v>20499</c:v>
                </c:pt>
                <c:pt idx="14">
                  <c:v>19636</c:v>
                </c:pt>
              </c:numCache>
            </c:numRef>
          </c:val>
          <c:extLst>
            <c:ext xmlns:c16="http://schemas.microsoft.com/office/drawing/2014/chart" uri="{C3380CC4-5D6E-409C-BE32-E72D297353CC}">
              <c16:uniqueId val="{00000000-0FBF-4EF3-835F-9D68C996D2DC}"/>
            </c:ext>
          </c:extLst>
        </c:ser>
        <c:ser>
          <c:idx val="1"/>
          <c:order val="1"/>
          <c:tx>
            <c:strRef>
              <c:f>'Pivot &amp; derived tables'!$J$3</c:f>
              <c:strCache>
                <c:ptCount val="1"/>
                <c:pt idx="0">
                  <c:v>Income</c:v>
                </c:pt>
              </c:strCache>
            </c:strRef>
          </c:tx>
          <c:spPr>
            <a:solidFill>
              <a:schemeClr val="accent2">
                <a:lumMod val="40000"/>
                <a:lumOff val="60000"/>
              </a:schemeClr>
            </a:solidFill>
            <a:ln>
              <a:noFill/>
            </a:ln>
            <a:effectLst/>
          </c:spPr>
          <c:invertIfNegative val="0"/>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tables'!$J$4:$J$18</c:f>
              <c:numCache>
                <c:formatCode>General</c:formatCode>
                <c:ptCount val="15"/>
                <c:pt idx="0">
                  <c:v>70026</c:v>
                </c:pt>
                <c:pt idx="1">
                  <c:v>43465</c:v>
                </c:pt>
                <c:pt idx="2">
                  <c:v>25466</c:v>
                </c:pt>
                <c:pt idx="3">
                  <c:v>25195</c:v>
                </c:pt>
                <c:pt idx="4">
                  <c:v>25195</c:v>
                </c:pt>
                <c:pt idx="5">
                  <c:v>32231</c:v>
                </c:pt>
                <c:pt idx="6">
                  <c:v>52230</c:v>
                </c:pt>
                <c:pt idx="7">
                  <c:v>25231</c:v>
                </c:pt>
                <c:pt idx="8">
                  <c:v>30278</c:v>
                </c:pt>
                <c:pt idx="9">
                  <c:v>42632</c:v>
                </c:pt>
                <c:pt idx="10">
                  <c:v>38620</c:v>
                </c:pt>
                <c:pt idx="11">
                  <c:v>27502</c:v>
                </c:pt>
                <c:pt idx="12">
                  <c:v>59992</c:v>
                </c:pt>
                <c:pt idx="13">
                  <c:v>51481</c:v>
                </c:pt>
                <c:pt idx="14">
                  <c:v>26403</c:v>
                </c:pt>
              </c:numCache>
            </c:numRef>
          </c:val>
          <c:extLst>
            <c:ext xmlns:c16="http://schemas.microsoft.com/office/drawing/2014/chart" uri="{C3380CC4-5D6E-409C-BE32-E72D297353CC}">
              <c16:uniqueId val="{00000001-0FBF-4EF3-835F-9D68C996D2DC}"/>
            </c:ext>
          </c:extLst>
        </c:ser>
        <c:dLbls>
          <c:showLegendKey val="0"/>
          <c:showVal val="0"/>
          <c:showCatName val="0"/>
          <c:showSerName val="0"/>
          <c:showPercent val="0"/>
          <c:showBubbleSize val="0"/>
        </c:dLbls>
        <c:gapWidth val="219"/>
        <c:overlap val="-27"/>
        <c:axId val="343245136"/>
        <c:axId val="343237936"/>
      </c:barChart>
      <c:lineChart>
        <c:grouping val="standard"/>
        <c:varyColors val="0"/>
        <c:ser>
          <c:idx val="2"/>
          <c:order val="2"/>
          <c:tx>
            <c:strRef>
              <c:f>'Pivot &amp; derived tables'!$K$3</c:f>
              <c:strCache>
                <c:ptCount val="1"/>
                <c:pt idx="0">
                  <c:v>Net Income</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trendline>
            <c:spPr>
              <a:ln w="19050" cap="rnd">
                <a:solidFill>
                  <a:schemeClr val="accent3"/>
                </a:solidFill>
                <a:prstDash val="sysDot"/>
              </a:ln>
              <a:effectLst/>
            </c:spPr>
            <c:trendlineType val="linear"/>
            <c:dispRSqr val="0"/>
            <c:dispEq val="0"/>
          </c:trendline>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tables'!$K$4:$K$18</c:f>
              <c:numCache>
                <c:formatCode>General</c:formatCode>
                <c:ptCount val="15"/>
                <c:pt idx="0">
                  <c:v>59845</c:v>
                </c:pt>
                <c:pt idx="1">
                  <c:v>11442</c:v>
                </c:pt>
                <c:pt idx="2">
                  <c:v>15819</c:v>
                </c:pt>
                <c:pt idx="3">
                  <c:v>7612</c:v>
                </c:pt>
                <c:pt idx="4">
                  <c:v>6406</c:v>
                </c:pt>
                <c:pt idx="5">
                  <c:v>16172</c:v>
                </c:pt>
                <c:pt idx="6">
                  <c:v>39988</c:v>
                </c:pt>
                <c:pt idx="7">
                  <c:v>4820</c:v>
                </c:pt>
                <c:pt idx="8">
                  <c:v>8293</c:v>
                </c:pt>
                <c:pt idx="9">
                  <c:v>31525</c:v>
                </c:pt>
                <c:pt idx="10">
                  <c:v>26900</c:v>
                </c:pt>
                <c:pt idx="11">
                  <c:v>2266</c:v>
                </c:pt>
                <c:pt idx="12">
                  <c:v>50271</c:v>
                </c:pt>
                <c:pt idx="13">
                  <c:v>30982</c:v>
                </c:pt>
                <c:pt idx="14">
                  <c:v>6767</c:v>
                </c:pt>
              </c:numCache>
            </c:numRef>
          </c:val>
          <c:smooth val="0"/>
          <c:extLst>
            <c:ext xmlns:c16="http://schemas.microsoft.com/office/drawing/2014/chart" uri="{C3380CC4-5D6E-409C-BE32-E72D297353CC}">
              <c16:uniqueId val="{00000002-0FBF-4EF3-835F-9D68C996D2DC}"/>
            </c:ext>
          </c:extLst>
        </c:ser>
        <c:dLbls>
          <c:showLegendKey val="0"/>
          <c:showVal val="0"/>
          <c:showCatName val="0"/>
          <c:showSerName val="0"/>
          <c:showPercent val="0"/>
          <c:showBubbleSize val="0"/>
        </c:dLbls>
        <c:marker val="1"/>
        <c:smooth val="0"/>
        <c:axId val="343245136"/>
        <c:axId val="343237936"/>
        <c:extLst>
          <c:ext xmlns:c15="http://schemas.microsoft.com/office/drawing/2012/chart" uri="{02D57815-91ED-43cb-92C2-25804820EDAC}">
            <c15:filteredLineSeries>
              <c15:ser>
                <c:idx val="3"/>
                <c:order val="3"/>
                <c:tx>
                  <c:strRef>
                    <c:extLst>
                      <c:ext uri="{02D57815-91ED-43cb-92C2-25804820EDAC}">
                        <c15:formulaRef>
                          <c15:sqref>'Pivot &amp; derived tables'!$L$3</c15:sqref>
                        </c15:formulaRef>
                      </c:ext>
                    </c:extLst>
                    <c:strCache>
                      <c:ptCount val="1"/>
                      <c:pt idx="0">
                        <c:v>Income Growth Rate</c:v>
                      </c:pt>
                    </c:strCache>
                  </c:strRef>
                </c:tx>
                <c:spPr>
                  <a:ln w="28575" cap="rnd">
                    <a:solidFill>
                      <a:schemeClr val="accent4"/>
                    </a:solidFill>
                    <a:round/>
                  </a:ln>
                  <a:effectLst/>
                </c:spPr>
                <c:marker>
                  <c:symbol val="none"/>
                </c:marker>
                <c:cat>
                  <c:numRef>
                    <c:extLst>
                      <c:ex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uri="{02D57815-91ED-43cb-92C2-25804820EDAC}">
                        <c15:formulaRef>
                          <c15:sqref>'Pivot &amp; derived tables'!$L$4:$L$18</c15:sqref>
                        </c15:formulaRef>
                      </c:ext>
                    </c:extLst>
                    <c:numCache>
                      <c:formatCode>General</c:formatCode>
                      <c:ptCount val="15"/>
                      <c:pt idx="0">
                        <c:v>0</c:v>
                      </c:pt>
                      <c:pt idx="1">
                        <c:v>-37.93</c:v>
                      </c:pt>
                      <c:pt idx="2">
                        <c:v>-41.41</c:v>
                      </c:pt>
                      <c:pt idx="3">
                        <c:v>-1.06</c:v>
                      </c:pt>
                      <c:pt idx="4">
                        <c:v>0</c:v>
                      </c:pt>
                      <c:pt idx="5">
                        <c:v>27.93</c:v>
                      </c:pt>
                      <c:pt idx="6">
                        <c:v>62.05</c:v>
                      </c:pt>
                      <c:pt idx="7">
                        <c:v>-51.69</c:v>
                      </c:pt>
                      <c:pt idx="8">
                        <c:v>20</c:v>
                      </c:pt>
                      <c:pt idx="9">
                        <c:v>40.799999999999997</c:v>
                      </c:pt>
                      <c:pt idx="10">
                        <c:v>-9.41</c:v>
                      </c:pt>
                      <c:pt idx="11">
                        <c:v>-28.79</c:v>
                      </c:pt>
                      <c:pt idx="12">
                        <c:v>118.14</c:v>
                      </c:pt>
                      <c:pt idx="13">
                        <c:v>-14.19</c:v>
                      </c:pt>
                      <c:pt idx="14">
                        <c:v>-48.71</c:v>
                      </c:pt>
                    </c:numCache>
                  </c:numRef>
                </c:val>
                <c:smooth val="0"/>
                <c:extLst>
                  <c:ext xmlns:c16="http://schemas.microsoft.com/office/drawing/2014/chart" uri="{C3380CC4-5D6E-409C-BE32-E72D297353CC}">
                    <c16:uniqueId val="{00000001-F3E8-4873-8BF3-1AE7AE386503}"/>
                  </c:ext>
                </c:extLst>
              </c15:ser>
            </c15:filteredLineSeries>
          </c:ext>
        </c:extLst>
      </c:lineChart>
      <c:dateAx>
        <c:axId val="343245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Months (month-year)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237936"/>
        <c:crosses val="autoZero"/>
        <c:auto val="1"/>
        <c:lblOffset val="100"/>
        <c:baseTimeUnit val="months"/>
      </c:dateAx>
      <c:valAx>
        <c:axId val="343237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9927536231884056E-2"/>
              <c:y val="0.385944646944707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245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Monthly</a:t>
            </a:r>
            <a:r>
              <a:rPr lang="en-PH" b="1" baseline="0"/>
              <a:t> </a:t>
            </a:r>
            <a:r>
              <a:rPr lang="en-PH" b="1"/>
              <a:t>Expenses Trend</a:t>
            </a:r>
            <a:r>
              <a:rPr lang="en-PH" b="1" baseline="0"/>
              <a:t> </a:t>
            </a:r>
          </a:p>
          <a:p>
            <a:pPr>
              <a:defRPr b="1"/>
            </a:pPr>
            <a:r>
              <a:rPr lang="en-PH" b="0" baseline="0"/>
              <a:t>(3-month Moving Averages)</a:t>
            </a:r>
            <a:endParaRPr lang="en-PH" b="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&amp; derived tables'!$AG$6</c:f>
              <c:strCache>
                <c:ptCount val="1"/>
                <c:pt idx="0">
                  <c:v>expenses</c:v>
                </c:pt>
              </c:strCache>
            </c:strRef>
          </c:tx>
          <c:spPr>
            <a:ln w="28575" cap="rnd">
              <a:solidFill>
                <a:schemeClr val="bg1">
                  <a:lumMod val="65000"/>
                  <a:alpha val="97000"/>
                </a:schemeClr>
              </a:solidFill>
              <a:round/>
            </a:ln>
            <a:effectLst/>
          </c:spPr>
          <c:marker>
            <c:symbol val="circle"/>
            <c:size val="5"/>
            <c:spPr>
              <a:solidFill>
                <a:schemeClr val="bg1">
                  <a:lumMod val="65000"/>
                </a:schemeClr>
              </a:solidFill>
              <a:ln w="9525">
                <a:solidFill>
                  <a:schemeClr val="bg1">
                    <a:lumMod val="65000"/>
                  </a:schemeClr>
                </a:solidFill>
              </a:ln>
              <a:effectLst/>
            </c:spPr>
          </c:marker>
          <c:cat>
            <c:numRef>
              <c:f>'Pivot &amp; derived tables'!$AF$7:$AF$19</c:f>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f>'Pivot &amp; derived tables'!$AG$7:$AG$19</c:f>
              <c:numCache>
                <c:formatCode>General</c:formatCode>
                <c:ptCount val="13"/>
                <c:pt idx="0">
                  <c:v>9647</c:v>
                </c:pt>
                <c:pt idx="1">
                  <c:v>17583</c:v>
                </c:pt>
                <c:pt idx="2">
                  <c:v>18789</c:v>
                </c:pt>
                <c:pt idx="3">
                  <c:v>16059</c:v>
                </c:pt>
                <c:pt idx="4">
                  <c:v>12242</c:v>
                </c:pt>
                <c:pt idx="5">
                  <c:v>20411</c:v>
                </c:pt>
                <c:pt idx="6">
                  <c:v>21985</c:v>
                </c:pt>
                <c:pt idx="7">
                  <c:v>11107</c:v>
                </c:pt>
                <c:pt idx="8">
                  <c:v>11720</c:v>
                </c:pt>
                <c:pt idx="9">
                  <c:v>25236</c:v>
                </c:pt>
                <c:pt idx="10">
                  <c:v>9721</c:v>
                </c:pt>
                <c:pt idx="11">
                  <c:v>20499</c:v>
                </c:pt>
                <c:pt idx="12">
                  <c:v>19636</c:v>
                </c:pt>
              </c:numCache>
            </c:numRef>
          </c:val>
          <c:smooth val="0"/>
          <c:extLst>
            <c:ext xmlns:c16="http://schemas.microsoft.com/office/drawing/2014/chart" uri="{C3380CC4-5D6E-409C-BE32-E72D297353CC}">
              <c16:uniqueId val="{00000000-4906-4F1B-87CD-99AAC3D719B4}"/>
            </c:ext>
          </c:extLst>
        </c:ser>
        <c:ser>
          <c:idx val="1"/>
          <c:order val="1"/>
          <c:tx>
            <c:strRef>
              <c:f>'Pivot &amp; derived tables'!$AH$6</c:f>
              <c:strCache>
                <c:ptCount val="1"/>
                <c:pt idx="0">
                  <c:v>expenses_mov_ave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numRef>
              <c:f>'Pivot &amp; derived tables'!$AF$7:$AF$19</c:f>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f>'Pivot &amp; derived tables'!$AH$7:$AH$19</c:f>
              <c:numCache>
                <c:formatCode>General</c:formatCode>
                <c:ptCount val="13"/>
                <c:pt idx="0">
                  <c:v>17283.669999999998</c:v>
                </c:pt>
                <c:pt idx="1">
                  <c:v>19751</c:v>
                </c:pt>
                <c:pt idx="2">
                  <c:v>15339.67</c:v>
                </c:pt>
                <c:pt idx="3">
                  <c:v>17477</c:v>
                </c:pt>
                <c:pt idx="4">
                  <c:v>15696.67</c:v>
                </c:pt>
                <c:pt idx="5">
                  <c:v>16237.33</c:v>
                </c:pt>
                <c:pt idx="6">
                  <c:v>18212.669999999998</c:v>
                </c:pt>
                <c:pt idx="7">
                  <c:v>17834.330000000002</c:v>
                </c:pt>
                <c:pt idx="8">
                  <c:v>14937.33</c:v>
                </c:pt>
                <c:pt idx="9">
                  <c:v>16021</c:v>
                </c:pt>
                <c:pt idx="10">
                  <c:v>15559</c:v>
                </c:pt>
                <c:pt idx="11">
                  <c:v>18485.330000000002</c:v>
                </c:pt>
                <c:pt idx="12">
                  <c:v>16618.669999999998</c:v>
                </c:pt>
              </c:numCache>
            </c:numRef>
          </c:val>
          <c:smooth val="0"/>
          <c:extLst>
            <c:ext xmlns:c16="http://schemas.microsoft.com/office/drawing/2014/chart" uri="{C3380CC4-5D6E-409C-BE32-E72D297353CC}">
              <c16:uniqueId val="{00000002-4906-4F1B-87CD-99AAC3D719B4}"/>
            </c:ext>
          </c:extLst>
        </c:ser>
        <c:dLbls>
          <c:showLegendKey val="0"/>
          <c:showVal val="0"/>
          <c:showCatName val="0"/>
          <c:showSerName val="0"/>
          <c:showPercent val="0"/>
          <c:showBubbleSize val="0"/>
        </c:dLbls>
        <c:marker val="1"/>
        <c:smooth val="0"/>
        <c:axId val="101355328"/>
        <c:axId val="101353888"/>
        <c:extLst>
          <c:ext xmlns:c15="http://schemas.microsoft.com/office/drawing/2012/chart" uri="{02D57815-91ED-43cb-92C2-25804820EDAC}">
            <c15:filteredLineSeries>
              <c15:ser>
                <c:idx val="2"/>
                <c:order val="2"/>
                <c:tx>
                  <c:strRef>
                    <c:extLst>
                      <c:ext uri="{02D57815-91ED-43cb-92C2-25804820EDAC}">
                        <c15:formulaRef>
                          <c15:sqref>'Pivot &amp; derived tables'!$AI$6</c15:sqref>
                        </c15:formulaRef>
                      </c:ext>
                    </c:extLst>
                    <c:strCache>
                      <c:ptCount val="1"/>
                      <c:pt idx="0">
                        <c:v>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c:ext uri="{02D57815-91ED-43cb-92C2-25804820EDAC}">
                        <c15:formulaRef>
                          <c15:sqref>'Pivot &amp; derived tables'!$AF$7:$AF$19</c15:sqref>
                        </c15:formulaRef>
                      </c:ext>
                    </c:extLst>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extLst>
                      <c:ext uri="{02D57815-91ED-43cb-92C2-25804820EDAC}">
                        <c15:formulaRef>
                          <c15:sqref>'Pivot &amp; derived tables'!$AI$7:$AI$19</c15:sqref>
                        </c15:formulaRef>
                      </c:ext>
                    </c:extLst>
                    <c:numCache>
                      <c:formatCode>General</c:formatCode>
                      <c:ptCount val="13"/>
                      <c:pt idx="0">
                        <c:v>25466</c:v>
                      </c:pt>
                      <c:pt idx="1">
                        <c:v>25195</c:v>
                      </c:pt>
                      <c:pt idx="2">
                        <c:v>25195</c:v>
                      </c:pt>
                      <c:pt idx="3">
                        <c:v>32231</c:v>
                      </c:pt>
                      <c:pt idx="4">
                        <c:v>52230</c:v>
                      </c:pt>
                      <c:pt idx="5">
                        <c:v>25231</c:v>
                      </c:pt>
                      <c:pt idx="6">
                        <c:v>30278</c:v>
                      </c:pt>
                      <c:pt idx="7">
                        <c:v>42632</c:v>
                      </c:pt>
                      <c:pt idx="8">
                        <c:v>38620</c:v>
                      </c:pt>
                      <c:pt idx="9">
                        <c:v>27502</c:v>
                      </c:pt>
                      <c:pt idx="10">
                        <c:v>59992</c:v>
                      </c:pt>
                      <c:pt idx="11">
                        <c:v>51481</c:v>
                      </c:pt>
                      <c:pt idx="12">
                        <c:v>26403</c:v>
                      </c:pt>
                    </c:numCache>
                  </c:numRef>
                </c:val>
                <c:smooth val="0"/>
                <c:extLst>
                  <c:ext xmlns:c16="http://schemas.microsoft.com/office/drawing/2014/chart" uri="{C3380CC4-5D6E-409C-BE32-E72D297353CC}">
                    <c16:uniqueId val="{00000003-4906-4F1B-87CD-99AAC3D719B4}"/>
                  </c:ext>
                </c:extLst>
              </c15:ser>
            </c15:filteredLineSeries>
            <c15:filteredLineSeries>
              <c15:ser>
                <c:idx val="3"/>
                <c:order val="3"/>
                <c:tx>
                  <c:strRef>
                    <c:extLst>
                      <c:ext xmlns:c15="http://schemas.microsoft.com/office/drawing/2012/chart" uri="{02D57815-91ED-43cb-92C2-25804820EDAC}">
                        <c15:formulaRef>
                          <c15:sqref>'Pivot &amp; derived tables'!$AJ$6</c15:sqref>
                        </c15:formulaRef>
                      </c:ext>
                    </c:extLst>
                    <c:strCache>
                      <c:ptCount val="1"/>
                      <c:pt idx="0">
                        <c:v>income_mov_ave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extLst>
                      <c:ext xmlns:c15="http://schemas.microsoft.com/office/drawing/2012/chart" uri="{02D57815-91ED-43cb-92C2-25804820EDAC}">
                        <c15:formulaRef>
                          <c15:sqref>'Pivot &amp; derived tables'!$AF$7:$AF$19</c15:sqref>
                        </c15:formulaRef>
                      </c:ext>
                    </c:extLst>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extLst>
                      <c:ext xmlns:c15="http://schemas.microsoft.com/office/drawing/2012/chart" uri="{02D57815-91ED-43cb-92C2-25804820EDAC}">
                        <c15:formulaRef>
                          <c15:sqref>'Pivot &amp; derived tables'!$AJ$7:$AJ$19</c15:sqref>
                        </c15:formulaRef>
                      </c:ext>
                    </c:extLst>
                    <c:numCache>
                      <c:formatCode>General</c:formatCode>
                      <c:ptCount val="13"/>
                      <c:pt idx="0">
                        <c:v>46319</c:v>
                      </c:pt>
                      <c:pt idx="1">
                        <c:v>31375.33</c:v>
                      </c:pt>
                      <c:pt idx="2">
                        <c:v>25285.33</c:v>
                      </c:pt>
                      <c:pt idx="3">
                        <c:v>27540.33</c:v>
                      </c:pt>
                      <c:pt idx="4">
                        <c:v>36552</c:v>
                      </c:pt>
                      <c:pt idx="5">
                        <c:v>36564</c:v>
                      </c:pt>
                      <c:pt idx="6">
                        <c:v>35913</c:v>
                      </c:pt>
                      <c:pt idx="7">
                        <c:v>32713.67</c:v>
                      </c:pt>
                      <c:pt idx="8">
                        <c:v>37176.67</c:v>
                      </c:pt>
                      <c:pt idx="9">
                        <c:v>36251.33</c:v>
                      </c:pt>
                      <c:pt idx="10">
                        <c:v>42038</c:v>
                      </c:pt>
                      <c:pt idx="11">
                        <c:v>46325</c:v>
                      </c:pt>
                      <c:pt idx="12">
                        <c:v>45958.67</c:v>
                      </c:pt>
                    </c:numCache>
                  </c:numRef>
                </c:val>
                <c:smooth val="0"/>
                <c:extLst xmlns:c15="http://schemas.microsoft.com/office/drawing/2012/chart">
                  <c:ext xmlns:c16="http://schemas.microsoft.com/office/drawing/2014/chart" uri="{C3380CC4-5D6E-409C-BE32-E72D297353CC}">
                    <c16:uniqueId val="{00000004-4906-4F1B-87CD-99AAC3D719B4}"/>
                  </c:ext>
                </c:extLst>
              </c15:ser>
            </c15:filteredLineSeries>
            <c15:filteredLineSeries>
              <c15:ser>
                <c:idx val="4"/>
                <c:order val="4"/>
                <c:tx>
                  <c:strRef>
                    <c:extLst>
                      <c:ext xmlns:c15="http://schemas.microsoft.com/office/drawing/2012/chart" uri="{02D57815-91ED-43cb-92C2-25804820EDAC}">
                        <c15:formulaRef>
                          <c15:sqref>'Pivot &amp; derived tables'!$AK$6</c15:sqref>
                        </c15:formulaRef>
                      </c:ext>
                    </c:extLst>
                    <c:strCache>
                      <c:ptCount val="1"/>
                      <c:pt idx="0">
                        <c:v>net income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extLst>
                      <c:ext xmlns:c15="http://schemas.microsoft.com/office/drawing/2012/chart" uri="{02D57815-91ED-43cb-92C2-25804820EDAC}">
                        <c15:formulaRef>
                          <c15:sqref>'Pivot &amp; derived tables'!$AF$7:$AF$19</c15:sqref>
                        </c15:formulaRef>
                      </c:ext>
                    </c:extLst>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extLst>
                      <c:ext xmlns:c15="http://schemas.microsoft.com/office/drawing/2012/chart" uri="{02D57815-91ED-43cb-92C2-25804820EDAC}">
                        <c15:formulaRef>
                          <c15:sqref>'Pivot &amp; derived tables'!$AK$7:$AK$19</c15:sqref>
                        </c15:formulaRef>
                      </c:ext>
                    </c:extLst>
                    <c:numCache>
                      <c:formatCode>General</c:formatCode>
                      <c:ptCount val="13"/>
                      <c:pt idx="0">
                        <c:v>15819</c:v>
                      </c:pt>
                      <c:pt idx="1">
                        <c:v>7612</c:v>
                      </c:pt>
                      <c:pt idx="2">
                        <c:v>6406</c:v>
                      </c:pt>
                      <c:pt idx="3">
                        <c:v>16172</c:v>
                      </c:pt>
                      <c:pt idx="4">
                        <c:v>39988</c:v>
                      </c:pt>
                      <c:pt idx="5">
                        <c:v>4820</c:v>
                      </c:pt>
                      <c:pt idx="6">
                        <c:v>8293</c:v>
                      </c:pt>
                      <c:pt idx="7">
                        <c:v>31525</c:v>
                      </c:pt>
                      <c:pt idx="8">
                        <c:v>26900</c:v>
                      </c:pt>
                      <c:pt idx="9">
                        <c:v>2266</c:v>
                      </c:pt>
                      <c:pt idx="10">
                        <c:v>50271</c:v>
                      </c:pt>
                      <c:pt idx="11">
                        <c:v>30982</c:v>
                      </c:pt>
                      <c:pt idx="12">
                        <c:v>6767</c:v>
                      </c:pt>
                    </c:numCache>
                  </c:numRef>
                </c:val>
                <c:smooth val="0"/>
                <c:extLst xmlns:c15="http://schemas.microsoft.com/office/drawing/2012/chart">
                  <c:ext xmlns:c16="http://schemas.microsoft.com/office/drawing/2014/chart" uri="{C3380CC4-5D6E-409C-BE32-E72D297353CC}">
                    <c16:uniqueId val="{00000005-4906-4F1B-87CD-99AAC3D719B4}"/>
                  </c:ext>
                </c:extLst>
              </c15:ser>
            </c15:filteredLineSeries>
            <c15:filteredLineSeries>
              <c15:ser>
                <c:idx val="5"/>
                <c:order val="5"/>
                <c:tx>
                  <c:strRef>
                    <c:extLst>
                      <c:ext xmlns:c15="http://schemas.microsoft.com/office/drawing/2012/chart" uri="{02D57815-91ED-43cb-92C2-25804820EDAC}">
                        <c15:formulaRef>
                          <c15:sqref>'Pivot &amp; derived tables'!$AL$6</c15:sqref>
                        </c15:formulaRef>
                      </c:ext>
                    </c:extLst>
                    <c:strCache>
                      <c:ptCount val="1"/>
                      <c:pt idx="0">
                        <c:v>net_income_mov_ave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c:ext xmlns:c15="http://schemas.microsoft.com/office/drawing/2012/chart" uri="{02D57815-91ED-43cb-92C2-25804820EDAC}">
                        <c15:formulaRef>
                          <c15:sqref>'Pivot &amp; derived tables'!$AF$7:$AF$19</c15:sqref>
                        </c15:formulaRef>
                      </c:ext>
                    </c:extLst>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extLst>
                      <c:ext xmlns:c15="http://schemas.microsoft.com/office/drawing/2012/chart" uri="{02D57815-91ED-43cb-92C2-25804820EDAC}">
                        <c15:formulaRef>
                          <c15:sqref>'Pivot &amp; derived tables'!$AL$7:$AL$19</c15:sqref>
                        </c15:formulaRef>
                      </c:ext>
                    </c:extLst>
                    <c:numCache>
                      <c:formatCode>General</c:formatCode>
                      <c:ptCount val="13"/>
                      <c:pt idx="0">
                        <c:v>29035.33</c:v>
                      </c:pt>
                      <c:pt idx="1">
                        <c:v>11624.33</c:v>
                      </c:pt>
                      <c:pt idx="2">
                        <c:v>9945.67</c:v>
                      </c:pt>
                      <c:pt idx="3">
                        <c:v>10063.33</c:v>
                      </c:pt>
                      <c:pt idx="4">
                        <c:v>20855.330000000002</c:v>
                      </c:pt>
                      <c:pt idx="5">
                        <c:v>20326.669999999998</c:v>
                      </c:pt>
                      <c:pt idx="6">
                        <c:v>17700.330000000002</c:v>
                      </c:pt>
                      <c:pt idx="7">
                        <c:v>14879.33</c:v>
                      </c:pt>
                      <c:pt idx="8">
                        <c:v>22239.33</c:v>
                      </c:pt>
                      <c:pt idx="9">
                        <c:v>20230.330000000002</c:v>
                      </c:pt>
                      <c:pt idx="10">
                        <c:v>26479</c:v>
                      </c:pt>
                      <c:pt idx="11">
                        <c:v>27839.67</c:v>
                      </c:pt>
                      <c:pt idx="12">
                        <c:v>29340</c:v>
                      </c:pt>
                    </c:numCache>
                  </c:numRef>
                </c:val>
                <c:smooth val="0"/>
                <c:extLst xmlns:c15="http://schemas.microsoft.com/office/drawing/2012/chart">
                  <c:ext xmlns:c16="http://schemas.microsoft.com/office/drawing/2014/chart" uri="{C3380CC4-5D6E-409C-BE32-E72D297353CC}">
                    <c16:uniqueId val="{00000006-4906-4F1B-87CD-99AAC3D719B4}"/>
                  </c:ext>
                </c:extLst>
              </c15:ser>
            </c15:filteredLineSeries>
          </c:ext>
        </c:extLst>
      </c:lineChart>
      <c:dateAx>
        <c:axId val="101355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a:t>
                </a:r>
                <a:r>
                  <a:rPr lang="en-PH" baseline="0"/>
                  <a:t> (month-year)</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3888"/>
        <c:crosses val="autoZero"/>
        <c:auto val="1"/>
        <c:lblOffset val="100"/>
        <c:baseTimeUnit val="months"/>
      </c:dateAx>
      <c:valAx>
        <c:axId val="10135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5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65000"/>
          <a:alpha val="97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Monthly</a:t>
            </a:r>
            <a:r>
              <a:rPr lang="en-PH" b="1" baseline="0"/>
              <a:t> </a:t>
            </a:r>
            <a:r>
              <a:rPr lang="en-PH" b="1"/>
              <a:t>Income</a:t>
            </a:r>
            <a:r>
              <a:rPr lang="en-PH" b="1" baseline="0"/>
              <a:t> </a:t>
            </a:r>
            <a:r>
              <a:rPr lang="en-PH" b="1"/>
              <a:t>Trend</a:t>
            </a:r>
            <a:r>
              <a:rPr lang="en-PH" b="1" baseline="0"/>
              <a:t> </a:t>
            </a:r>
          </a:p>
          <a:p>
            <a:pPr>
              <a:defRPr b="1"/>
            </a:pPr>
            <a:r>
              <a:rPr lang="en-PH" b="0" baseline="0"/>
              <a:t>(3-month Moving Averages)</a:t>
            </a:r>
            <a:endParaRPr lang="en-PH" b="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2"/>
          <c:tx>
            <c:strRef>
              <c:f>'Pivot &amp; derived tables'!$AI$6</c:f>
              <c:strCache>
                <c:ptCount val="1"/>
                <c:pt idx="0">
                  <c:v>income</c:v>
                </c:pt>
              </c:strCache>
            </c:strRef>
          </c:tx>
          <c:spPr>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cat>
            <c:numRef>
              <c:f>'Pivot &amp; derived tables'!$AF$7:$AF$19</c:f>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f>'Pivot &amp; derived tables'!$AI$7:$AI$19</c:f>
              <c:numCache>
                <c:formatCode>General</c:formatCode>
                <c:ptCount val="13"/>
                <c:pt idx="0">
                  <c:v>25466</c:v>
                </c:pt>
                <c:pt idx="1">
                  <c:v>25195</c:v>
                </c:pt>
                <c:pt idx="2">
                  <c:v>25195</c:v>
                </c:pt>
                <c:pt idx="3">
                  <c:v>32231</c:v>
                </c:pt>
                <c:pt idx="4">
                  <c:v>52230</c:v>
                </c:pt>
                <c:pt idx="5">
                  <c:v>25231</c:v>
                </c:pt>
                <c:pt idx="6">
                  <c:v>30278</c:v>
                </c:pt>
                <c:pt idx="7">
                  <c:v>42632</c:v>
                </c:pt>
                <c:pt idx="8">
                  <c:v>38620</c:v>
                </c:pt>
                <c:pt idx="9">
                  <c:v>27502</c:v>
                </c:pt>
                <c:pt idx="10">
                  <c:v>59992</c:v>
                </c:pt>
                <c:pt idx="11">
                  <c:v>51481</c:v>
                </c:pt>
                <c:pt idx="12">
                  <c:v>26403</c:v>
                </c:pt>
              </c:numCache>
            </c:numRef>
          </c:val>
          <c:smooth val="0"/>
          <c:extLst>
            <c:ext xmlns:c16="http://schemas.microsoft.com/office/drawing/2014/chart" uri="{C3380CC4-5D6E-409C-BE32-E72D297353CC}">
              <c16:uniqueId val="{00000000-834A-41FF-9B71-A69396C027C9}"/>
            </c:ext>
          </c:extLst>
        </c:ser>
        <c:ser>
          <c:idx val="3"/>
          <c:order val="3"/>
          <c:tx>
            <c:strRef>
              <c:f>'Pivot &amp; derived tables'!$AJ$6</c:f>
              <c:strCache>
                <c:ptCount val="1"/>
                <c:pt idx="0">
                  <c:v>income_mov_ave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0"/>
            <c:dispEq val="0"/>
          </c:trendline>
          <c:cat>
            <c:numRef>
              <c:f>'Pivot &amp; derived tables'!$AF$7:$AF$19</c:f>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f>'Pivot &amp; derived tables'!$AJ$7:$AJ$19</c:f>
              <c:numCache>
                <c:formatCode>General</c:formatCode>
                <c:ptCount val="13"/>
                <c:pt idx="0">
                  <c:v>46319</c:v>
                </c:pt>
                <c:pt idx="1">
                  <c:v>31375.33</c:v>
                </c:pt>
                <c:pt idx="2">
                  <c:v>25285.33</c:v>
                </c:pt>
                <c:pt idx="3">
                  <c:v>27540.33</c:v>
                </c:pt>
                <c:pt idx="4">
                  <c:v>36552</c:v>
                </c:pt>
                <c:pt idx="5">
                  <c:v>36564</c:v>
                </c:pt>
                <c:pt idx="6">
                  <c:v>35913</c:v>
                </c:pt>
                <c:pt idx="7">
                  <c:v>32713.67</c:v>
                </c:pt>
                <c:pt idx="8">
                  <c:v>37176.67</c:v>
                </c:pt>
                <c:pt idx="9">
                  <c:v>36251.33</c:v>
                </c:pt>
                <c:pt idx="10">
                  <c:v>42038</c:v>
                </c:pt>
                <c:pt idx="11">
                  <c:v>46325</c:v>
                </c:pt>
                <c:pt idx="12">
                  <c:v>45958.67</c:v>
                </c:pt>
              </c:numCache>
            </c:numRef>
          </c:val>
          <c:smooth val="0"/>
          <c:extLst>
            <c:ext xmlns:c16="http://schemas.microsoft.com/office/drawing/2014/chart" uri="{C3380CC4-5D6E-409C-BE32-E72D297353CC}">
              <c16:uniqueId val="{00000002-834A-41FF-9B71-A69396C027C9}"/>
            </c:ext>
          </c:extLst>
        </c:ser>
        <c:dLbls>
          <c:showLegendKey val="0"/>
          <c:showVal val="0"/>
          <c:showCatName val="0"/>
          <c:showSerName val="0"/>
          <c:showPercent val="0"/>
          <c:showBubbleSize val="0"/>
        </c:dLbls>
        <c:marker val="1"/>
        <c:smooth val="0"/>
        <c:axId val="101355328"/>
        <c:axId val="101353888"/>
        <c:extLst>
          <c:ext xmlns:c15="http://schemas.microsoft.com/office/drawing/2012/chart" uri="{02D57815-91ED-43cb-92C2-25804820EDAC}">
            <c15:filteredLineSeries>
              <c15:ser>
                <c:idx val="0"/>
                <c:order val="0"/>
                <c:tx>
                  <c:strRef>
                    <c:extLst>
                      <c:ext uri="{02D57815-91ED-43cb-92C2-25804820EDAC}">
                        <c15:formulaRef>
                          <c15:sqref>'Pivot &amp; derived tables'!$AG$6</c15:sqref>
                        </c15:formulaRef>
                      </c:ext>
                    </c:extLst>
                    <c:strCache>
                      <c:ptCount val="1"/>
                      <c:pt idx="0">
                        <c:v>expenses</c:v>
                      </c:pt>
                    </c:strCache>
                  </c:strRef>
                </c:tx>
                <c:spPr>
                  <a:ln w="28575" cap="rnd">
                    <a:solidFill>
                      <a:schemeClr val="bg1">
                        <a:lumMod val="65000"/>
                        <a:alpha val="97000"/>
                      </a:schemeClr>
                    </a:solidFill>
                    <a:round/>
                  </a:ln>
                  <a:effectLst/>
                </c:spPr>
                <c:marker>
                  <c:symbol val="circle"/>
                  <c:size val="5"/>
                  <c:spPr>
                    <a:solidFill>
                      <a:schemeClr val="bg1">
                        <a:lumMod val="65000"/>
                      </a:schemeClr>
                    </a:solidFill>
                    <a:ln w="9525">
                      <a:solidFill>
                        <a:schemeClr val="bg1">
                          <a:lumMod val="65000"/>
                        </a:schemeClr>
                      </a:solidFill>
                    </a:ln>
                    <a:effectLst/>
                  </c:spPr>
                </c:marker>
                <c:cat>
                  <c:numRef>
                    <c:extLst>
                      <c:ext uri="{02D57815-91ED-43cb-92C2-25804820EDAC}">
                        <c15:formulaRef>
                          <c15:sqref>'Pivot &amp; derived tables'!$AF$7:$AF$19</c15:sqref>
                        </c15:formulaRef>
                      </c:ext>
                    </c:extLst>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extLst>
                      <c:ext uri="{02D57815-91ED-43cb-92C2-25804820EDAC}">
                        <c15:formulaRef>
                          <c15:sqref>'Pivot &amp; derived tables'!$AG$7:$AG$19</c15:sqref>
                        </c15:formulaRef>
                      </c:ext>
                    </c:extLst>
                    <c:numCache>
                      <c:formatCode>General</c:formatCode>
                      <c:ptCount val="13"/>
                      <c:pt idx="0">
                        <c:v>9647</c:v>
                      </c:pt>
                      <c:pt idx="1">
                        <c:v>17583</c:v>
                      </c:pt>
                      <c:pt idx="2">
                        <c:v>18789</c:v>
                      </c:pt>
                      <c:pt idx="3">
                        <c:v>16059</c:v>
                      </c:pt>
                      <c:pt idx="4">
                        <c:v>12242</c:v>
                      </c:pt>
                      <c:pt idx="5">
                        <c:v>20411</c:v>
                      </c:pt>
                      <c:pt idx="6">
                        <c:v>21985</c:v>
                      </c:pt>
                      <c:pt idx="7">
                        <c:v>11107</c:v>
                      </c:pt>
                      <c:pt idx="8">
                        <c:v>11720</c:v>
                      </c:pt>
                      <c:pt idx="9">
                        <c:v>25236</c:v>
                      </c:pt>
                      <c:pt idx="10">
                        <c:v>9721</c:v>
                      </c:pt>
                      <c:pt idx="11">
                        <c:v>20499</c:v>
                      </c:pt>
                      <c:pt idx="12">
                        <c:v>19636</c:v>
                      </c:pt>
                    </c:numCache>
                  </c:numRef>
                </c:val>
                <c:smooth val="0"/>
                <c:extLst>
                  <c:ext xmlns:c16="http://schemas.microsoft.com/office/drawing/2014/chart" uri="{C3380CC4-5D6E-409C-BE32-E72D297353CC}">
                    <c16:uniqueId val="{00000003-834A-41FF-9B71-A69396C027C9}"/>
                  </c:ext>
                </c:extLst>
              </c15:ser>
            </c15:filteredLineSeries>
            <c15:filteredLineSeries>
              <c15:ser>
                <c:idx val="1"/>
                <c:order val="1"/>
                <c:tx>
                  <c:strRef>
                    <c:extLst>
                      <c:ext xmlns:c15="http://schemas.microsoft.com/office/drawing/2012/chart" uri="{02D57815-91ED-43cb-92C2-25804820EDAC}">
                        <c15:formulaRef>
                          <c15:sqref>'Pivot &amp; derived tables'!$AH$6</c15:sqref>
                        </c15:formulaRef>
                      </c:ext>
                    </c:extLst>
                    <c:strCache>
                      <c:ptCount val="1"/>
                      <c:pt idx="0">
                        <c:v>expenses_mov_ave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numRef>
                    <c:extLst>
                      <c:ext xmlns:c15="http://schemas.microsoft.com/office/drawing/2012/chart" uri="{02D57815-91ED-43cb-92C2-25804820EDAC}">
                        <c15:formulaRef>
                          <c15:sqref>'Pivot &amp; derived tables'!$AF$7:$AF$19</c15:sqref>
                        </c15:formulaRef>
                      </c:ext>
                    </c:extLst>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extLst>
                      <c:ext xmlns:c15="http://schemas.microsoft.com/office/drawing/2012/chart" uri="{02D57815-91ED-43cb-92C2-25804820EDAC}">
                        <c15:formulaRef>
                          <c15:sqref>'Pivot &amp; derived tables'!$AH$7:$AH$19</c15:sqref>
                        </c15:formulaRef>
                      </c:ext>
                    </c:extLst>
                    <c:numCache>
                      <c:formatCode>General</c:formatCode>
                      <c:ptCount val="13"/>
                      <c:pt idx="0">
                        <c:v>17283.669999999998</c:v>
                      </c:pt>
                      <c:pt idx="1">
                        <c:v>19751</c:v>
                      </c:pt>
                      <c:pt idx="2">
                        <c:v>15339.67</c:v>
                      </c:pt>
                      <c:pt idx="3">
                        <c:v>17477</c:v>
                      </c:pt>
                      <c:pt idx="4">
                        <c:v>15696.67</c:v>
                      </c:pt>
                      <c:pt idx="5">
                        <c:v>16237.33</c:v>
                      </c:pt>
                      <c:pt idx="6">
                        <c:v>18212.669999999998</c:v>
                      </c:pt>
                      <c:pt idx="7">
                        <c:v>17834.330000000002</c:v>
                      </c:pt>
                      <c:pt idx="8">
                        <c:v>14937.33</c:v>
                      </c:pt>
                      <c:pt idx="9">
                        <c:v>16021</c:v>
                      </c:pt>
                      <c:pt idx="10">
                        <c:v>15559</c:v>
                      </c:pt>
                      <c:pt idx="11">
                        <c:v>18485.330000000002</c:v>
                      </c:pt>
                      <c:pt idx="12">
                        <c:v>16618.669999999998</c:v>
                      </c:pt>
                    </c:numCache>
                  </c:numRef>
                </c:val>
                <c:smooth val="0"/>
                <c:extLst xmlns:c15="http://schemas.microsoft.com/office/drawing/2012/chart">
                  <c:ext xmlns:c16="http://schemas.microsoft.com/office/drawing/2014/chart" uri="{C3380CC4-5D6E-409C-BE32-E72D297353CC}">
                    <c16:uniqueId val="{00000005-834A-41FF-9B71-A69396C027C9}"/>
                  </c:ext>
                </c:extLst>
              </c15:ser>
            </c15:filteredLineSeries>
            <c15:filteredLineSeries>
              <c15:ser>
                <c:idx val="4"/>
                <c:order val="4"/>
                <c:tx>
                  <c:strRef>
                    <c:extLst>
                      <c:ext xmlns:c15="http://schemas.microsoft.com/office/drawing/2012/chart" uri="{02D57815-91ED-43cb-92C2-25804820EDAC}">
                        <c15:formulaRef>
                          <c15:sqref>'Pivot &amp; derived tables'!$AK$6</c15:sqref>
                        </c15:formulaRef>
                      </c:ext>
                    </c:extLst>
                    <c:strCache>
                      <c:ptCount val="1"/>
                      <c:pt idx="0">
                        <c:v>net income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extLst>
                      <c:ext xmlns:c15="http://schemas.microsoft.com/office/drawing/2012/chart" uri="{02D57815-91ED-43cb-92C2-25804820EDAC}">
                        <c15:formulaRef>
                          <c15:sqref>'Pivot &amp; derived tables'!$AF$7:$AF$19</c15:sqref>
                        </c15:formulaRef>
                      </c:ext>
                    </c:extLst>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extLst>
                      <c:ext xmlns:c15="http://schemas.microsoft.com/office/drawing/2012/chart" uri="{02D57815-91ED-43cb-92C2-25804820EDAC}">
                        <c15:formulaRef>
                          <c15:sqref>'Pivot &amp; derived tables'!$AK$7:$AK$19</c15:sqref>
                        </c15:formulaRef>
                      </c:ext>
                    </c:extLst>
                    <c:numCache>
                      <c:formatCode>General</c:formatCode>
                      <c:ptCount val="13"/>
                      <c:pt idx="0">
                        <c:v>15819</c:v>
                      </c:pt>
                      <c:pt idx="1">
                        <c:v>7612</c:v>
                      </c:pt>
                      <c:pt idx="2">
                        <c:v>6406</c:v>
                      </c:pt>
                      <c:pt idx="3">
                        <c:v>16172</c:v>
                      </c:pt>
                      <c:pt idx="4">
                        <c:v>39988</c:v>
                      </c:pt>
                      <c:pt idx="5">
                        <c:v>4820</c:v>
                      </c:pt>
                      <c:pt idx="6">
                        <c:v>8293</c:v>
                      </c:pt>
                      <c:pt idx="7">
                        <c:v>31525</c:v>
                      </c:pt>
                      <c:pt idx="8">
                        <c:v>26900</c:v>
                      </c:pt>
                      <c:pt idx="9">
                        <c:v>2266</c:v>
                      </c:pt>
                      <c:pt idx="10">
                        <c:v>50271</c:v>
                      </c:pt>
                      <c:pt idx="11">
                        <c:v>30982</c:v>
                      </c:pt>
                      <c:pt idx="12">
                        <c:v>6767</c:v>
                      </c:pt>
                    </c:numCache>
                  </c:numRef>
                </c:val>
                <c:smooth val="0"/>
                <c:extLst xmlns:c15="http://schemas.microsoft.com/office/drawing/2012/chart">
                  <c:ext xmlns:c16="http://schemas.microsoft.com/office/drawing/2014/chart" uri="{C3380CC4-5D6E-409C-BE32-E72D297353CC}">
                    <c16:uniqueId val="{00000006-834A-41FF-9B71-A69396C027C9}"/>
                  </c:ext>
                </c:extLst>
              </c15:ser>
            </c15:filteredLineSeries>
            <c15:filteredLineSeries>
              <c15:ser>
                <c:idx val="5"/>
                <c:order val="5"/>
                <c:tx>
                  <c:strRef>
                    <c:extLst>
                      <c:ext xmlns:c15="http://schemas.microsoft.com/office/drawing/2012/chart" uri="{02D57815-91ED-43cb-92C2-25804820EDAC}">
                        <c15:formulaRef>
                          <c15:sqref>'Pivot &amp; derived tables'!$AL$6</c15:sqref>
                        </c15:formulaRef>
                      </c:ext>
                    </c:extLst>
                    <c:strCache>
                      <c:ptCount val="1"/>
                      <c:pt idx="0">
                        <c:v>net_income_mov_ave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c:ext xmlns:c15="http://schemas.microsoft.com/office/drawing/2012/chart" uri="{02D57815-91ED-43cb-92C2-25804820EDAC}">
                        <c15:formulaRef>
                          <c15:sqref>'Pivot &amp; derived tables'!$AF$7:$AF$19</c15:sqref>
                        </c15:formulaRef>
                      </c:ext>
                    </c:extLst>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extLst>
                      <c:ext xmlns:c15="http://schemas.microsoft.com/office/drawing/2012/chart" uri="{02D57815-91ED-43cb-92C2-25804820EDAC}">
                        <c15:formulaRef>
                          <c15:sqref>'Pivot &amp; derived tables'!$AL$7:$AL$19</c15:sqref>
                        </c15:formulaRef>
                      </c:ext>
                    </c:extLst>
                    <c:numCache>
                      <c:formatCode>General</c:formatCode>
                      <c:ptCount val="13"/>
                      <c:pt idx="0">
                        <c:v>29035.33</c:v>
                      </c:pt>
                      <c:pt idx="1">
                        <c:v>11624.33</c:v>
                      </c:pt>
                      <c:pt idx="2">
                        <c:v>9945.67</c:v>
                      </c:pt>
                      <c:pt idx="3">
                        <c:v>10063.33</c:v>
                      </c:pt>
                      <c:pt idx="4">
                        <c:v>20855.330000000002</c:v>
                      </c:pt>
                      <c:pt idx="5">
                        <c:v>20326.669999999998</c:v>
                      </c:pt>
                      <c:pt idx="6">
                        <c:v>17700.330000000002</c:v>
                      </c:pt>
                      <c:pt idx="7">
                        <c:v>14879.33</c:v>
                      </c:pt>
                      <c:pt idx="8">
                        <c:v>22239.33</c:v>
                      </c:pt>
                      <c:pt idx="9">
                        <c:v>20230.330000000002</c:v>
                      </c:pt>
                      <c:pt idx="10">
                        <c:v>26479</c:v>
                      </c:pt>
                      <c:pt idx="11">
                        <c:v>27839.67</c:v>
                      </c:pt>
                      <c:pt idx="12">
                        <c:v>29340</c:v>
                      </c:pt>
                    </c:numCache>
                  </c:numRef>
                </c:val>
                <c:smooth val="0"/>
                <c:extLst xmlns:c15="http://schemas.microsoft.com/office/drawing/2012/chart">
                  <c:ext xmlns:c16="http://schemas.microsoft.com/office/drawing/2014/chart" uri="{C3380CC4-5D6E-409C-BE32-E72D297353CC}">
                    <c16:uniqueId val="{00000007-834A-41FF-9B71-A69396C027C9}"/>
                  </c:ext>
                </c:extLst>
              </c15:ser>
            </c15:filteredLineSeries>
          </c:ext>
        </c:extLst>
      </c:lineChart>
      <c:dateAx>
        <c:axId val="101355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a:t>
                </a:r>
                <a:r>
                  <a:rPr lang="en-PH" baseline="0"/>
                  <a:t> (month-year)</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3888"/>
        <c:crosses val="autoZero"/>
        <c:auto val="1"/>
        <c:lblOffset val="100"/>
        <c:baseTimeUnit val="months"/>
      </c:dateAx>
      <c:valAx>
        <c:axId val="10135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5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65000"/>
          <a:alpha val="97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Monthly</a:t>
            </a:r>
            <a:r>
              <a:rPr lang="en-PH" b="1" baseline="0"/>
              <a:t> </a:t>
            </a:r>
            <a:r>
              <a:rPr lang="en-PH" b="1"/>
              <a:t>Net Income Trend</a:t>
            </a:r>
            <a:r>
              <a:rPr lang="en-PH" b="1" baseline="0"/>
              <a:t> </a:t>
            </a:r>
          </a:p>
          <a:p>
            <a:pPr>
              <a:defRPr b="1"/>
            </a:pPr>
            <a:r>
              <a:rPr lang="en-PH" b="0" baseline="0"/>
              <a:t>(3-month Moving Averages)</a:t>
            </a:r>
            <a:endParaRPr lang="en-PH" b="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4"/>
          <c:tx>
            <c:strRef>
              <c:f>'Pivot &amp; derived tables'!$AK$6</c:f>
              <c:strCache>
                <c:ptCount val="1"/>
                <c:pt idx="0">
                  <c:v>net income</c:v>
                </c:pt>
              </c:strCache>
            </c:strRef>
          </c:tx>
          <c:spPr>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cat>
            <c:numRef>
              <c:f>'Pivot &amp; derived tables'!$AF$7:$AF$19</c:f>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f>'Pivot &amp; derived tables'!$AK$7:$AK$19</c:f>
              <c:numCache>
                <c:formatCode>General</c:formatCode>
                <c:ptCount val="13"/>
                <c:pt idx="0">
                  <c:v>15819</c:v>
                </c:pt>
                <c:pt idx="1">
                  <c:v>7612</c:v>
                </c:pt>
                <c:pt idx="2">
                  <c:v>6406</c:v>
                </c:pt>
                <c:pt idx="3">
                  <c:v>16172</c:v>
                </c:pt>
                <c:pt idx="4">
                  <c:v>39988</c:v>
                </c:pt>
                <c:pt idx="5">
                  <c:v>4820</c:v>
                </c:pt>
                <c:pt idx="6">
                  <c:v>8293</c:v>
                </c:pt>
                <c:pt idx="7">
                  <c:v>31525</c:v>
                </c:pt>
                <c:pt idx="8">
                  <c:v>26900</c:v>
                </c:pt>
                <c:pt idx="9">
                  <c:v>2266</c:v>
                </c:pt>
                <c:pt idx="10">
                  <c:v>50271</c:v>
                </c:pt>
                <c:pt idx="11">
                  <c:v>30982</c:v>
                </c:pt>
                <c:pt idx="12">
                  <c:v>6767</c:v>
                </c:pt>
              </c:numCache>
            </c:numRef>
          </c:val>
          <c:smooth val="0"/>
          <c:extLst>
            <c:ext xmlns:c16="http://schemas.microsoft.com/office/drawing/2014/chart" uri="{C3380CC4-5D6E-409C-BE32-E72D297353CC}">
              <c16:uniqueId val="{00000000-2935-4F5F-AF80-4E413C99DFD8}"/>
            </c:ext>
          </c:extLst>
        </c:ser>
        <c:ser>
          <c:idx val="5"/>
          <c:order val="5"/>
          <c:tx>
            <c:strRef>
              <c:f>'Pivot &amp; derived tables'!$AL$6</c:f>
              <c:strCache>
                <c:ptCount val="1"/>
                <c:pt idx="0">
                  <c:v>net_income_mov_ave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cat>
            <c:numRef>
              <c:f>'Pivot &amp; derived tables'!$AF$7:$AF$19</c:f>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f>'Pivot &amp; derived tables'!$AL$7:$AL$19</c:f>
              <c:numCache>
                <c:formatCode>General</c:formatCode>
                <c:ptCount val="13"/>
                <c:pt idx="0">
                  <c:v>29035.33</c:v>
                </c:pt>
                <c:pt idx="1">
                  <c:v>11624.33</c:v>
                </c:pt>
                <c:pt idx="2">
                  <c:v>9945.67</c:v>
                </c:pt>
                <c:pt idx="3">
                  <c:v>10063.33</c:v>
                </c:pt>
                <c:pt idx="4">
                  <c:v>20855.330000000002</c:v>
                </c:pt>
                <c:pt idx="5">
                  <c:v>20326.669999999998</c:v>
                </c:pt>
                <c:pt idx="6">
                  <c:v>17700.330000000002</c:v>
                </c:pt>
                <c:pt idx="7">
                  <c:v>14879.33</c:v>
                </c:pt>
                <c:pt idx="8">
                  <c:v>22239.33</c:v>
                </c:pt>
                <c:pt idx="9">
                  <c:v>20230.330000000002</c:v>
                </c:pt>
                <c:pt idx="10">
                  <c:v>26479</c:v>
                </c:pt>
                <c:pt idx="11">
                  <c:v>27839.67</c:v>
                </c:pt>
                <c:pt idx="12">
                  <c:v>29340</c:v>
                </c:pt>
              </c:numCache>
            </c:numRef>
          </c:val>
          <c:smooth val="0"/>
          <c:extLst>
            <c:ext xmlns:c16="http://schemas.microsoft.com/office/drawing/2014/chart" uri="{C3380CC4-5D6E-409C-BE32-E72D297353CC}">
              <c16:uniqueId val="{00000002-2935-4F5F-AF80-4E413C99DFD8}"/>
            </c:ext>
          </c:extLst>
        </c:ser>
        <c:dLbls>
          <c:showLegendKey val="0"/>
          <c:showVal val="0"/>
          <c:showCatName val="0"/>
          <c:showSerName val="0"/>
          <c:showPercent val="0"/>
          <c:showBubbleSize val="0"/>
        </c:dLbls>
        <c:marker val="1"/>
        <c:smooth val="0"/>
        <c:axId val="101355328"/>
        <c:axId val="101353888"/>
        <c:extLst>
          <c:ext xmlns:c15="http://schemas.microsoft.com/office/drawing/2012/chart" uri="{02D57815-91ED-43cb-92C2-25804820EDAC}">
            <c15:filteredLineSeries>
              <c15:ser>
                <c:idx val="0"/>
                <c:order val="0"/>
                <c:tx>
                  <c:strRef>
                    <c:extLst>
                      <c:ext uri="{02D57815-91ED-43cb-92C2-25804820EDAC}">
                        <c15:formulaRef>
                          <c15:sqref>'Pivot &amp; derived tables'!$AG$6</c15:sqref>
                        </c15:formulaRef>
                      </c:ext>
                    </c:extLst>
                    <c:strCache>
                      <c:ptCount val="1"/>
                      <c:pt idx="0">
                        <c:v>expenses</c:v>
                      </c:pt>
                    </c:strCache>
                  </c:strRef>
                </c:tx>
                <c:spPr>
                  <a:ln w="28575" cap="rnd">
                    <a:solidFill>
                      <a:schemeClr val="bg1">
                        <a:lumMod val="65000"/>
                        <a:alpha val="97000"/>
                      </a:schemeClr>
                    </a:solidFill>
                    <a:round/>
                  </a:ln>
                  <a:effectLst/>
                </c:spPr>
                <c:marker>
                  <c:symbol val="circle"/>
                  <c:size val="5"/>
                  <c:spPr>
                    <a:solidFill>
                      <a:schemeClr val="bg1">
                        <a:lumMod val="65000"/>
                      </a:schemeClr>
                    </a:solidFill>
                    <a:ln w="9525">
                      <a:solidFill>
                        <a:schemeClr val="bg1">
                          <a:lumMod val="65000"/>
                        </a:schemeClr>
                      </a:solidFill>
                    </a:ln>
                    <a:effectLst/>
                  </c:spPr>
                </c:marker>
                <c:cat>
                  <c:numRef>
                    <c:extLst>
                      <c:ext uri="{02D57815-91ED-43cb-92C2-25804820EDAC}">
                        <c15:formulaRef>
                          <c15:sqref>'Pivot &amp; derived tables'!$AF$7:$AF$19</c15:sqref>
                        </c15:formulaRef>
                      </c:ext>
                    </c:extLst>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extLst>
                      <c:ext uri="{02D57815-91ED-43cb-92C2-25804820EDAC}">
                        <c15:formulaRef>
                          <c15:sqref>'Pivot &amp; derived tables'!$AG$7:$AG$19</c15:sqref>
                        </c15:formulaRef>
                      </c:ext>
                    </c:extLst>
                    <c:numCache>
                      <c:formatCode>General</c:formatCode>
                      <c:ptCount val="13"/>
                      <c:pt idx="0">
                        <c:v>9647</c:v>
                      </c:pt>
                      <c:pt idx="1">
                        <c:v>17583</c:v>
                      </c:pt>
                      <c:pt idx="2">
                        <c:v>18789</c:v>
                      </c:pt>
                      <c:pt idx="3">
                        <c:v>16059</c:v>
                      </c:pt>
                      <c:pt idx="4">
                        <c:v>12242</c:v>
                      </c:pt>
                      <c:pt idx="5">
                        <c:v>20411</c:v>
                      </c:pt>
                      <c:pt idx="6">
                        <c:v>21985</c:v>
                      </c:pt>
                      <c:pt idx="7">
                        <c:v>11107</c:v>
                      </c:pt>
                      <c:pt idx="8">
                        <c:v>11720</c:v>
                      </c:pt>
                      <c:pt idx="9">
                        <c:v>25236</c:v>
                      </c:pt>
                      <c:pt idx="10">
                        <c:v>9721</c:v>
                      </c:pt>
                      <c:pt idx="11">
                        <c:v>20499</c:v>
                      </c:pt>
                      <c:pt idx="12">
                        <c:v>19636</c:v>
                      </c:pt>
                    </c:numCache>
                  </c:numRef>
                </c:val>
                <c:smooth val="0"/>
                <c:extLst>
                  <c:ext xmlns:c16="http://schemas.microsoft.com/office/drawing/2014/chart" uri="{C3380CC4-5D6E-409C-BE32-E72D297353CC}">
                    <c16:uniqueId val="{00000003-2935-4F5F-AF80-4E413C99DFD8}"/>
                  </c:ext>
                </c:extLst>
              </c15:ser>
            </c15:filteredLineSeries>
            <c15:filteredLineSeries>
              <c15:ser>
                <c:idx val="1"/>
                <c:order val="1"/>
                <c:tx>
                  <c:strRef>
                    <c:extLst>
                      <c:ext xmlns:c15="http://schemas.microsoft.com/office/drawing/2012/chart" uri="{02D57815-91ED-43cb-92C2-25804820EDAC}">
                        <c15:formulaRef>
                          <c15:sqref>'Pivot &amp; derived tables'!$AH$6</c15:sqref>
                        </c15:formulaRef>
                      </c:ext>
                    </c:extLst>
                    <c:strCache>
                      <c:ptCount val="1"/>
                      <c:pt idx="0">
                        <c:v>expenses_mov_ave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numRef>
                    <c:extLst>
                      <c:ext xmlns:c15="http://schemas.microsoft.com/office/drawing/2012/chart" uri="{02D57815-91ED-43cb-92C2-25804820EDAC}">
                        <c15:formulaRef>
                          <c15:sqref>'Pivot &amp; derived tables'!$AF$7:$AF$19</c15:sqref>
                        </c15:formulaRef>
                      </c:ext>
                    </c:extLst>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extLst>
                      <c:ext xmlns:c15="http://schemas.microsoft.com/office/drawing/2012/chart" uri="{02D57815-91ED-43cb-92C2-25804820EDAC}">
                        <c15:formulaRef>
                          <c15:sqref>'Pivot &amp; derived tables'!$AH$7:$AH$19</c15:sqref>
                        </c15:formulaRef>
                      </c:ext>
                    </c:extLst>
                    <c:numCache>
                      <c:formatCode>General</c:formatCode>
                      <c:ptCount val="13"/>
                      <c:pt idx="0">
                        <c:v>17283.669999999998</c:v>
                      </c:pt>
                      <c:pt idx="1">
                        <c:v>19751</c:v>
                      </c:pt>
                      <c:pt idx="2">
                        <c:v>15339.67</c:v>
                      </c:pt>
                      <c:pt idx="3">
                        <c:v>17477</c:v>
                      </c:pt>
                      <c:pt idx="4">
                        <c:v>15696.67</c:v>
                      </c:pt>
                      <c:pt idx="5">
                        <c:v>16237.33</c:v>
                      </c:pt>
                      <c:pt idx="6">
                        <c:v>18212.669999999998</c:v>
                      </c:pt>
                      <c:pt idx="7">
                        <c:v>17834.330000000002</c:v>
                      </c:pt>
                      <c:pt idx="8">
                        <c:v>14937.33</c:v>
                      </c:pt>
                      <c:pt idx="9">
                        <c:v>16021</c:v>
                      </c:pt>
                      <c:pt idx="10">
                        <c:v>15559</c:v>
                      </c:pt>
                      <c:pt idx="11">
                        <c:v>18485.330000000002</c:v>
                      </c:pt>
                      <c:pt idx="12">
                        <c:v>16618.669999999998</c:v>
                      </c:pt>
                    </c:numCache>
                  </c:numRef>
                </c:val>
                <c:smooth val="0"/>
                <c:extLst xmlns:c15="http://schemas.microsoft.com/office/drawing/2012/chart">
                  <c:ext xmlns:c16="http://schemas.microsoft.com/office/drawing/2014/chart" uri="{C3380CC4-5D6E-409C-BE32-E72D297353CC}">
                    <c16:uniqueId val="{00000005-2935-4F5F-AF80-4E413C99DFD8}"/>
                  </c:ext>
                </c:extLst>
              </c15:ser>
            </c15:filteredLineSeries>
            <c15:filteredLineSeries>
              <c15:ser>
                <c:idx val="2"/>
                <c:order val="2"/>
                <c:tx>
                  <c:strRef>
                    <c:extLst>
                      <c:ext xmlns:c15="http://schemas.microsoft.com/office/drawing/2012/chart" uri="{02D57815-91ED-43cb-92C2-25804820EDAC}">
                        <c15:formulaRef>
                          <c15:sqref>'Pivot &amp; derived tables'!$AI$6</c15:sqref>
                        </c15:formulaRef>
                      </c:ext>
                    </c:extLst>
                    <c:strCache>
                      <c:ptCount val="1"/>
                      <c:pt idx="0">
                        <c:v>income</c:v>
                      </c:pt>
                    </c:strCache>
                  </c:strRef>
                </c:tx>
                <c:spPr>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cat>
                  <c:numRef>
                    <c:extLst>
                      <c:ext xmlns:c15="http://schemas.microsoft.com/office/drawing/2012/chart" uri="{02D57815-91ED-43cb-92C2-25804820EDAC}">
                        <c15:formulaRef>
                          <c15:sqref>'Pivot &amp; derived tables'!$AF$7:$AF$19</c15:sqref>
                        </c15:formulaRef>
                      </c:ext>
                    </c:extLst>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extLst>
                      <c:ext xmlns:c15="http://schemas.microsoft.com/office/drawing/2012/chart" uri="{02D57815-91ED-43cb-92C2-25804820EDAC}">
                        <c15:formulaRef>
                          <c15:sqref>'Pivot &amp; derived tables'!$AI$7:$AI$19</c15:sqref>
                        </c15:formulaRef>
                      </c:ext>
                    </c:extLst>
                    <c:numCache>
                      <c:formatCode>General</c:formatCode>
                      <c:ptCount val="13"/>
                      <c:pt idx="0">
                        <c:v>25466</c:v>
                      </c:pt>
                      <c:pt idx="1">
                        <c:v>25195</c:v>
                      </c:pt>
                      <c:pt idx="2">
                        <c:v>25195</c:v>
                      </c:pt>
                      <c:pt idx="3">
                        <c:v>32231</c:v>
                      </c:pt>
                      <c:pt idx="4">
                        <c:v>52230</c:v>
                      </c:pt>
                      <c:pt idx="5">
                        <c:v>25231</c:v>
                      </c:pt>
                      <c:pt idx="6">
                        <c:v>30278</c:v>
                      </c:pt>
                      <c:pt idx="7">
                        <c:v>42632</c:v>
                      </c:pt>
                      <c:pt idx="8">
                        <c:v>38620</c:v>
                      </c:pt>
                      <c:pt idx="9">
                        <c:v>27502</c:v>
                      </c:pt>
                      <c:pt idx="10">
                        <c:v>59992</c:v>
                      </c:pt>
                      <c:pt idx="11">
                        <c:v>51481</c:v>
                      </c:pt>
                      <c:pt idx="12">
                        <c:v>26403</c:v>
                      </c:pt>
                    </c:numCache>
                  </c:numRef>
                </c:val>
                <c:smooth val="0"/>
                <c:extLst xmlns:c15="http://schemas.microsoft.com/office/drawing/2012/chart">
                  <c:ext xmlns:c16="http://schemas.microsoft.com/office/drawing/2014/chart" uri="{C3380CC4-5D6E-409C-BE32-E72D297353CC}">
                    <c16:uniqueId val="{00000006-2935-4F5F-AF80-4E413C99DFD8}"/>
                  </c:ext>
                </c:extLst>
              </c15:ser>
            </c15:filteredLineSeries>
            <c15:filteredLineSeries>
              <c15:ser>
                <c:idx val="3"/>
                <c:order val="3"/>
                <c:tx>
                  <c:strRef>
                    <c:extLst>
                      <c:ext xmlns:c15="http://schemas.microsoft.com/office/drawing/2012/chart" uri="{02D57815-91ED-43cb-92C2-25804820EDAC}">
                        <c15:formulaRef>
                          <c15:sqref>'Pivot &amp; derived tables'!$AJ$6</c15:sqref>
                        </c15:formulaRef>
                      </c:ext>
                    </c:extLst>
                    <c:strCache>
                      <c:ptCount val="1"/>
                      <c:pt idx="0">
                        <c:v>income_mov_ave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0"/>
                  <c:dispEq val="0"/>
                </c:trendline>
                <c:cat>
                  <c:numRef>
                    <c:extLst>
                      <c:ext xmlns:c15="http://schemas.microsoft.com/office/drawing/2012/chart" uri="{02D57815-91ED-43cb-92C2-25804820EDAC}">
                        <c15:formulaRef>
                          <c15:sqref>'Pivot &amp; derived tables'!$AF$7:$AF$19</c15:sqref>
                        </c15:formulaRef>
                      </c:ext>
                    </c:extLst>
                    <c:numCache>
                      <c:formatCode>mmm\-yy</c:formatCode>
                      <c:ptCount val="1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numCache>
                  </c:numRef>
                </c:cat>
                <c:val>
                  <c:numRef>
                    <c:extLst>
                      <c:ext xmlns:c15="http://schemas.microsoft.com/office/drawing/2012/chart" uri="{02D57815-91ED-43cb-92C2-25804820EDAC}">
                        <c15:formulaRef>
                          <c15:sqref>'Pivot &amp; derived tables'!$AJ$7:$AJ$19</c15:sqref>
                        </c15:formulaRef>
                      </c:ext>
                    </c:extLst>
                    <c:numCache>
                      <c:formatCode>General</c:formatCode>
                      <c:ptCount val="13"/>
                      <c:pt idx="0">
                        <c:v>46319</c:v>
                      </c:pt>
                      <c:pt idx="1">
                        <c:v>31375.33</c:v>
                      </c:pt>
                      <c:pt idx="2">
                        <c:v>25285.33</c:v>
                      </c:pt>
                      <c:pt idx="3">
                        <c:v>27540.33</c:v>
                      </c:pt>
                      <c:pt idx="4">
                        <c:v>36552</c:v>
                      </c:pt>
                      <c:pt idx="5">
                        <c:v>36564</c:v>
                      </c:pt>
                      <c:pt idx="6">
                        <c:v>35913</c:v>
                      </c:pt>
                      <c:pt idx="7">
                        <c:v>32713.67</c:v>
                      </c:pt>
                      <c:pt idx="8">
                        <c:v>37176.67</c:v>
                      </c:pt>
                      <c:pt idx="9">
                        <c:v>36251.33</c:v>
                      </c:pt>
                      <c:pt idx="10">
                        <c:v>42038</c:v>
                      </c:pt>
                      <c:pt idx="11">
                        <c:v>46325</c:v>
                      </c:pt>
                      <c:pt idx="12">
                        <c:v>45958.67</c:v>
                      </c:pt>
                    </c:numCache>
                  </c:numRef>
                </c:val>
                <c:smooth val="0"/>
                <c:extLst xmlns:c15="http://schemas.microsoft.com/office/drawing/2012/chart">
                  <c:ext xmlns:c16="http://schemas.microsoft.com/office/drawing/2014/chart" uri="{C3380CC4-5D6E-409C-BE32-E72D297353CC}">
                    <c16:uniqueId val="{00000008-2935-4F5F-AF80-4E413C99DFD8}"/>
                  </c:ext>
                </c:extLst>
              </c15:ser>
            </c15:filteredLineSeries>
          </c:ext>
        </c:extLst>
      </c:lineChart>
      <c:dateAx>
        <c:axId val="101355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a:t>
                </a:r>
                <a:r>
                  <a:rPr lang="en-PH" baseline="0"/>
                  <a:t> (month-year)</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3888"/>
        <c:crosses val="autoZero"/>
        <c:auto val="1"/>
        <c:lblOffset val="100"/>
        <c:baseTimeUnit val="months"/>
      </c:dateAx>
      <c:valAx>
        <c:axId val="10135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5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65000"/>
          <a:alpha val="97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Income Gained</a:t>
            </a:r>
            <a:r>
              <a:rPr lang="en-US" b="1" baseline="0"/>
              <a:t> from Each Income </a:t>
            </a:r>
            <a:r>
              <a:rPr lang="en-US" b="1"/>
              <a:t>Sources</a:t>
            </a:r>
          </a:p>
        </c:rich>
      </c:tx>
      <c:layout>
        <c:manualLayout>
          <c:xMode val="edge"/>
          <c:yMode val="edge"/>
          <c:x val="0.1924602227751834"/>
          <c:y val="3.12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&amp; derived tables'!$AC$6</c:f>
              <c:strCache>
                <c:ptCount val="1"/>
                <c:pt idx="0">
                  <c:v>Sum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tables'!$AB$7:$AB$19</c:f>
              <c:strCache>
                <c:ptCount val="13"/>
                <c:pt idx="0">
                  <c:v>???</c:v>
                </c:pt>
                <c:pt idx="1">
                  <c:v>13th month pay</c:v>
                </c:pt>
                <c:pt idx="2">
                  <c:v>Bonus salary</c:v>
                </c:pt>
                <c:pt idx="3">
                  <c:v>cash allowance</c:v>
                </c:pt>
                <c:pt idx="4">
                  <c:v>cash gift</c:v>
                </c:pt>
                <c:pt idx="5">
                  <c:v>chalk allowance</c:v>
                </c:pt>
                <c:pt idx="6">
                  <c:v>clothing allowance</c:v>
                </c:pt>
                <c:pt idx="7">
                  <c:v>Income (with bonus?)</c:v>
                </c:pt>
                <c:pt idx="8">
                  <c:v>PBB</c:v>
                </c:pt>
                <c:pt idx="9">
                  <c:v>salary</c:v>
                </c:pt>
                <c:pt idx="10">
                  <c:v>SRI</c:v>
                </c:pt>
                <c:pt idx="11">
                  <c:v>Tahong harvest</c:v>
                </c:pt>
                <c:pt idx="12">
                  <c:v>year-end bonus</c:v>
                </c:pt>
              </c:strCache>
            </c:strRef>
          </c:cat>
          <c:val>
            <c:numRef>
              <c:f>'Pivot &amp; derived tables'!$AC$7:$AC$19</c:f>
              <c:numCache>
                <c:formatCode>General</c:formatCode>
                <c:ptCount val="13"/>
                <c:pt idx="0">
                  <c:v>1021</c:v>
                </c:pt>
                <c:pt idx="1">
                  <c:v>25000</c:v>
                </c:pt>
                <c:pt idx="2">
                  <c:v>27000</c:v>
                </c:pt>
                <c:pt idx="3">
                  <c:v>5000</c:v>
                </c:pt>
                <c:pt idx="4">
                  <c:v>5000</c:v>
                </c:pt>
                <c:pt idx="5">
                  <c:v>5000</c:v>
                </c:pt>
                <c:pt idx="6">
                  <c:v>6000</c:v>
                </c:pt>
                <c:pt idx="7">
                  <c:v>44732</c:v>
                </c:pt>
                <c:pt idx="8">
                  <c:v>12400</c:v>
                </c:pt>
                <c:pt idx="9">
                  <c:v>430554</c:v>
                </c:pt>
                <c:pt idx="10">
                  <c:v>18000</c:v>
                </c:pt>
                <c:pt idx="11">
                  <c:v>12560</c:v>
                </c:pt>
                <c:pt idx="12">
                  <c:v>27000</c:v>
                </c:pt>
              </c:numCache>
            </c:numRef>
          </c:val>
          <c:extLst>
            <c:ext xmlns:c16="http://schemas.microsoft.com/office/drawing/2014/chart" uri="{C3380CC4-5D6E-409C-BE32-E72D297353CC}">
              <c16:uniqueId val="{00000000-D8C0-4553-8A49-AF623E82227E}"/>
            </c:ext>
          </c:extLst>
        </c:ser>
        <c:dLbls>
          <c:dLblPos val="outEnd"/>
          <c:showLegendKey val="0"/>
          <c:showVal val="1"/>
          <c:showCatName val="0"/>
          <c:showSerName val="0"/>
          <c:showPercent val="0"/>
          <c:showBubbleSize val="0"/>
        </c:dLbls>
        <c:gapWidth val="219"/>
        <c:overlap val="-27"/>
        <c:axId val="2012997967"/>
        <c:axId val="2012998447"/>
        <c:extLst>
          <c:ext xmlns:c15="http://schemas.microsoft.com/office/drawing/2012/chart" uri="{02D57815-91ED-43cb-92C2-25804820EDAC}">
            <c15:filteredBarSeries>
              <c15:ser>
                <c:idx val="1"/>
                <c:order val="1"/>
                <c:tx>
                  <c:strRef>
                    <c:extLst>
                      <c:ext uri="{02D57815-91ED-43cb-92C2-25804820EDAC}">
                        <c15:formulaRef>
                          <c15:sqref>'Pivot &amp; derived tables'!$AD$6</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tables'!$AB$7:$AB$19</c15:sqref>
                        </c15:formulaRef>
                      </c:ext>
                    </c:extLst>
                    <c:strCache>
                      <c:ptCount val="13"/>
                      <c:pt idx="0">
                        <c:v>???</c:v>
                      </c:pt>
                      <c:pt idx="1">
                        <c:v>13th month pay</c:v>
                      </c:pt>
                      <c:pt idx="2">
                        <c:v>Bonus salary</c:v>
                      </c:pt>
                      <c:pt idx="3">
                        <c:v>cash allowance</c:v>
                      </c:pt>
                      <c:pt idx="4">
                        <c:v>cash gift</c:v>
                      </c:pt>
                      <c:pt idx="5">
                        <c:v>chalk allowance</c:v>
                      </c:pt>
                      <c:pt idx="6">
                        <c:v>clothing allowance</c:v>
                      </c:pt>
                      <c:pt idx="7">
                        <c:v>Income (with bonus?)</c:v>
                      </c:pt>
                      <c:pt idx="8">
                        <c:v>PBB</c:v>
                      </c:pt>
                      <c:pt idx="9">
                        <c:v>salary</c:v>
                      </c:pt>
                      <c:pt idx="10">
                        <c:v>SRI</c:v>
                      </c:pt>
                      <c:pt idx="11">
                        <c:v>Tahong harvest</c:v>
                      </c:pt>
                      <c:pt idx="12">
                        <c:v>year-end bonus</c:v>
                      </c:pt>
                    </c:strCache>
                  </c:strRef>
                </c:cat>
                <c:val>
                  <c:numRef>
                    <c:extLst>
                      <c:ext uri="{02D57815-91ED-43cb-92C2-25804820EDAC}">
                        <c15:formulaRef>
                          <c15:sqref>'Pivot &amp; derived tables'!$AD$7:$AD$19</c15:sqref>
                        </c15:formulaRef>
                      </c:ext>
                    </c:extLst>
                    <c:numCache>
                      <c:formatCode>General</c:formatCode>
                      <c:ptCount val="13"/>
                      <c:pt idx="0">
                        <c:v>1</c:v>
                      </c:pt>
                      <c:pt idx="1">
                        <c:v>1</c:v>
                      </c:pt>
                      <c:pt idx="2">
                        <c:v>1</c:v>
                      </c:pt>
                      <c:pt idx="3">
                        <c:v>1</c:v>
                      </c:pt>
                      <c:pt idx="4">
                        <c:v>1</c:v>
                      </c:pt>
                      <c:pt idx="5">
                        <c:v>1</c:v>
                      </c:pt>
                      <c:pt idx="6">
                        <c:v>1</c:v>
                      </c:pt>
                      <c:pt idx="7">
                        <c:v>1</c:v>
                      </c:pt>
                      <c:pt idx="8">
                        <c:v>1</c:v>
                      </c:pt>
                      <c:pt idx="9">
                        <c:v>32</c:v>
                      </c:pt>
                      <c:pt idx="10">
                        <c:v>1</c:v>
                      </c:pt>
                      <c:pt idx="11">
                        <c:v>1</c:v>
                      </c:pt>
                      <c:pt idx="12">
                        <c:v>1</c:v>
                      </c:pt>
                    </c:numCache>
                  </c:numRef>
                </c:val>
                <c:extLst>
                  <c:ext xmlns:c16="http://schemas.microsoft.com/office/drawing/2014/chart" uri="{C3380CC4-5D6E-409C-BE32-E72D297353CC}">
                    <c16:uniqueId val="{00000001-D8C0-4553-8A49-AF623E82227E}"/>
                  </c:ext>
                </c:extLst>
              </c15:ser>
            </c15:filteredBarSeries>
          </c:ext>
        </c:extLst>
      </c:barChart>
      <c:catAx>
        <c:axId val="2012997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 Source</a:t>
                </a:r>
              </a:p>
            </c:rich>
          </c:tx>
          <c:layout>
            <c:manualLayout>
              <c:xMode val="edge"/>
              <c:yMode val="edge"/>
              <c:x val="0.43180633577609789"/>
              <c:y val="0.913632185763256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98447"/>
        <c:crosses val="autoZero"/>
        <c:auto val="1"/>
        <c:lblAlgn val="ctr"/>
        <c:lblOffset val="100"/>
        <c:noMultiLvlLbl val="0"/>
      </c:catAx>
      <c:valAx>
        <c:axId val="201299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6834984984984983E-2"/>
              <c:y val="0.2924908057505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9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Number of Transactions from Each Income Sources</a:t>
            </a:r>
          </a:p>
        </c:rich>
      </c:tx>
      <c:layout>
        <c:manualLayout>
          <c:xMode val="edge"/>
          <c:yMode val="edge"/>
          <c:x val="0.25332550318334685"/>
          <c:y val="3.12502200338296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'Pivot &amp; derived tables'!$AD$6</c:f>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tables'!$AB$7:$AB$19</c:f>
              <c:strCache>
                <c:ptCount val="13"/>
                <c:pt idx="0">
                  <c:v>???</c:v>
                </c:pt>
                <c:pt idx="1">
                  <c:v>13th month pay</c:v>
                </c:pt>
                <c:pt idx="2">
                  <c:v>Bonus salary</c:v>
                </c:pt>
                <c:pt idx="3">
                  <c:v>cash allowance</c:v>
                </c:pt>
                <c:pt idx="4">
                  <c:v>cash gift</c:v>
                </c:pt>
                <c:pt idx="5">
                  <c:v>chalk allowance</c:v>
                </c:pt>
                <c:pt idx="6">
                  <c:v>clothing allowance</c:v>
                </c:pt>
                <c:pt idx="7">
                  <c:v>Income (with bonus?)</c:v>
                </c:pt>
                <c:pt idx="8">
                  <c:v>PBB</c:v>
                </c:pt>
                <c:pt idx="9">
                  <c:v>salary</c:v>
                </c:pt>
                <c:pt idx="10">
                  <c:v>SRI</c:v>
                </c:pt>
                <c:pt idx="11">
                  <c:v>Tahong harvest</c:v>
                </c:pt>
                <c:pt idx="12">
                  <c:v>year-end bonus</c:v>
                </c:pt>
              </c:strCache>
            </c:strRef>
          </c:cat>
          <c:val>
            <c:numRef>
              <c:f>'Pivot &amp; derived tables'!$AD$7:$AD$19</c:f>
              <c:numCache>
                <c:formatCode>General</c:formatCode>
                <c:ptCount val="13"/>
                <c:pt idx="0">
                  <c:v>1</c:v>
                </c:pt>
                <c:pt idx="1">
                  <c:v>1</c:v>
                </c:pt>
                <c:pt idx="2">
                  <c:v>1</c:v>
                </c:pt>
                <c:pt idx="3">
                  <c:v>1</c:v>
                </c:pt>
                <c:pt idx="4">
                  <c:v>1</c:v>
                </c:pt>
                <c:pt idx="5">
                  <c:v>1</c:v>
                </c:pt>
                <c:pt idx="6">
                  <c:v>1</c:v>
                </c:pt>
                <c:pt idx="7">
                  <c:v>1</c:v>
                </c:pt>
                <c:pt idx="8">
                  <c:v>1</c:v>
                </c:pt>
                <c:pt idx="9">
                  <c:v>32</c:v>
                </c:pt>
                <c:pt idx="10">
                  <c:v>1</c:v>
                </c:pt>
                <c:pt idx="11">
                  <c:v>1</c:v>
                </c:pt>
                <c:pt idx="12">
                  <c:v>1</c:v>
                </c:pt>
              </c:numCache>
            </c:numRef>
          </c:val>
          <c:extLst xmlns:c15="http://schemas.microsoft.com/office/drawing/2012/chart">
            <c:ext xmlns:c16="http://schemas.microsoft.com/office/drawing/2014/chart" uri="{C3380CC4-5D6E-409C-BE32-E72D297353CC}">
              <c16:uniqueId val="{00000000-2C0C-4F91-B2E3-E162EAEA89FF}"/>
            </c:ext>
          </c:extLst>
        </c:ser>
        <c:dLbls>
          <c:dLblPos val="outEnd"/>
          <c:showLegendKey val="0"/>
          <c:showVal val="1"/>
          <c:showCatName val="0"/>
          <c:showSerName val="0"/>
          <c:showPercent val="0"/>
          <c:showBubbleSize val="0"/>
        </c:dLbls>
        <c:gapWidth val="219"/>
        <c:overlap val="-27"/>
        <c:axId val="2012997967"/>
        <c:axId val="2012998447"/>
        <c:extLst>
          <c:ext xmlns:c15="http://schemas.microsoft.com/office/drawing/2012/chart" uri="{02D57815-91ED-43cb-92C2-25804820EDAC}">
            <c15:filteredBarSeries>
              <c15:ser>
                <c:idx val="0"/>
                <c:order val="0"/>
                <c:tx>
                  <c:strRef>
                    <c:extLst>
                      <c:ext uri="{02D57815-91ED-43cb-92C2-25804820EDAC}">
                        <c15:formulaRef>
                          <c15:sqref>'Pivot &amp; derived tables'!$AC$6</c15:sqref>
                        </c15:formulaRef>
                      </c:ext>
                    </c:extLst>
                    <c:strCache>
                      <c:ptCount val="1"/>
                      <c:pt idx="0">
                        <c:v>Sum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tables'!$AB$7:$AB$19</c15:sqref>
                        </c15:formulaRef>
                      </c:ext>
                    </c:extLst>
                    <c:strCache>
                      <c:ptCount val="13"/>
                      <c:pt idx="0">
                        <c:v>???</c:v>
                      </c:pt>
                      <c:pt idx="1">
                        <c:v>13th month pay</c:v>
                      </c:pt>
                      <c:pt idx="2">
                        <c:v>Bonus salary</c:v>
                      </c:pt>
                      <c:pt idx="3">
                        <c:v>cash allowance</c:v>
                      </c:pt>
                      <c:pt idx="4">
                        <c:v>cash gift</c:v>
                      </c:pt>
                      <c:pt idx="5">
                        <c:v>chalk allowance</c:v>
                      </c:pt>
                      <c:pt idx="6">
                        <c:v>clothing allowance</c:v>
                      </c:pt>
                      <c:pt idx="7">
                        <c:v>Income (with bonus?)</c:v>
                      </c:pt>
                      <c:pt idx="8">
                        <c:v>PBB</c:v>
                      </c:pt>
                      <c:pt idx="9">
                        <c:v>salary</c:v>
                      </c:pt>
                      <c:pt idx="10">
                        <c:v>SRI</c:v>
                      </c:pt>
                      <c:pt idx="11">
                        <c:v>Tahong harvest</c:v>
                      </c:pt>
                      <c:pt idx="12">
                        <c:v>year-end bonus</c:v>
                      </c:pt>
                    </c:strCache>
                  </c:strRef>
                </c:cat>
                <c:val>
                  <c:numRef>
                    <c:extLst>
                      <c:ext uri="{02D57815-91ED-43cb-92C2-25804820EDAC}">
                        <c15:formulaRef>
                          <c15:sqref>'Pivot &amp; derived tables'!$AC$7:$AC$19</c15:sqref>
                        </c15:formulaRef>
                      </c:ext>
                    </c:extLst>
                    <c:numCache>
                      <c:formatCode>General</c:formatCode>
                      <c:ptCount val="13"/>
                      <c:pt idx="0">
                        <c:v>1021</c:v>
                      </c:pt>
                      <c:pt idx="1">
                        <c:v>25000</c:v>
                      </c:pt>
                      <c:pt idx="2">
                        <c:v>27000</c:v>
                      </c:pt>
                      <c:pt idx="3">
                        <c:v>5000</c:v>
                      </c:pt>
                      <c:pt idx="4">
                        <c:v>5000</c:v>
                      </c:pt>
                      <c:pt idx="5">
                        <c:v>5000</c:v>
                      </c:pt>
                      <c:pt idx="6">
                        <c:v>6000</c:v>
                      </c:pt>
                      <c:pt idx="7">
                        <c:v>44732</c:v>
                      </c:pt>
                      <c:pt idx="8">
                        <c:v>12400</c:v>
                      </c:pt>
                      <c:pt idx="9">
                        <c:v>430554</c:v>
                      </c:pt>
                      <c:pt idx="10">
                        <c:v>18000</c:v>
                      </c:pt>
                      <c:pt idx="11">
                        <c:v>12560</c:v>
                      </c:pt>
                      <c:pt idx="12">
                        <c:v>27000</c:v>
                      </c:pt>
                    </c:numCache>
                  </c:numRef>
                </c:val>
                <c:extLst>
                  <c:ext xmlns:c16="http://schemas.microsoft.com/office/drawing/2014/chart" uri="{C3380CC4-5D6E-409C-BE32-E72D297353CC}">
                    <c16:uniqueId val="{00000001-2C0C-4F91-B2E3-E162EAEA89FF}"/>
                  </c:ext>
                </c:extLst>
              </c15:ser>
            </c15:filteredBarSeries>
          </c:ext>
        </c:extLst>
      </c:barChart>
      <c:catAx>
        <c:axId val="2012997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 Source</a:t>
                </a:r>
              </a:p>
            </c:rich>
          </c:tx>
          <c:layout>
            <c:manualLayout>
              <c:xMode val="edge"/>
              <c:yMode val="edge"/>
              <c:x val="0.46010765765765765"/>
              <c:y val="0.910787362086258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98447"/>
        <c:crosses val="autoZero"/>
        <c:auto val="1"/>
        <c:lblAlgn val="ctr"/>
        <c:lblOffset val="100"/>
        <c:noMultiLvlLbl val="0"/>
      </c:catAx>
      <c:valAx>
        <c:axId val="201299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6834984984984983E-2"/>
              <c:y val="0.3066443775771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9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Income Composition </a:t>
            </a:r>
          </a:p>
          <a:p>
            <a:pPr>
              <a:defRPr/>
            </a:pPr>
            <a:r>
              <a:rPr lang="en-PH" sz="1200" b="0"/>
              <a:t>(Expenses</a:t>
            </a:r>
            <a:r>
              <a:rPr lang="en-PH" sz="1200" b="0" baseline="0"/>
              <a:t> vs. Net Income </a:t>
            </a:r>
            <a:r>
              <a:rPr lang="en-PH" sz="1200" b="0"/>
              <a:t>Percentage)</a:t>
            </a:r>
            <a:endParaRPr lang="en-PH" b="0"/>
          </a:p>
        </c:rich>
      </c:tx>
      <c:layout>
        <c:manualLayout>
          <c:xMode val="edge"/>
          <c:yMode val="edge"/>
          <c:x val="0.34014928752303231"/>
          <c:y val="3.65783813366254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'Analysis &amp; Diagnostics'!$J$3</c:f>
              <c:strCache>
                <c:ptCount val="1"/>
                <c:pt idx="0">
                  <c:v>Expeneses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Diagnostics'!$I$4:$I$5</c:f>
              <c:strCache>
                <c:ptCount val="2"/>
                <c:pt idx="0">
                  <c:v>Latest Month</c:v>
                </c:pt>
                <c:pt idx="1">
                  <c:v>Full Period Income</c:v>
                </c:pt>
              </c:strCache>
            </c:strRef>
          </c:cat>
          <c:val>
            <c:numRef>
              <c:f>'Analysis &amp; Diagnostics'!$J$4:$J$5</c:f>
              <c:numCache>
                <c:formatCode>General</c:formatCode>
                <c:ptCount val="2"/>
                <c:pt idx="0">
                  <c:v>74.37</c:v>
                </c:pt>
                <c:pt idx="1">
                  <c:v>41.47</c:v>
                </c:pt>
              </c:numCache>
            </c:numRef>
          </c:val>
          <c:extLst>
            <c:ext xmlns:c16="http://schemas.microsoft.com/office/drawing/2014/chart" uri="{C3380CC4-5D6E-409C-BE32-E72D297353CC}">
              <c16:uniqueId val="{00000000-982D-48E9-A50C-E5C2C0612968}"/>
            </c:ext>
          </c:extLst>
        </c:ser>
        <c:ser>
          <c:idx val="1"/>
          <c:order val="1"/>
          <c:tx>
            <c:strRef>
              <c:f>'Analysis &amp; Diagnostics'!$K$3</c:f>
              <c:strCache>
                <c:ptCount val="1"/>
                <c:pt idx="0">
                  <c:v>Net 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Diagnostics'!$I$4:$I$5</c:f>
              <c:strCache>
                <c:ptCount val="2"/>
                <c:pt idx="0">
                  <c:v>Latest Month</c:v>
                </c:pt>
                <c:pt idx="1">
                  <c:v>Full Period Income</c:v>
                </c:pt>
              </c:strCache>
            </c:strRef>
          </c:cat>
          <c:val>
            <c:numRef>
              <c:f>'Analysis &amp; Diagnostics'!$K$4:$K$5</c:f>
              <c:numCache>
                <c:formatCode>General</c:formatCode>
                <c:ptCount val="2"/>
                <c:pt idx="0">
                  <c:v>25.63</c:v>
                </c:pt>
                <c:pt idx="1">
                  <c:v>58.53</c:v>
                </c:pt>
              </c:numCache>
            </c:numRef>
          </c:val>
          <c:extLst>
            <c:ext xmlns:c16="http://schemas.microsoft.com/office/drawing/2014/chart" uri="{C3380CC4-5D6E-409C-BE32-E72D297353CC}">
              <c16:uniqueId val="{00000001-982D-48E9-A50C-E5C2C0612968}"/>
            </c:ext>
          </c:extLst>
        </c:ser>
        <c:dLbls>
          <c:dLblPos val="ctr"/>
          <c:showLegendKey val="0"/>
          <c:showVal val="1"/>
          <c:showCatName val="0"/>
          <c:showSerName val="0"/>
          <c:showPercent val="0"/>
          <c:showBubbleSize val="0"/>
        </c:dLbls>
        <c:gapWidth val="150"/>
        <c:overlap val="100"/>
        <c:axId val="478948112"/>
        <c:axId val="478958672"/>
      </c:barChart>
      <c:catAx>
        <c:axId val="478948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8672"/>
        <c:crosses val="autoZero"/>
        <c:auto val="1"/>
        <c:lblAlgn val="ctr"/>
        <c:lblOffset val="100"/>
        <c:noMultiLvlLbl val="0"/>
      </c:catAx>
      <c:valAx>
        <c:axId val="4789586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48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Expenses</a:t>
            </a:r>
            <a:r>
              <a:rPr lang="en-US" b="1" baseline="0"/>
              <a:t> of Each Transaction Detail in G-cash</a:t>
            </a:r>
            <a:endParaRPr lang="en-US" b="1"/>
          </a:p>
        </c:rich>
      </c:tx>
      <c:layout>
        <c:manualLayout>
          <c:xMode val="edge"/>
          <c:yMode val="edge"/>
          <c:x val="0.2271779141104294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&amp; derived tables'!$Y$32</c:f>
              <c:strCache>
                <c:ptCount val="1"/>
                <c:pt idx="0">
                  <c:v>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tables'!$X$33:$X$47</c:f>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f>'Pivot &amp; derived tables'!$Y$33:$Y$47</c:f>
              <c:numCache>
                <c:formatCode>General</c:formatCode>
                <c:ptCount val="15"/>
                <c:pt idx="0">
                  <c:v>1000</c:v>
                </c:pt>
                <c:pt idx="1">
                  <c:v>125</c:v>
                </c:pt>
                <c:pt idx="2">
                  <c:v>1960</c:v>
                </c:pt>
                <c:pt idx="3">
                  <c:v>258</c:v>
                </c:pt>
                <c:pt idx="4">
                  <c:v>399</c:v>
                </c:pt>
                <c:pt idx="5">
                  <c:v>500</c:v>
                </c:pt>
                <c:pt idx="6">
                  <c:v>150</c:v>
                </c:pt>
                <c:pt idx="7">
                  <c:v>2823</c:v>
                </c:pt>
                <c:pt idx="8">
                  <c:v>1705</c:v>
                </c:pt>
                <c:pt idx="9">
                  <c:v>6154</c:v>
                </c:pt>
                <c:pt idx="10">
                  <c:v>650</c:v>
                </c:pt>
                <c:pt idx="11">
                  <c:v>3981</c:v>
                </c:pt>
                <c:pt idx="12">
                  <c:v>4494</c:v>
                </c:pt>
                <c:pt idx="13">
                  <c:v>1290</c:v>
                </c:pt>
                <c:pt idx="14">
                  <c:v>15</c:v>
                </c:pt>
              </c:numCache>
            </c:numRef>
          </c:val>
          <c:extLst>
            <c:ext xmlns:c16="http://schemas.microsoft.com/office/drawing/2014/chart" uri="{C3380CC4-5D6E-409C-BE32-E72D297353CC}">
              <c16:uniqueId val="{00000000-F89B-4213-8BF7-8D810CD95412}"/>
            </c:ext>
          </c:extLst>
        </c:ser>
        <c:dLbls>
          <c:dLblPos val="outEnd"/>
          <c:showLegendKey val="0"/>
          <c:showVal val="1"/>
          <c:showCatName val="0"/>
          <c:showSerName val="0"/>
          <c:showPercent val="0"/>
          <c:showBubbleSize val="0"/>
        </c:dLbls>
        <c:gapWidth val="219"/>
        <c:overlap val="-27"/>
        <c:axId val="429666320"/>
        <c:axId val="429668720"/>
        <c:extLst>
          <c:ext xmlns:c15="http://schemas.microsoft.com/office/drawing/2012/chart" uri="{02D57815-91ED-43cb-92C2-25804820EDAC}">
            <c15:filteredBarSeries>
              <c15:ser>
                <c:idx val="1"/>
                <c:order val="1"/>
                <c:tx>
                  <c:strRef>
                    <c:extLst>
                      <c:ext uri="{02D57815-91ED-43cb-92C2-25804820EDAC}">
                        <c15:formulaRef>
                          <c15:sqref>'Pivot &amp; derived tables'!$Z$32</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uri="{02D57815-91ED-43cb-92C2-25804820EDAC}">
                        <c15:formulaRef>
                          <c15:sqref>'Pivot &amp; derived tables'!$Z$33:$Z$47</c15:sqref>
                        </c15:formulaRef>
                      </c:ext>
                    </c:extLst>
                    <c:numCache>
                      <c:formatCode>General</c:formatCode>
                      <c:ptCount val="15"/>
                      <c:pt idx="0">
                        <c:v>1</c:v>
                      </c:pt>
                      <c:pt idx="1">
                        <c:v>1</c:v>
                      </c:pt>
                      <c:pt idx="2">
                        <c:v>7</c:v>
                      </c:pt>
                      <c:pt idx="3">
                        <c:v>2</c:v>
                      </c:pt>
                      <c:pt idx="4">
                        <c:v>1</c:v>
                      </c:pt>
                      <c:pt idx="5">
                        <c:v>1</c:v>
                      </c:pt>
                      <c:pt idx="6">
                        <c:v>1</c:v>
                      </c:pt>
                      <c:pt idx="7">
                        <c:v>12</c:v>
                      </c:pt>
                      <c:pt idx="8">
                        <c:v>7</c:v>
                      </c:pt>
                      <c:pt idx="9">
                        <c:v>66</c:v>
                      </c:pt>
                      <c:pt idx="10">
                        <c:v>1</c:v>
                      </c:pt>
                      <c:pt idx="11">
                        <c:v>20</c:v>
                      </c:pt>
                      <c:pt idx="12">
                        <c:v>7</c:v>
                      </c:pt>
                      <c:pt idx="13">
                        <c:v>10</c:v>
                      </c:pt>
                      <c:pt idx="14">
                        <c:v>1</c:v>
                      </c:pt>
                    </c:numCache>
                  </c:numRef>
                </c:val>
                <c:extLst>
                  <c:ext xmlns:c16="http://schemas.microsoft.com/office/drawing/2014/chart" uri="{C3380CC4-5D6E-409C-BE32-E72D297353CC}">
                    <c16:uniqueId val="{00000001-F89B-4213-8BF7-8D810CD95412}"/>
                  </c:ext>
                </c:extLst>
              </c15:ser>
            </c15:filteredBarSeries>
            <c15:filteredBarSeries>
              <c15:ser>
                <c:idx val="2"/>
                <c:order val="2"/>
                <c:tx>
                  <c:strRef>
                    <c:extLst>
                      <c:ext xmlns:c15="http://schemas.microsoft.com/office/drawing/2012/chart" uri="{02D57815-91ED-43cb-92C2-25804820EDAC}">
                        <c15:formulaRef>
                          <c15:sqref>'Pivot &amp; derived tables'!$AA$32</c15:sqref>
                        </c15:formulaRef>
                      </c:ext>
                    </c:extLst>
                    <c:strCache>
                      <c:ptCount val="1"/>
                      <c:pt idx="0">
                        <c:v>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tables'!$AA$33:$AA$47</c15:sqref>
                        </c15:formulaRef>
                      </c:ext>
                    </c:extLst>
                    <c:numCache>
                      <c:formatCode>General</c:formatCode>
                      <c:ptCount val="15"/>
                      <c:pt idx="0">
                        <c:v>1000</c:v>
                      </c:pt>
                      <c:pt idx="1">
                        <c:v>125</c:v>
                      </c:pt>
                      <c:pt idx="2">
                        <c:v>280</c:v>
                      </c:pt>
                      <c:pt idx="3">
                        <c:v>129</c:v>
                      </c:pt>
                      <c:pt idx="4">
                        <c:v>399</c:v>
                      </c:pt>
                      <c:pt idx="5">
                        <c:v>500</c:v>
                      </c:pt>
                      <c:pt idx="6">
                        <c:v>150</c:v>
                      </c:pt>
                      <c:pt idx="7">
                        <c:v>235.25</c:v>
                      </c:pt>
                      <c:pt idx="8">
                        <c:v>243.57</c:v>
                      </c:pt>
                      <c:pt idx="9">
                        <c:v>93.24</c:v>
                      </c:pt>
                      <c:pt idx="10">
                        <c:v>650</c:v>
                      </c:pt>
                      <c:pt idx="11">
                        <c:v>199.05</c:v>
                      </c:pt>
                      <c:pt idx="12">
                        <c:v>642</c:v>
                      </c:pt>
                      <c:pt idx="13">
                        <c:v>129</c:v>
                      </c:pt>
                      <c:pt idx="14">
                        <c:v>15</c:v>
                      </c:pt>
                    </c:numCache>
                  </c:numRef>
                </c:val>
                <c:extLst xmlns:c15="http://schemas.microsoft.com/office/drawing/2012/chart">
                  <c:ext xmlns:c16="http://schemas.microsoft.com/office/drawing/2014/chart" uri="{C3380CC4-5D6E-409C-BE32-E72D297353CC}">
                    <c16:uniqueId val="{00000002-F89B-4213-8BF7-8D810CD95412}"/>
                  </c:ext>
                </c:extLst>
              </c15:ser>
            </c15:filteredBarSeries>
            <c15:filteredBarSeries>
              <c15:ser>
                <c:idx val="3"/>
                <c:order val="3"/>
                <c:tx>
                  <c:strRef>
                    <c:extLst>
                      <c:ext xmlns:c15="http://schemas.microsoft.com/office/drawing/2012/chart" uri="{02D57815-91ED-43cb-92C2-25804820EDAC}">
                        <c15:formulaRef>
                          <c15:sqref>'Pivot &amp; derived tables'!$AB$32</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tables'!$AB$33:$AB$47</c15:sqref>
                        </c15:formulaRef>
                      </c:ext>
                    </c:extLst>
                    <c:numCache>
                      <c:formatCode>General</c:formatCode>
                      <c:ptCount val="15"/>
                      <c:pt idx="0">
                        <c:v>3.92</c:v>
                      </c:pt>
                      <c:pt idx="1">
                        <c:v>0.49</c:v>
                      </c:pt>
                      <c:pt idx="2">
                        <c:v>7.69</c:v>
                      </c:pt>
                      <c:pt idx="3">
                        <c:v>1.01</c:v>
                      </c:pt>
                      <c:pt idx="4">
                        <c:v>1.56</c:v>
                      </c:pt>
                      <c:pt idx="5">
                        <c:v>1.96</c:v>
                      </c:pt>
                      <c:pt idx="6">
                        <c:v>0.59</c:v>
                      </c:pt>
                      <c:pt idx="7">
                        <c:v>11.07</c:v>
                      </c:pt>
                      <c:pt idx="8">
                        <c:v>6.69</c:v>
                      </c:pt>
                      <c:pt idx="9">
                        <c:v>24.13</c:v>
                      </c:pt>
                      <c:pt idx="10">
                        <c:v>2.5499999999999998</c:v>
                      </c:pt>
                      <c:pt idx="11">
                        <c:v>15.61</c:v>
                      </c:pt>
                      <c:pt idx="12">
                        <c:v>17.62</c:v>
                      </c:pt>
                      <c:pt idx="13">
                        <c:v>5.0599999999999996</c:v>
                      </c:pt>
                      <c:pt idx="14">
                        <c:v>0.06</c:v>
                      </c:pt>
                    </c:numCache>
                  </c:numRef>
                </c:val>
                <c:extLst xmlns:c15="http://schemas.microsoft.com/office/drawing/2012/chart">
                  <c:ext xmlns:c16="http://schemas.microsoft.com/office/drawing/2014/chart" uri="{C3380CC4-5D6E-409C-BE32-E72D297353CC}">
                    <c16:uniqueId val="{00000003-F89B-4213-8BF7-8D810CD95412}"/>
                  </c:ext>
                </c:extLst>
              </c15:ser>
            </c15:filteredBarSeries>
          </c:ext>
        </c:extLst>
      </c:barChart>
      <c:catAx>
        <c:axId val="42966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 Detail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68720"/>
        <c:crosses val="autoZero"/>
        <c:auto val="1"/>
        <c:lblAlgn val="ctr"/>
        <c:lblOffset val="100"/>
        <c:noMultiLvlLbl val="0"/>
      </c:catAx>
      <c:valAx>
        <c:axId val="429668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2.2494887525562373E-2"/>
              <c:y val="0.230816929133858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6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a:t>
            </a:r>
            <a:r>
              <a:rPr lang="en-US" b="1" baseline="0"/>
              <a:t> Count of Each Transaction Detail in G-cash</a:t>
            </a:r>
            <a:endParaRPr lang="en-US" b="1"/>
          </a:p>
        </c:rich>
      </c:tx>
      <c:layout>
        <c:manualLayout>
          <c:xMode val="edge"/>
          <c:yMode val="edge"/>
          <c:x val="0.1933869022278984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'Pivot &amp; derived tables'!$Z$32</c:f>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tables'!$X$33:$X$47</c:f>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f>'Pivot &amp; derived tables'!$Z$33:$Z$47</c:f>
              <c:numCache>
                <c:formatCode>General</c:formatCode>
                <c:ptCount val="15"/>
                <c:pt idx="0">
                  <c:v>1</c:v>
                </c:pt>
                <c:pt idx="1">
                  <c:v>1</c:v>
                </c:pt>
                <c:pt idx="2">
                  <c:v>7</c:v>
                </c:pt>
                <c:pt idx="3">
                  <c:v>2</c:v>
                </c:pt>
                <c:pt idx="4">
                  <c:v>1</c:v>
                </c:pt>
                <c:pt idx="5">
                  <c:v>1</c:v>
                </c:pt>
                <c:pt idx="6">
                  <c:v>1</c:v>
                </c:pt>
                <c:pt idx="7">
                  <c:v>12</c:v>
                </c:pt>
                <c:pt idx="8">
                  <c:v>7</c:v>
                </c:pt>
                <c:pt idx="9">
                  <c:v>66</c:v>
                </c:pt>
                <c:pt idx="10">
                  <c:v>1</c:v>
                </c:pt>
                <c:pt idx="11">
                  <c:v>20</c:v>
                </c:pt>
                <c:pt idx="12">
                  <c:v>7</c:v>
                </c:pt>
                <c:pt idx="13">
                  <c:v>10</c:v>
                </c:pt>
                <c:pt idx="14">
                  <c:v>1</c:v>
                </c:pt>
              </c:numCache>
            </c:numRef>
          </c:val>
          <c:extLst xmlns:c15="http://schemas.microsoft.com/office/drawing/2012/chart">
            <c:ext xmlns:c16="http://schemas.microsoft.com/office/drawing/2014/chart" uri="{C3380CC4-5D6E-409C-BE32-E72D297353CC}">
              <c16:uniqueId val="{00000001-F89B-4213-8BF7-8D810CD95412}"/>
            </c:ext>
          </c:extLst>
        </c:ser>
        <c:dLbls>
          <c:dLblPos val="outEnd"/>
          <c:showLegendKey val="0"/>
          <c:showVal val="1"/>
          <c:showCatName val="0"/>
          <c:showSerName val="0"/>
          <c:showPercent val="0"/>
          <c:showBubbleSize val="0"/>
        </c:dLbls>
        <c:gapWidth val="219"/>
        <c:overlap val="-27"/>
        <c:axId val="429666320"/>
        <c:axId val="429668720"/>
        <c:extLst>
          <c:ext xmlns:c15="http://schemas.microsoft.com/office/drawing/2012/chart" uri="{02D57815-91ED-43cb-92C2-25804820EDAC}">
            <c15:filteredBarSeries>
              <c15:ser>
                <c:idx val="0"/>
                <c:order val="0"/>
                <c:tx>
                  <c:strRef>
                    <c:extLst>
                      <c:ext uri="{02D57815-91ED-43cb-92C2-25804820EDAC}">
                        <c15:formulaRef>
                          <c15:sqref>'Pivot &amp; derived tables'!$Y$32</c15:sqref>
                        </c15:formulaRef>
                      </c:ext>
                    </c:extLst>
                    <c:strCache>
                      <c:ptCount val="1"/>
                      <c:pt idx="0">
                        <c:v>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uri="{02D57815-91ED-43cb-92C2-25804820EDAC}">
                        <c15:formulaRef>
                          <c15:sqref>'Pivot &amp; derived tables'!$Y$33:$Y$47</c15:sqref>
                        </c15:formulaRef>
                      </c:ext>
                    </c:extLst>
                    <c:numCache>
                      <c:formatCode>General</c:formatCode>
                      <c:ptCount val="15"/>
                      <c:pt idx="0">
                        <c:v>1000</c:v>
                      </c:pt>
                      <c:pt idx="1">
                        <c:v>125</c:v>
                      </c:pt>
                      <c:pt idx="2">
                        <c:v>1960</c:v>
                      </c:pt>
                      <c:pt idx="3">
                        <c:v>258</c:v>
                      </c:pt>
                      <c:pt idx="4">
                        <c:v>399</c:v>
                      </c:pt>
                      <c:pt idx="5">
                        <c:v>500</c:v>
                      </c:pt>
                      <c:pt idx="6">
                        <c:v>150</c:v>
                      </c:pt>
                      <c:pt idx="7">
                        <c:v>2823</c:v>
                      </c:pt>
                      <c:pt idx="8">
                        <c:v>1705</c:v>
                      </c:pt>
                      <c:pt idx="9">
                        <c:v>6154</c:v>
                      </c:pt>
                      <c:pt idx="10">
                        <c:v>650</c:v>
                      </c:pt>
                      <c:pt idx="11">
                        <c:v>3981</c:v>
                      </c:pt>
                      <c:pt idx="12">
                        <c:v>4494</c:v>
                      </c:pt>
                      <c:pt idx="13">
                        <c:v>1290</c:v>
                      </c:pt>
                      <c:pt idx="14">
                        <c:v>15</c:v>
                      </c:pt>
                    </c:numCache>
                  </c:numRef>
                </c:val>
                <c:extLst>
                  <c:ext xmlns:c16="http://schemas.microsoft.com/office/drawing/2014/chart" uri="{C3380CC4-5D6E-409C-BE32-E72D297353CC}">
                    <c16:uniqueId val="{00000000-F89B-4213-8BF7-8D810CD95412}"/>
                  </c:ext>
                </c:extLst>
              </c15:ser>
            </c15:filteredBarSeries>
            <c15:filteredBarSeries>
              <c15:ser>
                <c:idx val="2"/>
                <c:order val="2"/>
                <c:tx>
                  <c:strRef>
                    <c:extLst>
                      <c:ext xmlns:c15="http://schemas.microsoft.com/office/drawing/2012/chart" uri="{02D57815-91ED-43cb-92C2-25804820EDAC}">
                        <c15:formulaRef>
                          <c15:sqref>'Pivot &amp; derived tables'!$AA$32</c15:sqref>
                        </c15:formulaRef>
                      </c:ext>
                    </c:extLst>
                    <c:strCache>
                      <c:ptCount val="1"/>
                      <c:pt idx="0">
                        <c:v>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tables'!$AA$33:$AA$47</c15:sqref>
                        </c15:formulaRef>
                      </c:ext>
                    </c:extLst>
                    <c:numCache>
                      <c:formatCode>General</c:formatCode>
                      <c:ptCount val="15"/>
                      <c:pt idx="0">
                        <c:v>1000</c:v>
                      </c:pt>
                      <c:pt idx="1">
                        <c:v>125</c:v>
                      </c:pt>
                      <c:pt idx="2">
                        <c:v>280</c:v>
                      </c:pt>
                      <c:pt idx="3">
                        <c:v>129</c:v>
                      </c:pt>
                      <c:pt idx="4">
                        <c:v>399</c:v>
                      </c:pt>
                      <c:pt idx="5">
                        <c:v>500</c:v>
                      </c:pt>
                      <c:pt idx="6">
                        <c:v>150</c:v>
                      </c:pt>
                      <c:pt idx="7">
                        <c:v>235.25</c:v>
                      </c:pt>
                      <c:pt idx="8">
                        <c:v>243.57</c:v>
                      </c:pt>
                      <c:pt idx="9">
                        <c:v>93.24</c:v>
                      </c:pt>
                      <c:pt idx="10">
                        <c:v>650</c:v>
                      </c:pt>
                      <c:pt idx="11">
                        <c:v>199.05</c:v>
                      </c:pt>
                      <c:pt idx="12">
                        <c:v>642</c:v>
                      </c:pt>
                      <c:pt idx="13">
                        <c:v>129</c:v>
                      </c:pt>
                      <c:pt idx="14">
                        <c:v>15</c:v>
                      </c:pt>
                    </c:numCache>
                  </c:numRef>
                </c:val>
                <c:extLst xmlns:c15="http://schemas.microsoft.com/office/drawing/2012/chart">
                  <c:ext xmlns:c16="http://schemas.microsoft.com/office/drawing/2014/chart" uri="{C3380CC4-5D6E-409C-BE32-E72D297353CC}">
                    <c16:uniqueId val="{00000002-F89B-4213-8BF7-8D810CD95412}"/>
                  </c:ext>
                </c:extLst>
              </c15:ser>
            </c15:filteredBarSeries>
            <c15:filteredBarSeries>
              <c15:ser>
                <c:idx val="3"/>
                <c:order val="3"/>
                <c:tx>
                  <c:strRef>
                    <c:extLst>
                      <c:ext xmlns:c15="http://schemas.microsoft.com/office/drawing/2012/chart" uri="{02D57815-91ED-43cb-92C2-25804820EDAC}">
                        <c15:formulaRef>
                          <c15:sqref>'Pivot &amp; derived tables'!$AB$32</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tables'!$AB$33:$AB$47</c15:sqref>
                        </c15:formulaRef>
                      </c:ext>
                    </c:extLst>
                    <c:numCache>
                      <c:formatCode>General</c:formatCode>
                      <c:ptCount val="15"/>
                      <c:pt idx="0">
                        <c:v>3.92</c:v>
                      </c:pt>
                      <c:pt idx="1">
                        <c:v>0.49</c:v>
                      </c:pt>
                      <c:pt idx="2">
                        <c:v>7.69</c:v>
                      </c:pt>
                      <c:pt idx="3">
                        <c:v>1.01</c:v>
                      </c:pt>
                      <c:pt idx="4">
                        <c:v>1.56</c:v>
                      </c:pt>
                      <c:pt idx="5">
                        <c:v>1.96</c:v>
                      </c:pt>
                      <c:pt idx="6">
                        <c:v>0.59</c:v>
                      </c:pt>
                      <c:pt idx="7">
                        <c:v>11.07</c:v>
                      </c:pt>
                      <c:pt idx="8">
                        <c:v>6.69</c:v>
                      </c:pt>
                      <c:pt idx="9">
                        <c:v>24.13</c:v>
                      </c:pt>
                      <c:pt idx="10">
                        <c:v>2.5499999999999998</c:v>
                      </c:pt>
                      <c:pt idx="11">
                        <c:v>15.61</c:v>
                      </c:pt>
                      <c:pt idx="12">
                        <c:v>17.62</c:v>
                      </c:pt>
                      <c:pt idx="13">
                        <c:v>5.0599999999999996</c:v>
                      </c:pt>
                      <c:pt idx="14">
                        <c:v>0.06</c:v>
                      </c:pt>
                    </c:numCache>
                  </c:numRef>
                </c:val>
                <c:extLst xmlns:c15="http://schemas.microsoft.com/office/drawing/2012/chart">
                  <c:ext xmlns:c16="http://schemas.microsoft.com/office/drawing/2014/chart" uri="{C3380CC4-5D6E-409C-BE32-E72D297353CC}">
                    <c16:uniqueId val="{00000003-F89B-4213-8BF7-8D810CD95412}"/>
                  </c:ext>
                </c:extLst>
              </c15:ser>
            </c15:filteredBarSeries>
          </c:ext>
        </c:extLst>
      </c:barChart>
      <c:catAx>
        <c:axId val="42966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 Detail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68720"/>
        <c:crosses val="autoZero"/>
        <c:auto val="1"/>
        <c:lblAlgn val="ctr"/>
        <c:lblOffset val="100"/>
        <c:noMultiLvlLbl val="0"/>
      </c:catAx>
      <c:valAx>
        <c:axId val="429668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2.2494887525562373E-2"/>
              <c:y val="0.230816929133858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6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Expenses</a:t>
            </a:r>
            <a:r>
              <a:rPr lang="en-US" b="1" baseline="0"/>
              <a:t> of Each Transaction Detail in G-cash</a:t>
            </a:r>
            <a:endParaRPr lang="en-US" b="1"/>
          </a:p>
        </c:rich>
      </c:tx>
      <c:layout>
        <c:manualLayout>
          <c:xMode val="edge"/>
          <c:yMode val="edge"/>
          <c:x val="0.2271779141104294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'Pivot &amp; derived tables'!$AA$32</c:f>
              <c:strCache>
                <c:ptCount val="1"/>
                <c:pt idx="0">
                  <c:v>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tables'!$X$33:$X$47</c:f>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f>'Pivot &amp; derived tables'!$AA$33:$AA$47</c:f>
              <c:numCache>
                <c:formatCode>General</c:formatCode>
                <c:ptCount val="15"/>
                <c:pt idx="0">
                  <c:v>1000</c:v>
                </c:pt>
                <c:pt idx="1">
                  <c:v>125</c:v>
                </c:pt>
                <c:pt idx="2">
                  <c:v>280</c:v>
                </c:pt>
                <c:pt idx="3">
                  <c:v>129</c:v>
                </c:pt>
                <c:pt idx="4">
                  <c:v>399</c:v>
                </c:pt>
                <c:pt idx="5">
                  <c:v>500</c:v>
                </c:pt>
                <c:pt idx="6">
                  <c:v>150</c:v>
                </c:pt>
                <c:pt idx="7">
                  <c:v>235.25</c:v>
                </c:pt>
                <c:pt idx="8">
                  <c:v>243.57</c:v>
                </c:pt>
                <c:pt idx="9">
                  <c:v>93.24</c:v>
                </c:pt>
                <c:pt idx="10">
                  <c:v>650</c:v>
                </c:pt>
                <c:pt idx="11">
                  <c:v>199.05</c:v>
                </c:pt>
                <c:pt idx="12">
                  <c:v>642</c:v>
                </c:pt>
                <c:pt idx="13">
                  <c:v>129</c:v>
                </c:pt>
                <c:pt idx="14">
                  <c:v>15</c:v>
                </c:pt>
              </c:numCache>
            </c:numRef>
          </c:val>
          <c:extLst xmlns:c15="http://schemas.microsoft.com/office/drawing/2012/chart">
            <c:ext xmlns:c16="http://schemas.microsoft.com/office/drawing/2014/chart" uri="{C3380CC4-5D6E-409C-BE32-E72D297353CC}">
              <c16:uniqueId val="{00000002-F89B-4213-8BF7-8D810CD95412}"/>
            </c:ext>
          </c:extLst>
        </c:ser>
        <c:dLbls>
          <c:dLblPos val="outEnd"/>
          <c:showLegendKey val="0"/>
          <c:showVal val="1"/>
          <c:showCatName val="0"/>
          <c:showSerName val="0"/>
          <c:showPercent val="0"/>
          <c:showBubbleSize val="0"/>
        </c:dLbls>
        <c:gapWidth val="219"/>
        <c:overlap val="-27"/>
        <c:axId val="429666320"/>
        <c:axId val="429668720"/>
        <c:extLst>
          <c:ext xmlns:c15="http://schemas.microsoft.com/office/drawing/2012/chart" uri="{02D57815-91ED-43cb-92C2-25804820EDAC}">
            <c15:filteredBarSeries>
              <c15:ser>
                <c:idx val="0"/>
                <c:order val="0"/>
                <c:tx>
                  <c:strRef>
                    <c:extLst>
                      <c:ext uri="{02D57815-91ED-43cb-92C2-25804820EDAC}">
                        <c15:formulaRef>
                          <c15:sqref>'Pivot &amp; derived tables'!$Y$32</c15:sqref>
                        </c15:formulaRef>
                      </c:ext>
                    </c:extLst>
                    <c:strCache>
                      <c:ptCount val="1"/>
                      <c:pt idx="0">
                        <c:v>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uri="{02D57815-91ED-43cb-92C2-25804820EDAC}">
                        <c15:formulaRef>
                          <c15:sqref>'Pivot &amp; derived tables'!$Y$33:$Y$47</c15:sqref>
                        </c15:formulaRef>
                      </c:ext>
                    </c:extLst>
                    <c:numCache>
                      <c:formatCode>General</c:formatCode>
                      <c:ptCount val="15"/>
                      <c:pt idx="0">
                        <c:v>1000</c:v>
                      </c:pt>
                      <c:pt idx="1">
                        <c:v>125</c:v>
                      </c:pt>
                      <c:pt idx="2">
                        <c:v>1960</c:v>
                      </c:pt>
                      <c:pt idx="3">
                        <c:v>258</c:v>
                      </c:pt>
                      <c:pt idx="4">
                        <c:v>399</c:v>
                      </c:pt>
                      <c:pt idx="5">
                        <c:v>500</c:v>
                      </c:pt>
                      <c:pt idx="6">
                        <c:v>150</c:v>
                      </c:pt>
                      <c:pt idx="7">
                        <c:v>2823</c:v>
                      </c:pt>
                      <c:pt idx="8">
                        <c:v>1705</c:v>
                      </c:pt>
                      <c:pt idx="9">
                        <c:v>6154</c:v>
                      </c:pt>
                      <c:pt idx="10">
                        <c:v>650</c:v>
                      </c:pt>
                      <c:pt idx="11">
                        <c:v>3981</c:v>
                      </c:pt>
                      <c:pt idx="12">
                        <c:v>4494</c:v>
                      </c:pt>
                      <c:pt idx="13">
                        <c:v>1290</c:v>
                      </c:pt>
                      <c:pt idx="14">
                        <c:v>15</c:v>
                      </c:pt>
                    </c:numCache>
                  </c:numRef>
                </c:val>
                <c:extLst>
                  <c:ext xmlns:c16="http://schemas.microsoft.com/office/drawing/2014/chart" uri="{C3380CC4-5D6E-409C-BE32-E72D297353CC}">
                    <c16:uniqueId val="{00000000-F89B-4213-8BF7-8D810CD95412}"/>
                  </c:ext>
                </c:extLst>
              </c15:ser>
            </c15:filteredBarSeries>
            <c15:filteredBarSeries>
              <c15:ser>
                <c:idx val="1"/>
                <c:order val="1"/>
                <c:tx>
                  <c:strRef>
                    <c:extLst>
                      <c:ext xmlns:c15="http://schemas.microsoft.com/office/drawing/2012/chart" uri="{02D57815-91ED-43cb-92C2-25804820EDAC}">
                        <c15:formulaRef>
                          <c15:sqref>'Pivot &amp; derived tables'!$Z$32</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tables'!$Z$33:$Z$47</c15:sqref>
                        </c15:formulaRef>
                      </c:ext>
                    </c:extLst>
                    <c:numCache>
                      <c:formatCode>General</c:formatCode>
                      <c:ptCount val="15"/>
                      <c:pt idx="0">
                        <c:v>1</c:v>
                      </c:pt>
                      <c:pt idx="1">
                        <c:v>1</c:v>
                      </c:pt>
                      <c:pt idx="2">
                        <c:v>7</c:v>
                      </c:pt>
                      <c:pt idx="3">
                        <c:v>2</c:v>
                      </c:pt>
                      <c:pt idx="4">
                        <c:v>1</c:v>
                      </c:pt>
                      <c:pt idx="5">
                        <c:v>1</c:v>
                      </c:pt>
                      <c:pt idx="6">
                        <c:v>1</c:v>
                      </c:pt>
                      <c:pt idx="7">
                        <c:v>12</c:v>
                      </c:pt>
                      <c:pt idx="8">
                        <c:v>7</c:v>
                      </c:pt>
                      <c:pt idx="9">
                        <c:v>66</c:v>
                      </c:pt>
                      <c:pt idx="10">
                        <c:v>1</c:v>
                      </c:pt>
                      <c:pt idx="11">
                        <c:v>20</c:v>
                      </c:pt>
                      <c:pt idx="12">
                        <c:v>7</c:v>
                      </c:pt>
                      <c:pt idx="13">
                        <c:v>10</c:v>
                      </c:pt>
                      <c:pt idx="14">
                        <c:v>1</c:v>
                      </c:pt>
                    </c:numCache>
                  </c:numRef>
                </c:val>
                <c:extLst xmlns:c15="http://schemas.microsoft.com/office/drawing/2012/chart">
                  <c:ext xmlns:c16="http://schemas.microsoft.com/office/drawing/2014/chart" uri="{C3380CC4-5D6E-409C-BE32-E72D297353CC}">
                    <c16:uniqueId val="{00000001-F89B-4213-8BF7-8D810CD95412}"/>
                  </c:ext>
                </c:extLst>
              </c15:ser>
            </c15:filteredBarSeries>
            <c15:filteredBarSeries>
              <c15:ser>
                <c:idx val="3"/>
                <c:order val="3"/>
                <c:tx>
                  <c:strRef>
                    <c:extLst>
                      <c:ext xmlns:c15="http://schemas.microsoft.com/office/drawing/2012/chart" uri="{02D57815-91ED-43cb-92C2-25804820EDAC}">
                        <c15:formulaRef>
                          <c15:sqref>'Pivot &amp; derived tables'!$AB$32</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tables'!$AB$33:$AB$47</c15:sqref>
                        </c15:formulaRef>
                      </c:ext>
                    </c:extLst>
                    <c:numCache>
                      <c:formatCode>General</c:formatCode>
                      <c:ptCount val="15"/>
                      <c:pt idx="0">
                        <c:v>3.92</c:v>
                      </c:pt>
                      <c:pt idx="1">
                        <c:v>0.49</c:v>
                      </c:pt>
                      <c:pt idx="2">
                        <c:v>7.69</c:v>
                      </c:pt>
                      <c:pt idx="3">
                        <c:v>1.01</c:v>
                      </c:pt>
                      <c:pt idx="4">
                        <c:v>1.56</c:v>
                      </c:pt>
                      <c:pt idx="5">
                        <c:v>1.96</c:v>
                      </c:pt>
                      <c:pt idx="6">
                        <c:v>0.59</c:v>
                      </c:pt>
                      <c:pt idx="7">
                        <c:v>11.07</c:v>
                      </c:pt>
                      <c:pt idx="8">
                        <c:v>6.69</c:v>
                      </c:pt>
                      <c:pt idx="9">
                        <c:v>24.13</c:v>
                      </c:pt>
                      <c:pt idx="10">
                        <c:v>2.5499999999999998</c:v>
                      </c:pt>
                      <c:pt idx="11">
                        <c:v>15.61</c:v>
                      </c:pt>
                      <c:pt idx="12">
                        <c:v>17.62</c:v>
                      </c:pt>
                      <c:pt idx="13">
                        <c:v>5.0599999999999996</c:v>
                      </c:pt>
                      <c:pt idx="14">
                        <c:v>0.06</c:v>
                      </c:pt>
                    </c:numCache>
                  </c:numRef>
                </c:val>
                <c:extLst xmlns:c15="http://schemas.microsoft.com/office/drawing/2012/chart">
                  <c:ext xmlns:c16="http://schemas.microsoft.com/office/drawing/2014/chart" uri="{C3380CC4-5D6E-409C-BE32-E72D297353CC}">
                    <c16:uniqueId val="{00000003-F89B-4213-8BF7-8D810CD95412}"/>
                  </c:ext>
                </c:extLst>
              </c15:ser>
            </c15:filteredBarSeries>
          </c:ext>
        </c:extLst>
      </c:barChart>
      <c:catAx>
        <c:axId val="42966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 Detail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68720"/>
        <c:crosses val="autoZero"/>
        <c:auto val="1"/>
        <c:lblAlgn val="ctr"/>
        <c:lblOffset val="100"/>
        <c:noMultiLvlLbl val="0"/>
      </c:catAx>
      <c:valAx>
        <c:axId val="429668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2.2494887525562373E-2"/>
              <c:y val="0.230816929133858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6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Nov.</a:t>
            </a:r>
            <a:r>
              <a:rPr lang="en-PH" b="1" baseline="0"/>
              <a:t> 2024, Dec. 2024, and Jan. 2025 </a:t>
            </a:r>
          </a:p>
          <a:p>
            <a:pPr>
              <a:defRPr/>
            </a:pPr>
            <a:r>
              <a:rPr lang="en-PH" b="1" baseline="0"/>
              <a:t>Income, Expenses and Net Income</a:t>
            </a:r>
            <a:endParaRPr lang="en-PH" b="1"/>
          </a:p>
        </c:rich>
      </c:tx>
      <c:layout>
        <c:manualLayout>
          <c:xMode val="edge"/>
          <c:yMode val="edge"/>
          <c:x val="0.22147588049688732"/>
          <c:y val="2.77776435920969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'Analysis &amp; Diagnostics'!$I$11</c:f>
              <c:strCache>
                <c:ptCount val="1"/>
                <c:pt idx="0">
                  <c:v>Expenses</c:v>
                </c:pt>
              </c:strCache>
            </c:strRef>
          </c:tx>
          <c:spPr>
            <a:solidFill>
              <a:schemeClr val="bg1">
                <a:lumMod val="65000"/>
              </a:schemeClr>
            </a:solidFill>
            <a:ln>
              <a:noFill/>
            </a:ln>
            <a:effectLst/>
          </c:spPr>
          <c:invertIfNegative val="0"/>
          <c:dLbls>
            <c:dLbl>
              <c:idx val="1"/>
              <c:layout>
                <c:manualLayout>
                  <c:x val="-1.1030759053880138E-16"/>
                  <c:y val="2.45821042281219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33-4734-A6BF-81F0E445D0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 &amp; Diagnostics'!$H$12:$H$15</c15:sqref>
                  </c15:fullRef>
                </c:ext>
              </c:extLst>
              <c:f>'Analysis &amp; Diagnostics'!$H$13:$H$15</c:f>
              <c:strCache>
                <c:ptCount val="3"/>
                <c:pt idx="0">
                  <c:v>Nov. 2024</c:v>
                </c:pt>
                <c:pt idx="1">
                  <c:v>Dec. 2024</c:v>
                </c:pt>
                <c:pt idx="2">
                  <c:v>Jan. 2025</c:v>
                </c:pt>
              </c:strCache>
            </c:strRef>
          </c:cat>
          <c:val>
            <c:numRef>
              <c:extLst>
                <c:ext xmlns:c15="http://schemas.microsoft.com/office/drawing/2012/chart" uri="{02D57815-91ED-43cb-92C2-25804820EDAC}">
                  <c15:fullRef>
                    <c15:sqref>'Analysis &amp; Diagnostics'!$I$12:$I$15</c15:sqref>
                  </c15:fullRef>
                </c:ext>
              </c:extLst>
              <c:f>'Analysis &amp; Diagnostics'!$I$13:$I$15</c:f>
              <c:numCache>
                <c:formatCode>General</c:formatCode>
                <c:ptCount val="3"/>
                <c:pt idx="0">
                  <c:v>9721</c:v>
                </c:pt>
                <c:pt idx="1">
                  <c:v>20499</c:v>
                </c:pt>
                <c:pt idx="2">
                  <c:v>19636</c:v>
                </c:pt>
              </c:numCache>
            </c:numRef>
          </c:val>
          <c:extLst>
            <c:ext xmlns:c16="http://schemas.microsoft.com/office/drawing/2014/chart" uri="{C3380CC4-5D6E-409C-BE32-E72D297353CC}">
              <c16:uniqueId val="{00000000-94E5-44C3-B713-6EC7DF599E12}"/>
            </c:ext>
          </c:extLst>
        </c:ser>
        <c:ser>
          <c:idx val="2"/>
          <c:order val="1"/>
          <c:tx>
            <c:strRef>
              <c:f>'Analysis &amp; Diagnostics'!$J$11</c:f>
              <c:strCache>
                <c:ptCount val="1"/>
                <c:pt idx="0">
                  <c:v>Income</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 &amp; Diagnostics'!$H$12:$H$15</c15:sqref>
                  </c15:fullRef>
                </c:ext>
              </c:extLst>
              <c:f>'Analysis &amp; Diagnostics'!$H$13:$H$15</c:f>
              <c:strCache>
                <c:ptCount val="3"/>
                <c:pt idx="0">
                  <c:v>Nov. 2024</c:v>
                </c:pt>
                <c:pt idx="1">
                  <c:v>Dec. 2024</c:v>
                </c:pt>
                <c:pt idx="2">
                  <c:v>Jan. 2025</c:v>
                </c:pt>
              </c:strCache>
            </c:strRef>
          </c:cat>
          <c:val>
            <c:numRef>
              <c:extLst>
                <c:ext xmlns:c15="http://schemas.microsoft.com/office/drawing/2012/chart" uri="{02D57815-91ED-43cb-92C2-25804820EDAC}">
                  <c15:fullRef>
                    <c15:sqref>'Analysis &amp; Diagnostics'!$J$12:$J$15</c15:sqref>
                  </c15:fullRef>
                </c:ext>
              </c:extLst>
              <c:f>'Analysis &amp; Diagnostics'!$J$13:$J$15</c:f>
              <c:numCache>
                <c:formatCode>General</c:formatCode>
                <c:ptCount val="3"/>
                <c:pt idx="0">
                  <c:v>59992</c:v>
                </c:pt>
                <c:pt idx="1">
                  <c:v>51481</c:v>
                </c:pt>
                <c:pt idx="2">
                  <c:v>26403</c:v>
                </c:pt>
              </c:numCache>
            </c:numRef>
          </c:val>
          <c:extLst>
            <c:ext xmlns:c16="http://schemas.microsoft.com/office/drawing/2014/chart" uri="{C3380CC4-5D6E-409C-BE32-E72D297353CC}">
              <c16:uniqueId val="{00000001-94E5-44C3-B713-6EC7DF599E12}"/>
            </c:ext>
          </c:extLst>
        </c:ser>
        <c:dLbls>
          <c:dLblPos val="outEnd"/>
          <c:showLegendKey val="0"/>
          <c:showVal val="1"/>
          <c:showCatName val="0"/>
          <c:showSerName val="0"/>
          <c:showPercent val="0"/>
          <c:showBubbleSize val="0"/>
        </c:dLbls>
        <c:gapWidth val="219"/>
        <c:axId val="1455782592"/>
        <c:axId val="1455783552"/>
        <c:extLst>
          <c:ext xmlns:c15="http://schemas.microsoft.com/office/drawing/2012/chart" uri="{02D57815-91ED-43cb-92C2-25804820EDAC}">
            <c15:filteredBarSeries>
              <c15:ser>
                <c:idx val="0"/>
                <c:order val="3"/>
                <c:tx>
                  <c:strRef>
                    <c:extLst>
                      <c:ext uri="{02D57815-91ED-43cb-92C2-25804820EDAC}">
                        <c15:formulaRef>
                          <c15:sqref>'Analysis &amp; Diagnostics'!$L$11</c15:sqref>
                        </c15:formulaRef>
                      </c:ext>
                    </c:extLst>
                    <c:strCache>
                      <c:ptCount val="1"/>
                      <c:pt idx="0">
                        <c:v>Net Income Growth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'Analysis &amp; Diagnostics'!$H$12:$H$15</c15:sqref>
                        </c15:fullRef>
                        <c15:formulaRef>
                          <c15:sqref>'Analysis &amp; Diagnostics'!$H$13:$H$15</c15:sqref>
                        </c15:formulaRef>
                      </c:ext>
                    </c:extLst>
                    <c:strCache>
                      <c:ptCount val="3"/>
                      <c:pt idx="0">
                        <c:v>Nov. 2024</c:v>
                      </c:pt>
                      <c:pt idx="1">
                        <c:v>Dec. 2024</c:v>
                      </c:pt>
                      <c:pt idx="2">
                        <c:v>Jan. 2025</c:v>
                      </c:pt>
                    </c:strCache>
                  </c:strRef>
                </c:cat>
                <c:val>
                  <c:numRef>
                    <c:extLst>
                      <c:ext uri="{02D57815-91ED-43cb-92C2-25804820EDAC}">
                        <c15:fullRef>
                          <c15:sqref>'Analysis &amp; Diagnostics'!$L$12:$L$15</c15:sqref>
                        </c15:fullRef>
                        <c15:formulaRef>
                          <c15:sqref>'Analysis &amp; Diagnostics'!$L$13:$L$15</c15:sqref>
                        </c15:formulaRef>
                      </c:ext>
                    </c:extLst>
                    <c:numCache>
                      <c:formatCode>General</c:formatCode>
                      <c:ptCount val="3"/>
                      <c:pt idx="0">
                        <c:v>2118.4899999999998</c:v>
                      </c:pt>
                      <c:pt idx="1">
                        <c:v>-38.369999999999997</c:v>
                      </c:pt>
                      <c:pt idx="2">
                        <c:v>-78.16</c:v>
                      </c:pt>
                    </c:numCache>
                  </c:numRef>
                </c:val>
                <c:extLst>
                  <c:ext xmlns:c16="http://schemas.microsoft.com/office/drawing/2014/chart" uri="{C3380CC4-5D6E-409C-BE32-E72D297353CC}">
                    <c16:uniqueId val="{00000003-94E5-44C3-B713-6EC7DF599E12}"/>
                  </c:ext>
                </c:extLst>
              </c15:ser>
            </c15:filteredBarSeries>
          </c:ext>
        </c:extLst>
      </c:barChart>
      <c:lineChart>
        <c:grouping val="standard"/>
        <c:varyColors val="0"/>
        <c:ser>
          <c:idx val="3"/>
          <c:order val="2"/>
          <c:tx>
            <c:strRef>
              <c:f>'Analysis &amp; Diagnostics'!$K$11</c:f>
              <c:strCache>
                <c:ptCount val="1"/>
                <c:pt idx="0">
                  <c:v>Net Income</c:v>
                </c:pt>
              </c:strCache>
            </c:strRef>
          </c:tx>
          <c:spPr>
            <a:ln w="28575" cap="rnd">
              <a:solidFill>
                <a:schemeClr val="accent2"/>
              </a:solidFill>
              <a:round/>
            </a:ln>
            <a:effectLst/>
          </c:spPr>
          <c:marker>
            <c:symbol val="circle"/>
            <c:size val="5"/>
            <c:spPr>
              <a:solidFill>
                <a:srgbClr val="FF0000"/>
              </a:solidFill>
              <a:ln w="9525">
                <a:solidFill>
                  <a:srgbClr val="FF0000"/>
                </a:solidFill>
              </a:ln>
              <a:effectLst/>
            </c:spPr>
          </c:marker>
          <c:dLbls>
            <c:dLbl>
              <c:idx val="1"/>
              <c:layout>
                <c:manualLayout>
                  <c:x val="-3.0084235860409147E-3"/>
                  <c:y val="-3.9331366764995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33-4734-A6BF-81F0E445D0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 &amp; Diagnostics'!$H$12:$H$15</c15:sqref>
                  </c15:fullRef>
                </c:ext>
              </c:extLst>
              <c:f>'Analysis &amp; Diagnostics'!$H$13:$H$15</c:f>
              <c:strCache>
                <c:ptCount val="3"/>
                <c:pt idx="0">
                  <c:v>Nov. 2024</c:v>
                </c:pt>
                <c:pt idx="1">
                  <c:v>Dec. 2024</c:v>
                </c:pt>
                <c:pt idx="2">
                  <c:v>Jan. 2025</c:v>
                </c:pt>
              </c:strCache>
            </c:strRef>
          </c:cat>
          <c:val>
            <c:numRef>
              <c:extLst>
                <c:ext xmlns:c15="http://schemas.microsoft.com/office/drawing/2012/chart" uri="{02D57815-91ED-43cb-92C2-25804820EDAC}">
                  <c15:fullRef>
                    <c15:sqref>'Analysis &amp; Diagnostics'!$K$12:$K$15</c15:sqref>
                  </c15:fullRef>
                </c:ext>
              </c:extLst>
              <c:f>'Analysis &amp; Diagnostics'!$K$13:$K$15</c:f>
              <c:numCache>
                <c:formatCode>General</c:formatCode>
                <c:ptCount val="3"/>
                <c:pt idx="0">
                  <c:v>50271</c:v>
                </c:pt>
                <c:pt idx="1">
                  <c:v>30982</c:v>
                </c:pt>
                <c:pt idx="2">
                  <c:v>6767</c:v>
                </c:pt>
              </c:numCache>
            </c:numRef>
          </c:val>
          <c:smooth val="0"/>
          <c:extLst>
            <c:ext xmlns:c16="http://schemas.microsoft.com/office/drawing/2014/chart" uri="{C3380CC4-5D6E-409C-BE32-E72D297353CC}">
              <c16:uniqueId val="{00000002-94E5-44C3-B713-6EC7DF599E12}"/>
            </c:ext>
          </c:extLst>
        </c:ser>
        <c:dLbls>
          <c:showLegendKey val="0"/>
          <c:showVal val="0"/>
          <c:showCatName val="0"/>
          <c:showSerName val="0"/>
          <c:showPercent val="0"/>
          <c:showBubbleSize val="0"/>
        </c:dLbls>
        <c:marker val="1"/>
        <c:smooth val="0"/>
        <c:axId val="1455782592"/>
        <c:axId val="1455783552"/>
      </c:lineChart>
      <c:catAx>
        <c:axId val="1455782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783552"/>
        <c:crosses val="autoZero"/>
        <c:auto val="1"/>
        <c:lblAlgn val="ctr"/>
        <c:lblOffset val="100"/>
        <c:noMultiLvlLbl val="0"/>
      </c:catAx>
      <c:valAx>
        <c:axId val="1455783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782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baseline="0"/>
              <a:t>Dec. 2024, and Jan. 2025 Expenses </a:t>
            </a:r>
            <a:endParaRPr lang="en-PH" b="1"/>
          </a:p>
        </c:rich>
      </c:tx>
      <c:layout>
        <c:manualLayout>
          <c:xMode val="edge"/>
          <c:yMode val="edge"/>
          <c:x val="0.22147588049688732"/>
          <c:y val="3.7610619469026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'Analysis &amp; Diagnostics'!$I$11</c:f>
              <c:strCache>
                <c:ptCount val="1"/>
                <c:pt idx="0">
                  <c:v>Expenses</c:v>
                </c:pt>
              </c:strCache>
            </c:strRef>
          </c:tx>
          <c:spPr>
            <a:solidFill>
              <a:schemeClr val="accent2"/>
            </a:solidFill>
            <a:ln>
              <a:noFill/>
            </a:ln>
            <a:effectLst/>
          </c:spPr>
          <c:invertIfNegative val="0"/>
          <c:dLbls>
            <c:dLbl>
              <c:idx val="0"/>
              <c:layout>
                <c:manualLayout>
                  <c:x val="-1.1030759053880138E-16"/>
                  <c:y val="2.45821042281219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33-4734-A6BF-81F0E445D0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 &amp; Diagnostics'!$H$12:$H$15</c15:sqref>
                  </c15:fullRef>
                </c:ext>
              </c:extLst>
              <c:f>'Analysis &amp; Diagnostics'!$H$14:$H$15</c:f>
              <c:strCache>
                <c:ptCount val="2"/>
                <c:pt idx="0">
                  <c:v>Dec. 2024</c:v>
                </c:pt>
                <c:pt idx="1">
                  <c:v>Jan. 2025</c:v>
                </c:pt>
              </c:strCache>
            </c:strRef>
          </c:cat>
          <c:val>
            <c:numRef>
              <c:extLst>
                <c:ext xmlns:c15="http://schemas.microsoft.com/office/drawing/2012/chart" uri="{02D57815-91ED-43cb-92C2-25804820EDAC}">
                  <c15:fullRef>
                    <c15:sqref>'Analysis &amp; Diagnostics'!$I$12:$I$15</c15:sqref>
                  </c15:fullRef>
                </c:ext>
              </c:extLst>
              <c:f>'Analysis &amp; Diagnostics'!$I$14:$I$15</c:f>
              <c:numCache>
                <c:formatCode>General</c:formatCode>
                <c:ptCount val="2"/>
                <c:pt idx="0">
                  <c:v>20499</c:v>
                </c:pt>
                <c:pt idx="1">
                  <c:v>19636</c:v>
                </c:pt>
              </c:numCache>
            </c:numRef>
          </c:val>
          <c:extLst>
            <c:ext xmlns:c16="http://schemas.microsoft.com/office/drawing/2014/chart" uri="{C3380CC4-5D6E-409C-BE32-E72D297353CC}">
              <c16:uniqueId val="{00000000-94E5-44C3-B713-6EC7DF599E12}"/>
            </c:ext>
          </c:extLst>
        </c:ser>
        <c:dLbls>
          <c:dLblPos val="outEnd"/>
          <c:showLegendKey val="0"/>
          <c:showVal val="1"/>
          <c:showCatName val="0"/>
          <c:showSerName val="0"/>
          <c:showPercent val="0"/>
          <c:showBubbleSize val="0"/>
        </c:dLbls>
        <c:gapWidth val="219"/>
        <c:axId val="1455782592"/>
        <c:axId val="1455783552"/>
        <c:extLst>
          <c:ext xmlns:c15="http://schemas.microsoft.com/office/drawing/2012/chart" uri="{02D57815-91ED-43cb-92C2-25804820EDAC}">
            <c15:filteredBarSeries>
              <c15:ser>
                <c:idx val="2"/>
                <c:order val="1"/>
                <c:tx>
                  <c:strRef>
                    <c:extLst>
                      <c:ext uri="{02D57815-91ED-43cb-92C2-25804820EDAC}">
                        <c15:formulaRef>
                          <c15:sqref>'Analysis &amp; Diagnostics'!$J$11</c15:sqref>
                        </c15:formulaRef>
                      </c:ext>
                    </c:extLst>
                    <c:strCache>
                      <c:ptCount val="1"/>
                      <c:pt idx="0">
                        <c:v>Income</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'Analysis &amp; Diagnostics'!$H$12:$H$15</c15:sqref>
                        </c15:fullRef>
                        <c15:formulaRef>
                          <c15:sqref>'Analysis &amp; Diagnostics'!$H$14:$H$15</c15:sqref>
                        </c15:formulaRef>
                      </c:ext>
                    </c:extLst>
                    <c:strCache>
                      <c:ptCount val="2"/>
                      <c:pt idx="0">
                        <c:v>Dec. 2024</c:v>
                      </c:pt>
                      <c:pt idx="1">
                        <c:v>Jan. 2025</c:v>
                      </c:pt>
                    </c:strCache>
                  </c:strRef>
                </c:cat>
                <c:val>
                  <c:numRef>
                    <c:extLst>
                      <c:ext uri="{02D57815-91ED-43cb-92C2-25804820EDAC}">
                        <c15:fullRef>
                          <c15:sqref>'Analysis &amp; Diagnostics'!$J$12:$J$15</c15:sqref>
                        </c15:fullRef>
                        <c15:formulaRef>
                          <c15:sqref>'Analysis &amp; Diagnostics'!$J$14:$J$15</c15:sqref>
                        </c15:formulaRef>
                      </c:ext>
                    </c:extLst>
                    <c:numCache>
                      <c:formatCode>General</c:formatCode>
                      <c:ptCount val="2"/>
                      <c:pt idx="0">
                        <c:v>51481</c:v>
                      </c:pt>
                      <c:pt idx="1">
                        <c:v>26403</c:v>
                      </c:pt>
                    </c:numCache>
                  </c:numRef>
                </c:val>
                <c:extLst>
                  <c:ext xmlns:c16="http://schemas.microsoft.com/office/drawing/2014/chart" uri="{C3380CC4-5D6E-409C-BE32-E72D297353CC}">
                    <c16:uniqueId val="{00000001-94E5-44C3-B713-6EC7DF599E12}"/>
                  </c:ext>
                </c:extLst>
              </c15:ser>
            </c15:filteredBarSeries>
            <c15:filteredBarSeries>
              <c15:ser>
                <c:idx val="0"/>
                <c:order val="3"/>
                <c:tx>
                  <c:strRef>
                    <c:extLst>
                      <c:ext xmlns:c15="http://schemas.microsoft.com/office/drawing/2012/chart" uri="{02D57815-91ED-43cb-92C2-25804820EDAC}">
                        <c15:formulaRef>
                          <c15:sqref>'Analysis &amp; Diagnostics'!$L$11</c15:sqref>
                        </c15:formulaRef>
                      </c:ext>
                    </c:extLst>
                    <c:strCache>
                      <c:ptCount val="1"/>
                      <c:pt idx="0">
                        <c:v>Net Income Growth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 &amp; Diagnostics'!$H$12:$H$15</c15:sqref>
                        </c15:fullRef>
                        <c15:formulaRef>
                          <c15:sqref>'Analysis &amp; Diagnostics'!$H$14:$H$15</c15:sqref>
                        </c15:formulaRef>
                      </c:ext>
                    </c:extLst>
                    <c:strCache>
                      <c:ptCount val="2"/>
                      <c:pt idx="0">
                        <c:v>Dec. 2024</c:v>
                      </c:pt>
                      <c:pt idx="1">
                        <c:v>Jan. 2025</c:v>
                      </c:pt>
                    </c:strCache>
                  </c:strRef>
                </c:cat>
                <c:val>
                  <c:numRef>
                    <c:extLst>
                      <c:ext xmlns:c15="http://schemas.microsoft.com/office/drawing/2012/chart" uri="{02D57815-91ED-43cb-92C2-25804820EDAC}">
                        <c15:fullRef>
                          <c15:sqref>'Analysis &amp; Diagnostics'!$L$12:$L$15</c15:sqref>
                        </c15:fullRef>
                        <c15:formulaRef>
                          <c15:sqref>'Analysis &amp; Diagnostics'!$L$14:$L$15</c15:sqref>
                        </c15:formulaRef>
                      </c:ext>
                    </c:extLst>
                    <c:numCache>
                      <c:formatCode>General</c:formatCode>
                      <c:ptCount val="2"/>
                      <c:pt idx="0">
                        <c:v>-38.369999999999997</c:v>
                      </c:pt>
                      <c:pt idx="1">
                        <c:v>-78.16</c:v>
                      </c:pt>
                    </c:numCache>
                  </c:numRef>
                </c:val>
                <c:extLst xmlns:c15="http://schemas.microsoft.com/office/drawing/2012/chart">
                  <c:ext xmlns:c16="http://schemas.microsoft.com/office/drawing/2014/chart" uri="{C3380CC4-5D6E-409C-BE32-E72D297353CC}">
                    <c16:uniqueId val="{00000003-94E5-44C3-B713-6EC7DF599E12}"/>
                  </c:ext>
                </c:extLst>
              </c15:ser>
            </c15:filteredBarSeries>
          </c:ext>
        </c:extLst>
      </c:barChart>
      <c:lineChart>
        <c:grouping val="standard"/>
        <c:varyColors val="0"/>
        <c:dLbls>
          <c:showLegendKey val="0"/>
          <c:showVal val="0"/>
          <c:showCatName val="0"/>
          <c:showSerName val="0"/>
          <c:showPercent val="0"/>
          <c:showBubbleSize val="0"/>
        </c:dLbls>
        <c:marker val="1"/>
        <c:smooth val="0"/>
        <c:axId val="1455782592"/>
        <c:axId val="1455783552"/>
        <c:extLst>
          <c:ext xmlns:c15="http://schemas.microsoft.com/office/drawing/2012/chart" uri="{02D57815-91ED-43cb-92C2-25804820EDAC}">
            <c15:filteredLineSeries>
              <c15:ser>
                <c:idx val="3"/>
                <c:order val="2"/>
                <c:tx>
                  <c:strRef>
                    <c:extLst>
                      <c:ext uri="{02D57815-91ED-43cb-92C2-25804820EDAC}">
                        <c15:formulaRef>
                          <c15:sqref>'Analysis &amp; Diagnostics'!$K$11</c15:sqref>
                        </c15:formulaRef>
                      </c:ext>
                    </c:extLst>
                    <c:strCache>
                      <c:ptCount val="1"/>
                      <c:pt idx="0">
                        <c:v>Net Income</c:v>
                      </c:pt>
                    </c:strCache>
                  </c:strRef>
                </c:tx>
                <c:spPr>
                  <a:ln w="28575" cap="rnd">
                    <a:solidFill>
                      <a:schemeClr val="accent2"/>
                    </a:solidFill>
                    <a:round/>
                  </a:ln>
                  <a:effectLst/>
                </c:spPr>
                <c:marker>
                  <c:symbol val="circle"/>
                  <c:size val="5"/>
                  <c:spPr>
                    <a:solidFill>
                      <a:srgbClr val="FF0000"/>
                    </a:solidFill>
                    <a:ln w="9525">
                      <a:solidFill>
                        <a:srgbClr val="FF0000"/>
                      </a:solidFill>
                    </a:ln>
                    <a:effectLst/>
                  </c:spPr>
                </c:marker>
                <c:dLbls>
                  <c:dLbl>
                    <c:idx val="0"/>
                    <c:layout>
                      <c:manualLayout>
                        <c:x val="-3.0084235860409147E-3"/>
                        <c:y val="-3.9331366764995081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5133-4734-A6BF-81F0E445D0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'Analysis &amp; Diagnostics'!$H$12:$H$15</c15:sqref>
                        </c15:fullRef>
                        <c15:formulaRef>
                          <c15:sqref>'Analysis &amp; Diagnostics'!$H$14:$H$15</c15:sqref>
                        </c15:formulaRef>
                      </c:ext>
                    </c:extLst>
                    <c:strCache>
                      <c:ptCount val="2"/>
                      <c:pt idx="0">
                        <c:v>Dec. 2024</c:v>
                      </c:pt>
                      <c:pt idx="1">
                        <c:v>Jan. 2025</c:v>
                      </c:pt>
                    </c:strCache>
                  </c:strRef>
                </c:cat>
                <c:val>
                  <c:numRef>
                    <c:extLst>
                      <c:ext uri="{02D57815-91ED-43cb-92C2-25804820EDAC}">
                        <c15:fullRef>
                          <c15:sqref>'Analysis &amp; Diagnostics'!$K$12:$K$15</c15:sqref>
                        </c15:fullRef>
                        <c15:formulaRef>
                          <c15:sqref>'Analysis &amp; Diagnostics'!$K$14:$K$15</c15:sqref>
                        </c15:formulaRef>
                      </c:ext>
                    </c:extLst>
                    <c:numCache>
                      <c:formatCode>General</c:formatCode>
                      <c:ptCount val="2"/>
                      <c:pt idx="0">
                        <c:v>30982</c:v>
                      </c:pt>
                      <c:pt idx="1">
                        <c:v>6767</c:v>
                      </c:pt>
                    </c:numCache>
                  </c:numRef>
                </c:val>
                <c:smooth val="0"/>
                <c:extLst>
                  <c:ext xmlns:c16="http://schemas.microsoft.com/office/drawing/2014/chart" uri="{C3380CC4-5D6E-409C-BE32-E72D297353CC}">
                    <c16:uniqueId val="{00000002-94E5-44C3-B713-6EC7DF599E12}"/>
                  </c:ext>
                </c:extLst>
              </c15:ser>
            </c15:filteredLineSeries>
          </c:ext>
        </c:extLst>
      </c:lineChart>
      <c:catAx>
        <c:axId val="1455782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783552"/>
        <c:crosses val="autoZero"/>
        <c:auto val="1"/>
        <c:lblAlgn val="ctr"/>
        <c:lblOffset val="100"/>
        <c:noMultiLvlLbl val="0"/>
      </c:catAx>
      <c:valAx>
        <c:axId val="1455783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782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Expenses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&amp; derived tables'!$I$3</c:f>
              <c:strCache>
                <c:ptCount val="1"/>
                <c:pt idx="0">
                  <c:v>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tables'!$I$4:$I$18</c:f>
              <c:numCache>
                <c:formatCode>General</c:formatCode>
                <c:ptCount val="15"/>
                <c:pt idx="0">
                  <c:v>10181</c:v>
                </c:pt>
                <c:pt idx="1">
                  <c:v>32023</c:v>
                </c:pt>
                <c:pt idx="2">
                  <c:v>9647</c:v>
                </c:pt>
                <c:pt idx="3">
                  <c:v>17583</c:v>
                </c:pt>
                <c:pt idx="4">
                  <c:v>18789</c:v>
                </c:pt>
                <c:pt idx="5">
                  <c:v>16059</c:v>
                </c:pt>
                <c:pt idx="6">
                  <c:v>12242</c:v>
                </c:pt>
                <c:pt idx="7">
                  <c:v>20411</c:v>
                </c:pt>
                <c:pt idx="8">
                  <c:v>21985</c:v>
                </c:pt>
                <c:pt idx="9">
                  <c:v>11107</c:v>
                </c:pt>
                <c:pt idx="10">
                  <c:v>11720</c:v>
                </c:pt>
                <c:pt idx="11">
                  <c:v>25236</c:v>
                </c:pt>
                <c:pt idx="12">
                  <c:v>9721</c:v>
                </c:pt>
                <c:pt idx="13">
                  <c:v>20499</c:v>
                </c:pt>
                <c:pt idx="14">
                  <c:v>19636</c:v>
                </c:pt>
              </c:numCache>
            </c:numRef>
          </c:val>
          <c:extLst>
            <c:ext xmlns:c16="http://schemas.microsoft.com/office/drawing/2014/chart" uri="{C3380CC4-5D6E-409C-BE32-E72D297353CC}">
              <c16:uniqueId val="{00000000-C7F0-40E3-AF91-CABC8962577B}"/>
            </c:ext>
          </c:extLst>
        </c:ser>
        <c:dLbls>
          <c:dLblPos val="outEnd"/>
          <c:showLegendKey val="0"/>
          <c:showVal val="1"/>
          <c:showCatName val="0"/>
          <c:showSerName val="0"/>
          <c:showPercent val="0"/>
          <c:showBubbleSize val="0"/>
        </c:dLbls>
        <c:gapWidth val="219"/>
        <c:overlap val="-27"/>
        <c:axId val="1926474591"/>
        <c:axId val="2106387071"/>
        <c:extLst>
          <c:ext xmlns:c15="http://schemas.microsoft.com/office/drawing/2012/chart" uri="{02D57815-91ED-43cb-92C2-25804820EDAC}">
            <c15:filteredBarSeries>
              <c15:ser>
                <c:idx val="1"/>
                <c:order val="1"/>
                <c:tx>
                  <c:strRef>
                    <c:extLst>
                      <c:ext uri="{02D57815-91ED-43cb-92C2-25804820EDAC}">
                        <c15:formulaRef>
                          <c15:sqref>'Pivot &amp; derived tables'!$J$3</c15:sqref>
                        </c15:formulaRef>
                      </c:ext>
                    </c:extLst>
                    <c:strCache>
                      <c:ptCount val="1"/>
                      <c:pt idx="0">
                        <c:v>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uri="{02D57815-91ED-43cb-92C2-25804820EDAC}">
                        <c15:formulaRef>
                          <c15:sqref>'Pivot &amp; derived tables'!$J$4:$J$18</c15:sqref>
                        </c15:formulaRef>
                      </c:ext>
                    </c:extLst>
                    <c:numCache>
                      <c:formatCode>General</c:formatCode>
                      <c:ptCount val="15"/>
                      <c:pt idx="0">
                        <c:v>70026</c:v>
                      </c:pt>
                      <c:pt idx="1">
                        <c:v>43465</c:v>
                      </c:pt>
                      <c:pt idx="2">
                        <c:v>25466</c:v>
                      </c:pt>
                      <c:pt idx="3">
                        <c:v>25195</c:v>
                      </c:pt>
                      <c:pt idx="4">
                        <c:v>25195</c:v>
                      </c:pt>
                      <c:pt idx="5">
                        <c:v>32231</c:v>
                      </c:pt>
                      <c:pt idx="6">
                        <c:v>52230</c:v>
                      </c:pt>
                      <c:pt idx="7">
                        <c:v>25231</c:v>
                      </c:pt>
                      <c:pt idx="8">
                        <c:v>30278</c:v>
                      </c:pt>
                      <c:pt idx="9">
                        <c:v>42632</c:v>
                      </c:pt>
                      <c:pt idx="10">
                        <c:v>38620</c:v>
                      </c:pt>
                      <c:pt idx="11">
                        <c:v>27502</c:v>
                      </c:pt>
                      <c:pt idx="12">
                        <c:v>59992</c:v>
                      </c:pt>
                      <c:pt idx="13">
                        <c:v>51481</c:v>
                      </c:pt>
                      <c:pt idx="14">
                        <c:v>26403</c:v>
                      </c:pt>
                    </c:numCache>
                  </c:numRef>
                </c:val>
                <c:extLst>
                  <c:ext xmlns:c16="http://schemas.microsoft.com/office/drawing/2014/chart" uri="{C3380CC4-5D6E-409C-BE32-E72D297353CC}">
                    <c16:uniqueId val="{00000001-C7F0-40E3-AF91-CABC8962577B}"/>
                  </c:ext>
                </c:extLst>
              </c15:ser>
            </c15:filteredBarSeries>
            <c15:filteredBarSeries>
              <c15:ser>
                <c:idx val="2"/>
                <c:order val="2"/>
                <c:tx>
                  <c:strRef>
                    <c:extLst>
                      <c:ext xmlns:c15="http://schemas.microsoft.com/office/drawing/2012/chart" uri="{02D57815-91ED-43cb-92C2-25804820EDAC}">
                        <c15:formulaRef>
                          <c15:sqref>'Pivot &amp; derived tables'!$K$3</c15:sqref>
                        </c15:formulaRef>
                      </c:ext>
                    </c:extLst>
                    <c:strCache>
                      <c:ptCount val="1"/>
                      <c:pt idx="0">
                        <c:v>Net Income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tables'!$K$4:$K$18</c15:sqref>
                        </c15:formulaRef>
                      </c:ext>
                    </c:extLst>
                    <c:numCache>
                      <c:formatCode>General</c:formatCode>
                      <c:ptCount val="15"/>
                      <c:pt idx="0">
                        <c:v>59845</c:v>
                      </c:pt>
                      <c:pt idx="1">
                        <c:v>11442</c:v>
                      </c:pt>
                      <c:pt idx="2">
                        <c:v>15819</c:v>
                      </c:pt>
                      <c:pt idx="3">
                        <c:v>7612</c:v>
                      </c:pt>
                      <c:pt idx="4">
                        <c:v>6406</c:v>
                      </c:pt>
                      <c:pt idx="5">
                        <c:v>16172</c:v>
                      </c:pt>
                      <c:pt idx="6">
                        <c:v>39988</c:v>
                      </c:pt>
                      <c:pt idx="7">
                        <c:v>4820</c:v>
                      </c:pt>
                      <c:pt idx="8">
                        <c:v>8293</c:v>
                      </c:pt>
                      <c:pt idx="9">
                        <c:v>31525</c:v>
                      </c:pt>
                      <c:pt idx="10">
                        <c:v>26900</c:v>
                      </c:pt>
                      <c:pt idx="11">
                        <c:v>2266</c:v>
                      </c:pt>
                      <c:pt idx="12">
                        <c:v>50271</c:v>
                      </c:pt>
                      <c:pt idx="13">
                        <c:v>30982</c:v>
                      </c:pt>
                      <c:pt idx="14">
                        <c:v>6767</c:v>
                      </c:pt>
                    </c:numCache>
                  </c:numRef>
                </c:val>
                <c:extLst xmlns:c15="http://schemas.microsoft.com/office/drawing/2012/chart">
                  <c:ext xmlns:c16="http://schemas.microsoft.com/office/drawing/2014/chart" uri="{C3380CC4-5D6E-409C-BE32-E72D297353CC}">
                    <c16:uniqueId val="{00000002-C7F0-40E3-AF91-CABC8962577B}"/>
                  </c:ext>
                </c:extLst>
              </c15:ser>
            </c15:filteredBarSeries>
            <c15:filteredBarSeries>
              <c15:ser>
                <c:idx val="3"/>
                <c:order val="3"/>
                <c:tx>
                  <c:strRef>
                    <c:extLst>
                      <c:ext xmlns:c15="http://schemas.microsoft.com/office/drawing/2012/chart" uri="{02D57815-91ED-43cb-92C2-25804820EDAC}">
                        <c15:formulaRef>
                          <c15:sqref>'Pivot &amp; derived tables'!$L$3</c15:sqref>
                        </c15:formulaRef>
                      </c:ext>
                    </c:extLst>
                    <c:strCache>
                      <c:ptCount val="1"/>
                      <c:pt idx="0">
                        <c:v>Income Growth Rate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tables'!$L$4:$L$18</c15:sqref>
                        </c15:formulaRef>
                      </c:ext>
                    </c:extLst>
                    <c:numCache>
                      <c:formatCode>General</c:formatCode>
                      <c:ptCount val="15"/>
                      <c:pt idx="0">
                        <c:v>0</c:v>
                      </c:pt>
                      <c:pt idx="1">
                        <c:v>-37.93</c:v>
                      </c:pt>
                      <c:pt idx="2">
                        <c:v>-41.41</c:v>
                      </c:pt>
                      <c:pt idx="3">
                        <c:v>-1.06</c:v>
                      </c:pt>
                      <c:pt idx="4">
                        <c:v>0</c:v>
                      </c:pt>
                      <c:pt idx="5">
                        <c:v>27.93</c:v>
                      </c:pt>
                      <c:pt idx="6">
                        <c:v>62.05</c:v>
                      </c:pt>
                      <c:pt idx="7">
                        <c:v>-51.69</c:v>
                      </c:pt>
                      <c:pt idx="8">
                        <c:v>20</c:v>
                      </c:pt>
                      <c:pt idx="9">
                        <c:v>40.799999999999997</c:v>
                      </c:pt>
                      <c:pt idx="10">
                        <c:v>-9.41</c:v>
                      </c:pt>
                      <c:pt idx="11">
                        <c:v>-28.79</c:v>
                      </c:pt>
                      <c:pt idx="12">
                        <c:v>118.14</c:v>
                      </c:pt>
                      <c:pt idx="13">
                        <c:v>-14.19</c:v>
                      </c:pt>
                      <c:pt idx="14">
                        <c:v>-48.71</c:v>
                      </c:pt>
                    </c:numCache>
                  </c:numRef>
                </c:val>
                <c:extLst xmlns:c15="http://schemas.microsoft.com/office/drawing/2012/chart">
                  <c:ext xmlns:c16="http://schemas.microsoft.com/office/drawing/2014/chart" uri="{C3380CC4-5D6E-409C-BE32-E72D297353CC}">
                    <c16:uniqueId val="{00000003-C7F0-40E3-AF91-CABC8962577B}"/>
                  </c:ext>
                </c:extLst>
              </c15:ser>
            </c15:filteredBarSeries>
          </c:ext>
        </c:extLst>
      </c:barChart>
      <c:dateAx>
        <c:axId val="1926474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 (month-year)</a:t>
                </a:r>
              </a:p>
            </c:rich>
          </c:tx>
          <c:layout>
            <c:manualLayout>
              <c:xMode val="edge"/>
              <c:yMode val="edge"/>
              <c:x val="0.46721152873359323"/>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387071"/>
        <c:crosses val="autoZero"/>
        <c:auto val="1"/>
        <c:lblOffset val="100"/>
        <c:baseTimeUnit val="months"/>
      </c:dateAx>
      <c:valAx>
        <c:axId val="2106387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5844772495380403E-2"/>
              <c:y val="0.341196048410615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47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Transaction Counts of December</a:t>
            </a:r>
            <a:r>
              <a:rPr lang="en-US" b="1" baseline="0"/>
              <a:t> 2023 E</a:t>
            </a:r>
            <a:r>
              <a:rPr lang="en-US" b="1"/>
              <a:t>xpenses </a:t>
            </a:r>
          </a:p>
          <a:p>
            <a:pPr>
              <a:defRPr/>
            </a:pPr>
            <a:r>
              <a:rPr lang="en-US" b="1"/>
              <a:t>by Category</a:t>
            </a:r>
          </a:p>
        </c:rich>
      </c:tx>
      <c:layout>
        <c:manualLayout>
          <c:xMode val="edge"/>
          <c:yMode val="edge"/>
          <c:x val="0.23999092213926884"/>
          <c:y val="2.4098253120751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'Analysis &amp; Diagnostics'!$K$120</c:f>
              <c:strCache>
                <c:ptCount val="1"/>
                <c:pt idx="0">
                  <c:v>count</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Diagnostics'!$G$121:$G$128</c:f>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f>'Analysis &amp; Diagnostics'!$K$121:$K$128</c:f>
              <c:numCache>
                <c:formatCode>General</c:formatCode>
                <c:ptCount val="8"/>
                <c:pt idx="0">
                  <c:v>6</c:v>
                </c:pt>
                <c:pt idx="1">
                  <c:v>4</c:v>
                </c:pt>
                <c:pt idx="2">
                  <c:v>8</c:v>
                </c:pt>
                <c:pt idx="3">
                  <c:v>23</c:v>
                </c:pt>
                <c:pt idx="4">
                  <c:v>1</c:v>
                </c:pt>
                <c:pt idx="5">
                  <c:v>4</c:v>
                </c:pt>
                <c:pt idx="6">
                  <c:v>15</c:v>
                </c:pt>
                <c:pt idx="7">
                  <c:v>6</c:v>
                </c:pt>
              </c:numCache>
            </c:numRef>
          </c:val>
          <c:extLst xmlns:c15="http://schemas.microsoft.com/office/drawing/2012/chart">
            <c:ext xmlns:c16="http://schemas.microsoft.com/office/drawing/2014/chart" uri="{C3380CC4-5D6E-409C-BE32-E72D297353CC}">
              <c16:uniqueId val="{00000000-9DD8-496A-9492-501A163FE18A}"/>
            </c:ext>
          </c:extLst>
        </c:ser>
        <c:dLbls>
          <c:showLegendKey val="0"/>
          <c:showVal val="0"/>
          <c:showCatName val="0"/>
          <c:showSerName val="0"/>
          <c:showPercent val="0"/>
          <c:showBubbleSize val="0"/>
        </c:dLbls>
        <c:gapWidth val="219"/>
        <c:axId val="252885216"/>
        <c:axId val="252890976"/>
        <c:extLst>
          <c:ext xmlns:c15="http://schemas.microsoft.com/office/drawing/2012/chart" uri="{02D57815-91ED-43cb-92C2-25804820EDAC}">
            <c15:filteredBarSeries>
              <c15:ser>
                <c:idx val="0"/>
                <c:order val="0"/>
                <c:tx>
                  <c:strRef>
                    <c:extLst>
                      <c:ext uri="{02D57815-91ED-43cb-92C2-25804820EDAC}">
                        <c15:formulaRef>
                          <c15:sqref>'Analysis &amp; Diagnostics'!$H$120</c15:sqref>
                        </c15:formulaRef>
                      </c:ext>
                    </c:extLst>
                    <c:strCache>
                      <c:ptCount val="1"/>
                      <c:pt idx="0">
                        <c:v>expense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uri="{02D57815-91ED-43cb-92C2-25804820EDAC}">
                        <c15:formulaRef>
                          <c15:sqref>'Analysis &amp; Diagnostics'!$H$121:$H$128</c15:sqref>
                        </c15:formulaRef>
                      </c:ext>
                    </c:extLst>
                    <c:numCache>
                      <c:formatCode>General</c:formatCode>
                      <c:ptCount val="8"/>
                      <c:pt idx="0">
                        <c:v>11699</c:v>
                      </c:pt>
                      <c:pt idx="1">
                        <c:v>11600</c:v>
                      </c:pt>
                      <c:pt idx="2">
                        <c:v>2166</c:v>
                      </c:pt>
                      <c:pt idx="3">
                        <c:v>1747</c:v>
                      </c:pt>
                      <c:pt idx="4">
                        <c:v>1375</c:v>
                      </c:pt>
                      <c:pt idx="5">
                        <c:v>1244</c:v>
                      </c:pt>
                      <c:pt idx="6">
                        <c:v>1120</c:v>
                      </c:pt>
                      <c:pt idx="7">
                        <c:v>1072</c:v>
                      </c:pt>
                    </c:numCache>
                  </c:numRef>
                </c:val>
                <c:extLst>
                  <c:ext xmlns:c16="http://schemas.microsoft.com/office/drawing/2014/chart" uri="{C3380CC4-5D6E-409C-BE32-E72D297353CC}">
                    <c16:uniqueId val="{00000001-9DD8-496A-9492-501A163FE18A}"/>
                  </c:ext>
                </c:extLst>
              </c15:ser>
            </c15:filteredBarSeries>
            <c15:filteredBarSeries>
              <c15:ser>
                <c:idx val="1"/>
                <c:order val="1"/>
                <c:tx>
                  <c:strRef>
                    <c:extLst>
                      <c:ext xmlns:c15="http://schemas.microsoft.com/office/drawing/2012/chart" uri="{02D57815-91ED-43cb-92C2-25804820EDAC}">
                        <c15:formulaRef>
                          <c15:sqref>'Analysis &amp; Diagnostics'!$I$120</c15:sqref>
                        </c15:formulaRef>
                      </c:ext>
                    </c:extLst>
                    <c:strCache>
                      <c:ptCount val="1"/>
                      <c:pt idx="0">
                        <c:v>expense_propxn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Diagnostics'!$I$121:$I$128</c15:sqref>
                        </c15:formulaRef>
                      </c:ext>
                    </c:extLst>
                    <c:numCache>
                      <c:formatCode>General</c:formatCode>
                      <c:ptCount val="8"/>
                      <c:pt idx="0">
                        <c:v>0.36533116822283984</c:v>
                      </c:pt>
                      <c:pt idx="1">
                        <c:v>0.36223964025856414</c:v>
                      </c:pt>
                      <c:pt idx="2">
                        <c:v>6.7638884551728437E-2</c:v>
                      </c:pt>
                      <c:pt idx="3">
                        <c:v>5.4554538925147542E-2</c:v>
                      </c:pt>
                      <c:pt idx="4">
                        <c:v>4.2937888392717734E-2</c:v>
                      </c:pt>
                      <c:pt idx="5">
                        <c:v>3.8847078662211529E-2</c:v>
                      </c:pt>
                      <c:pt idx="6">
                        <c:v>3.4974861818068262E-2</c:v>
                      </c:pt>
                      <c:pt idx="7">
                        <c:v>3.3475939168722477E-2</c:v>
                      </c:pt>
                    </c:numCache>
                  </c:numRef>
                </c:val>
                <c:extLst xmlns:c15="http://schemas.microsoft.com/office/drawing/2012/chart">
                  <c:ext xmlns:c16="http://schemas.microsoft.com/office/drawing/2014/chart" uri="{C3380CC4-5D6E-409C-BE32-E72D297353CC}">
                    <c16:uniqueId val="{00000002-9DD8-496A-9492-501A163FE18A}"/>
                  </c:ext>
                </c:extLst>
              </c15:ser>
            </c15:filteredBarSeries>
            <c15:filteredBarSeries>
              <c15:ser>
                <c:idx val="2"/>
                <c:order val="2"/>
                <c:tx>
                  <c:strRef>
                    <c:extLst>
                      <c:ext xmlns:c15="http://schemas.microsoft.com/office/drawing/2012/chart" uri="{02D57815-91ED-43cb-92C2-25804820EDAC}">
                        <c15:formulaRef>
                          <c15:sqref>'Analysis &amp; Diagnostics'!$J$120</c15:sqref>
                        </c15:formulaRef>
                      </c:ext>
                    </c:extLst>
                    <c:strCache>
                      <c:ptCount val="1"/>
                      <c:pt idx="0">
                        <c:v>expense_prcnt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Diagnostics'!$J$121:$J$128</c15:sqref>
                        </c15:formulaRef>
                      </c:ext>
                    </c:extLst>
                    <c:numCache>
                      <c:formatCode>General</c:formatCode>
                      <c:ptCount val="8"/>
                      <c:pt idx="0">
                        <c:v>36.53</c:v>
                      </c:pt>
                      <c:pt idx="1">
                        <c:v>36.22</c:v>
                      </c:pt>
                      <c:pt idx="2">
                        <c:v>6.76</c:v>
                      </c:pt>
                      <c:pt idx="3">
                        <c:v>5.46</c:v>
                      </c:pt>
                      <c:pt idx="4">
                        <c:v>4.29</c:v>
                      </c:pt>
                      <c:pt idx="5">
                        <c:v>3.88</c:v>
                      </c:pt>
                      <c:pt idx="6">
                        <c:v>3.5</c:v>
                      </c:pt>
                      <c:pt idx="7">
                        <c:v>3.35</c:v>
                      </c:pt>
                    </c:numCache>
                  </c:numRef>
                </c:val>
                <c:extLst xmlns:c15="http://schemas.microsoft.com/office/drawing/2012/chart">
                  <c:ext xmlns:c16="http://schemas.microsoft.com/office/drawing/2014/chart" uri="{C3380CC4-5D6E-409C-BE32-E72D297353CC}">
                    <c16:uniqueId val="{00000003-9DD8-496A-9492-501A163FE18A}"/>
                  </c:ext>
                </c:extLst>
              </c15:ser>
            </c15:filteredBarSeries>
            <c15:filteredBarSeries>
              <c15:ser>
                <c:idx val="5"/>
                <c:order val="4"/>
                <c:tx>
                  <c:strRef>
                    <c:extLst>
                      <c:ext xmlns:c15="http://schemas.microsoft.com/office/drawing/2012/chart" uri="{02D57815-91ED-43cb-92C2-25804820EDAC}">
                        <c15:formulaRef>
                          <c15:sqref>'Analysis &amp; Diagnostics'!$L$120</c15:sqref>
                        </c15:formulaRef>
                      </c:ext>
                    </c:extLst>
                    <c:strCache>
                      <c:ptCount val="1"/>
                      <c:pt idx="0">
                        <c:v>average_rounded</c:v>
                      </c:pt>
                    </c:strCache>
                  </c:strRef>
                </c:tx>
                <c:spPr>
                  <a:solidFill>
                    <a:schemeClr val="accent6"/>
                  </a:solidFill>
                  <a:ln>
                    <a:noFill/>
                  </a:ln>
                  <a:effectLst/>
                </c:spPr>
                <c:invertIfNegative val="0"/>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Diagnostics'!$L$121:$L$128</c15:sqref>
                        </c15:formulaRef>
                      </c:ext>
                    </c:extLst>
                    <c:numCache>
                      <c:formatCode>General</c:formatCode>
                      <c:ptCount val="8"/>
                      <c:pt idx="0">
                        <c:v>1949.83</c:v>
                      </c:pt>
                      <c:pt idx="1">
                        <c:v>2900</c:v>
                      </c:pt>
                      <c:pt idx="2">
                        <c:v>270.75</c:v>
                      </c:pt>
                      <c:pt idx="3">
                        <c:v>75.959999999999994</c:v>
                      </c:pt>
                      <c:pt idx="4">
                        <c:v>1375</c:v>
                      </c:pt>
                      <c:pt idx="5">
                        <c:v>311</c:v>
                      </c:pt>
                      <c:pt idx="6">
                        <c:v>74.67</c:v>
                      </c:pt>
                      <c:pt idx="7">
                        <c:v>178.67</c:v>
                      </c:pt>
                    </c:numCache>
                  </c:numRef>
                </c:val>
                <c:extLst xmlns:c15="http://schemas.microsoft.com/office/drawing/2012/chart">
                  <c:ext xmlns:c16="http://schemas.microsoft.com/office/drawing/2014/chart" uri="{C3380CC4-5D6E-409C-BE32-E72D297353CC}">
                    <c16:uniqueId val="{00000004-9DD8-496A-9492-501A163FE18A}"/>
                  </c:ext>
                </c:extLst>
              </c15:ser>
            </c15:filteredBarSeries>
          </c:ext>
        </c:extLst>
      </c:barChart>
      <c:catAx>
        <c:axId val="252885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Expenses</a:t>
                </a:r>
                <a:r>
                  <a:rPr lang="en-PH" baseline="0"/>
                  <a:t> Category</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90976"/>
        <c:crosses val="autoZero"/>
        <c:auto val="1"/>
        <c:lblAlgn val="ctr"/>
        <c:lblOffset val="100"/>
        <c:noMultiLvlLbl val="0"/>
      </c:catAx>
      <c:valAx>
        <c:axId val="25289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Count</a:t>
                </a:r>
              </a:p>
            </c:rich>
          </c:tx>
          <c:layout>
            <c:manualLayout>
              <c:xMode val="edge"/>
              <c:yMode val="edge"/>
              <c:x val="1.7004252402018017E-2"/>
              <c:y val="0.403826028303778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8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per Transaction of December</a:t>
            </a:r>
            <a:r>
              <a:rPr lang="en-US" b="1" baseline="0"/>
              <a:t> 2023 E</a:t>
            </a:r>
            <a:r>
              <a:rPr lang="en-US" b="1"/>
              <a:t>xpense </a:t>
            </a:r>
          </a:p>
          <a:p>
            <a:pPr>
              <a:defRPr/>
            </a:pPr>
            <a:r>
              <a:rPr lang="en-US" b="1"/>
              <a:t>by Category</a:t>
            </a:r>
          </a:p>
        </c:rich>
      </c:tx>
      <c:layout>
        <c:manualLayout>
          <c:xMode val="edge"/>
          <c:yMode val="edge"/>
          <c:x val="0.21661003883362229"/>
          <c:y val="2.4098253120751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4"/>
          <c:tx>
            <c:strRef>
              <c:f>'Analysis &amp; Diagnostics'!$L$120</c:f>
              <c:strCache>
                <c:ptCount val="1"/>
                <c:pt idx="0">
                  <c:v>average_rounded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Diagnostics'!$G$121:$G$128</c:f>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f>'Analysis &amp; Diagnostics'!$L$121:$L$128</c:f>
              <c:numCache>
                <c:formatCode>General</c:formatCode>
                <c:ptCount val="8"/>
                <c:pt idx="0">
                  <c:v>1949.83</c:v>
                </c:pt>
                <c:pt idx="1">
                  <c:v>2900</c:v>
                </c:pt>
                <c:pt idx="2">
                  <c:v>270.75</c:v>
                </c:pt>
                <c:pt idx="3">
                  <c:v>75.959999999999994</c:v>
                </c:pt>
                <c:pt idx="4">
                  <c:v>1375</c:v>
                </c:pt>
                <c:pt idx="5">
                  <c:v>311</c:v>
                </c:pt>
                <c:pt idx="6">
                  <c:v>74.67</c:v>
                </c:pt>
                <c:pt idx="7">
                  <c:v>178.67</c:v>
                </c:pt>
              </c:numCache>
            </c:numRef>
          </c:val>
          <c:extLst xmlns:c15="http://schemas.microsoft.com/office/drawing/2012/chart">
            <c:ext xmlns:c16="http://schemas.microsoft.com/office/drawing/2014/chart" uri="{C3380CC4-5D6E-409C-BE32-E72D297353CC}">
              <c16:uniqueId val="{00000000-303C-44DC-9D91-23A571D52E26}"/>
            </c:ext>
          </c:extLst>
        </c:ser>
        <c:dLbls>
          <c:dLblPos val="outEnd"/>
          <c:showLegendKey val="0"/>
          <c:showVal val="1"/>
          <c:showCatName val="0"/>
          <c:showSerName val="0"/>
          <c:showPercent val="0"/>
          <c:showBubbleSize val="0"/>
        </c:dLbls>
        <c:gapWidth val="219"/>
        <c:axId val="252885216"/>
        <c:axId val="252890976"/>
        <c:extLst>
          <c:ext xmlns:c15="http://schemas.microsoft.com/office/drawing/2012/chart" uri="{02D57815-91ED-43cb-92C2-25804820EDAC}">
            <c15:filteredBarSeries>
              <c15:ser>
                <c:idx val="0"/>
                <c:order val="0"/>
                <c:tx>
                  <c:strRef>
                    <c:extLst>
                      <c:ext uri="{02D57815-91ED-43cb-92C2-25804820EDAC}">
                        <c15:formulaRef>
                          <c15:sqref>'Analysis &amp; Diagnostics'!$H$120</c15:sqref>
                        </c15:formulaRef>
                      </c:ext>
                    </c:extLst>
                    <c:strCache>
                      <c:ptCount val="1"/>
                      <c:pt idx="0">
                        <c:v>expense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uri="{02D57815-91ED-43cb-92C2-25804820EDAC}">
                        <c15:formulaRef>
                          <c15:sqref>'Analysis &amp; Diagnostics'!$H$121:$H$128</c15:sqref>
                        </c15:formulaRef>
                      </c:ext>
                    </c:extLst>
                    <c:numCache>
                      <c:formatCode>General</c:formatCode>
                      <c:ptCount val="8"/>
                      <c:pt idx="0">
                        <c:v>11699</c:v>
                      </c:pt>
                      <c:pt idx="1">
                        <c:v>11600</c:v>
                      </c:pt>
                      <c:pt idx="2">
                        <c:v>2166</c:v>
                      </c:pt>
                      <c:pt idx="3">
                        <c:v>1747</c:v>
                      </c:pt>
                      <c:pt idx="4">
                        <c:v>1375</c:v>
                      </c:pt>
                      <c:pt idx="5">
                        <c:v>1244</c:v>
                      </c:pt>
                      <c:pt idx="6">
                        <c:v>1120</c:v>
                      </c:pt>
                      <c:pt idx="7">
                        <c:v>1072</c:v>
                      </c:pt>
                    </c:numCache>
                  </c:numRef>
                </c:val>
                <c:extLst>
                  <c:ext xmlns:c16="http://schemas.microsoft.com/office/drawing/2014/chart" uri="{C3380CC4-5D6E-409C-BE32-E72D297353CC}">
                    <c16:uniqueId val="{00000001-303C-44DC-9D91-23A571D52E26}"/>
                  </c:ext>
                </c:extLst>
              </c15:ser>
            </c15:filteredBarSeries>
            <c15:filteredBarSeries>
              <c15:ser>
                <c:idx val="1"/>
                <c:order val="1"/>
                <c:tx>
                  <c:strRef>
                    <c:extLst>
                      <c:ext xmlns:c15="http://schemas.microsoft.com/office/drawing/2012/chart" uri="{02D57815-91ED-43cb-92C2-25804820EDAC}">
                        <c15:formulaRef>
                          <c15:sqref>'Analysis &amp; Diagnostics'!$I$120</c15:sqref>
                        </c15:formulaRef>
                      </c:ext>
                    </c:extLst>
                    <c:strCache>
                      <c:ptCount val="1"/>
                      <c:pt idx="0">
                        <c:v>expense_propxn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Diagnostics'!$I$121:$I$128</c15:sqref>
                        </c15:formulaRef>
                      </c:ext>
                    </c:extLst>
                    <c:numCache>
                      <c:formatCode>General</c:formatCode>
                      <c:ptCount val="8"/>
                      <c:pt idx="0">
                        <c:v>0.36533116822283984</c:v>
                      </c:pt>
                      <c:pt idx="1">
                        <c:v>0.36223964025856414</c:v>
                      </c:pt>
                      <c:pt idx="2">
                        <c:v>6.7638884551728437E-2</c:v>
                      </c:pt>
                      <c:pt idx="3">
                        <c:v>5.4554538925147542E-2</c:v>
                      </c:pt>
                      <c:pt idx="4">
                        <c:v>4.2937888392717734E-2</c:v>
                      </c:pt>
                      <c:pt idx="5">
                        <c:v>3.8847078662211529E-2</c:v>
                      </c:pt>
                      <c:pt idx="6">
                        <c:v>3.4974861818068262E-2</c:v>
                      </c:pt>
                      <c:pt idx="7">
                        <c:v>3.3475939168722477E-2</c:v>
                      </c:pt>
                    </c:numCache>
                  </c:numRef>
                </c:val>
                <c:extLst xmlns:c15="http://schemas.microsoft.com/office/drawing/2012/chart">
                  <c:ext xmlns:c16="http://schemas.microsoft.com/office/drawing/2014/chart" uri="{C3380CC4-5D6E-409C-BE32-E72D297353CC}">
                    <c16:uniqueId val="{00000002-303C-44DC-9D91-23A571D52E26}"/>
                  </c:ext>
                </c:extLst>
              </c15:ser>
            </c15:filteredBarSeries>
            <c15:filteredBarSeries>
              <c15:ser>
                <c:idx val="2"/>
                <c:order val="2"/>
                <c:tx>
                  <c:strRef>
                    <c:extLst>
                      <c:ext xmlns:c15="http://schemas.microsoft.com/office/drawing/2012/chart" uri="{02D57815-91ED-43cb-92C2-25804820EDAC}">
                        <c15:formulaRef>
                          <c15:sqref>'Analysis &amp; Diagnostics'!$J$120</c15:sqref>
                        </c15:formulaRef>
                      </c:ext>
                    </c:extLst>
                    <c:strCache>
                      <c:ptCount val="1"/>
                      <c:pt idx="0">
                        <c:v>expense_prcnt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Diagnostics'!$J$121:$J$128</c15:sqref>
                        </c15:formulaRef>
                      </c:ext>
                    </c:extLst>
                    <c:numCache>
                      <c:formatCode>General</c:formatCode>
                      <c:ptCount val="8"/>
                      <c:pt idx="0">
                        <c:v>36.53</c:v>
                      </c:pt>
                      <c:pt idx="1">
                        <c:v>36.22</c:v>
                      </c:pt>
                      <c:pt idx="2">
                        <c:v>6.76</c:v>
                      </c:pt>
                      <c:pt idx="3">
                        <c:v>5.46</c:v>
                      </c:pt>
                      <c:pt idx="4">
                        <c:v>4.29</c:v>
                      </c:pt>
                      <c:pt idx="5">
                        <c:v>3.88</c:v>
                      </c:pt>
                      <c:pt idx="6">
                        <c:v>3.5</c:v>
                      </c:pt>
                      <c:pt idx="7">
                        <c:v>3.35</c:v>
                      </c:pt>
                    </c:numCache>
                  </c:numRef>
                </c:val>
                <c:extLst xmlns:c15="http://schemas.microsoft.com/office/drawing/2012/chart">
                  <c:ext xmlns:c16="http://schemas.microsoft.com/office/drawing/2014/chart" uri="{C3380CC4-5D6E-409C-BE32-E72D297353CC}">
                    <c16:uniqueId val="{00000003-303C-44DC-9D91-23A571D52E26}"/>
                  </c:ext>
                </c:extLst>
              </c15:ser>
            </c15:filteredBarSeries>
            <c15:filteredBarSeries>
              <c15:ser>
                <c:idx val="3"/>
                <c:order val="3"/>
                <c:tx>
                  <c:strRef>
                    <c:extLst>
                      <c:ext xmlns:c15="http://schemas.microsoft.com/office/drawing/2012/chart" uri="{02D57815-91ED-43cb-92C2-25804820EDAC}">
                        <c15:formulaRef>
                          <c15:sqref>'Analysis &amp; Diagnostics'!$K$120</c15:sqref>
                        </c15:formulaRef>
                      </c:ext>
                    </c:extLst>
                    <c:strCache>
                      <c:ptCount val="1"/>
                      <c:pt idx="0">
                        <c:v>count</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Diagnostics'!$K$121:$K$128</c15:sqref>
                        </c15:formulaRef>
                      </c:ext>
                    </c:extLst>
                    <c:numCache>
                      <c:formatCode>General</c:formatCode>
                      <c:ptCount val="8"/>
                      <c:pt idx="0">
                        <c:v>6</c:v>
                      </c:pt>
                      <c:pt idx="1">
                        <c:v>4</c:v>
                      </c:pt>
                      <c:pt idx="2">
                        <c:v>8</c:v>
                      </c:pt>
                      <c:pt idx="3">
                        <c:v>23</c:v>
                      </c:pt>
                      <c:pt idx="4">
                        <c:v>1</c:v>
                      </c:pt>
                      <c:pt idx="5">
                        <c:v>4</c:v>
                      </c:pt>
                      <c:pt idx="6">
                        <c:v>15</c:v>
                      </c:pt>
                      <c:pt idx="7">
                        <c:v>6</c:v>
                      </c:pt>
                    </c:numCache>
                  </c:numRef>
                </c:val>
                <c:extLst xmlns:c15="http://schemas.microsoft.com/office/drawing/2012/chart">
                  <c:ext xmlns:c16="http://schemas.microsoft.com/office/drawing/2014/chart" uri="{C3380CC4-5D6E-409C-BE32-E72D297353CC}">
                    <c16:uniqueId val="{00000004-303C-44DC-9D91-23A571D52E26}"/>
                  </c:ext>
                </c:extLst>
              </c15:ser>
            </c15:filteredBarSeries>
          </c:ext>
        </c:extLst>
      </c:barChart>
      <c:catAx>
        <c:axId val="252885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Expenses</a:t>
                </a:r>
                <a:r>
                  <a:rPr lang="en-PH" baseline="0"/>
                  <a:t> Category</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90976"/>
        <c:crosses val="autoZero"/>
        <c:auto val="1"/>
        <c:lblAlgn val="ctr"/>
        <c:lblOffset val="100"/>
        <c:noMultiLvlLbl val="0"/>
      </c:catAx>
      <c:valAx>
        <c:axId val="25289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700424955610708E-2"/>
              <c:y val="0.344951573442985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8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Percentage of December</a:t>
            </a:r>
            <a:r>
              <a:rPr lang="en-US" b="1" baseline="0"/>
              <a:t> 2023 E</a:t>
            </a:r>
            <a:r>
              <a:rPr lang="en-US" b="1"/>
              <a:t>xpenses </a:t>
            </a:r>
          </a:p>
          <a:p>
            <a:pPr>
              <a:defRPr/>
            </a:pPr>
            <a:r>
              <a:rPr lang="en-US" b="1"/>
              <a:t>by Category</a:t>
            </a:r>
          </a:p>
        </c:rich>
      </c:tx>
      <c:layout>
        <c:manualLayout>
          <c:xMode val="edge"/>
          <c:yMode val="edge"/>
          <c:x val="0.23999092213926884"/>
          <c:y val="2.4098253120751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'Analysis &amp; Diagnostics'!$J$120</c:f>
              <c:strCache>
                <c:ptCount val="1"/>
                <c:pt idx="0">
                  <c:v>expense_prcnt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Diagnostics'!$G$121:$G$128</c:f>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f>'Analysis &amp; Diagnostics'!$J$121:$J$128</c:f>
              <c:numCache>
                <c:formatCode>General</c:formatCode>
                <c:ptCount val="8"/>
                <c:pt idx="0">
                  <c:v>36.53</c:v>
                </c:pt>
                <c:pt idx="1">
                  <c:v>36.22</c:v>
                </c:pt>
                <c:pt idx="2">
                  <c:v>6.76</c:v>
                </c:pt>
                <c:pt idx="3">
                  <c:v>5.46</c:v>
                </c:pt>
                <c:pt idx="4">
                  <c:v>4.29</c:v>
                </c:pt>
                <c:pt idx="5">
                  <c:v>3.88</c:v>
                </c:pt>
                <c:pt idx="6">
                  <c:v>3.5</c:v>
                </c:pt>
                <c:pt idx="7">
                  <c:v>3.35</c:v>
                </c:pt>
              </c:numCache>
            </c:numRef>
          </c:val>
          <c:extLst xmlns:c15="http://schemas.microsoft.com/office/drawing/2012/chart">
            <c:ext xmlns:c16="http://schemas.microsoft.com/office/drawing/2014/chart" uri="{C3380CC4-5D6E-409C-BE32-E72D297353CC}">
              <c16:uniqueId val="{00000000-5C5B-4CA1-A481-FF4B181572E9}"/>
            </c:ext>
          </c:extLst>
        </c:ser>
        <c:dLbls>
          <c:showLegendKey val="0"/>
          <c:showVal val="0"/>
          <c:showCatName val="0"/>
          <c:showSerName val="0"/>
          <c:showPercent val="0"/>
          <c:showBubbleSize val="0"/>
        </c:dLbls>
        <c:gapWidth val="219"/>
        <c:axId val="252885216"/>
        <c:axId val="252890976"/>
        <c:extLst>
          <c:ext xmlns:c15="http://schemas.microsoft.com/office/drawing/2012/chart" uri="{02D57815-91ED-43cb-92C2-25804820EDAC}">
            <c15:filteredBarSeries>
              <c15:ser>
                <c:idx val="0"/>
                <c:order val="0"/>
                <c:tx>
                  <c:strRef>
                    <c:extLst>
                      <c:ext uri="{02D57815-91ED-43cb-92C2-25804820EDAC}">
                        <c15:formulaRef>
                          <c15:sqref>'Analysis &amp; Diagnostics'!$H$120</c15:sqref>
                        </c15:formulaRef>
                      </c:ext>
                    </c:extLst>
                    <c:strCache>
                      <c:ptCount val="1"/>
                      <c:pt idx="0">
                        <c:v>expense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uri="{02D57815-91ED-43cb-92C2-25804820EDAC}">
                        <c15:formulaRef>
                          <c15:sqref>'Analysis &amp; Diagnostics'!$H$121:$H$128</c15:sqref>
                        </c15:formulaRef>
                      </c:ext>
                    </c:extLst>
                    <c:numCache>
                      <c:formatCode>General</c:formatCode>
                      <c:ptCount val="8"/>
                      <c:pt idx="0">
                        <c:v>11699</c:v>
                      </c:pt>
                      <c:pt idx="1">
                        <c:v>11600</c:v>
                      </c:pt>
                      <c:pt idx="2">
                        <c:v>2166</c:v>
                      </c:pt>
                      <c:pt idx="3">
                        <c:v>1747</c:v>
                      </c:pt>
                      <c:pt idx="4">
                        <c:v>1375</c:v>
                      </c:pt>
                      <c:pt idx="5">
                        <c:v>1244</c:v>
                      </c:pt>
                      <c:pt idx="6">
                        <c:v>1120</c:v>
                      </c:pt>
                      <c:pt idx="7">
                        <c:v>1072</c:v>
                      </c:pt>
                    </c:numCache>
                  </c:numRef>
                </c:val>
                <c:extLst>
                  <c:ext xmlns:c16="http://schemas.microsoft.com/office/drawing/2014/chart" uri="{C3380CC4-5D6E-409C-BE32-E72D297353CC}">
                    <c16:uniqueId val="{00000001-5C5B-4CA1-A481-FF4B181572E9}"/>
                  </c:ext>
                </c:extLst>
              </c15:ser>
            </c15:filteredBarSeries>
            <c15:filteredBarSeries>
              <c15:ser>
                <c:idx val="1"/>
                <c:order val="1"/>
                <c:tx>
                  <c:strRef>
                    <c:extLst>
                      <c:ext xmlns:c15="http://schemas.microsoft.com/office/drawing/2012/chart" uri="{02D57815-91ED-43cb-92C2-25804820EDAC}">
                        <c15:formulaRef>
                          <c15:sqref>'Analysis &amp; Diagnostics'!$I$120</c15:sqref>
                        </c15:formulaRef>
                      </c:ext>
                    </c:extLst>
                    <c:strCache>
                      <c:ptCount val="1"/>
                      <c:pt idx="0">
                        <c:v>expense_propxn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Diagnostics'!$I$121:$I$128</c15:sqref>
                        </c15:formulaRef>
                      </c:ext>
                    </c:extLst>
                    <c:numCache>
                      <c:formatCode>General</c:formatCode>
                      <c:ptCount val="8"/>
                      <c:pt idx="0">
                        <c:v>0.36533116822283984</c:v>
                      </c:pt>
                      <c:pt idx="1">
                        <c:v>0.36223964025856414</c:v>
                      </c:pt>
                      <c:pt idx="2">
                        <c:v>6.7638884551728437E-2</c:v>
                      </c:pt>
                      <c:pt idx="3">
                        <c:v>5.4554538925147542E-2</c:v>
                      </c:pt>
                      <c:pt idx="4">
                        <c:v>4.2937888392717734E-2</c:v>
                      </c:pt>
                      <c:pt idx="5">
                        <c:v>3.8847078662211529E-2</c:v>
                      </c:pt>
                      <c:pt idx="6">
                        <c:v>3.4974861818068262E-2</c:v>
                      </c:pt>
                      <c:pt idx="7">
                        <c:v>3.3475939168722477E-2</c:v>
                      </c:pt>
                    </c:numCache>
                  </c:numRef>
                </c:val>
                <c:extLst xmlns:c15="http://schemas.microsoft.com/office/drawing/2012/chart">
                  <c:ext xmlns:c16="http://schemas.microsoft.com/office/drawing/2014/chart" uri="{C3380CC4-5D6E-409C-BE32-E72D297353CC}">
                    <c16:uniqueId val="{00000002-5C5B-4CA1-A481-FF4B181572E9}"/>
                  </c:ext>
                </c:extLst>
              </c15:ser>
            </c15:filteredBarSeries>
            <c15:filteredBarSeries>
              <c15:ser>
                <c:idx val="3"/>
                <c:order val="3"/>
                <c:tx>
                  <c:strRef>
                    <c:extLst>
                      <c:ext xmlns:c15="http://schemas.microsoft.com/office/drawing/2012/chart" uri="{02D57815-91ED-43cb-92C2-25804820EDAC}">
                        <c15:formulaRef>
                          <c15:sqref>'Analysis &amp; Diagnostics'!$K$120</c15:sqref>
                        </c15:formulaRef>
                      </c:ext>
                    </c:extLst>
                    <c:strCache>
                      <c:ptCount val="1"/>
                      <c:pt idx="0">
                        <c:v>count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Diagnostics'!$K$121:$K$128</c15:sqref>
                        </c15:formulaRef>
                      </c:ext>
                    </c:extLst>
                    <c:numCache>
                      <c:formatCode>General</c:formatCode>
                      <c:ptCount val="8"/>
                      <c:pt idx="0">
                        <c:v>6</c:v>
                      </c:pt>
                      <c:pt idx="1">
                        <c:v>4</c:v>
                      </c:pt>
                      <c:pt idx="2">
                        <c:v>8</c:v>
                      </c:pt>
                      <c:pt idx="3">
                        <c:v>23</c:v>
                      </c:pt>
                      <c:pt idx="4">
                        <c:v>1</c:v>
                      </c:pt>
                      <c:pt idx="5">
                        <c:v>4</c:v>
                      </c:pt>
                      <c:pt idx="6">
                        <c:v>15</c:v>
                      </c:pt>
                      <c:pt idx="7">
                        <c:v>6</c:v>
                      </c:pt>
                    </c:numCache>
                  </c:numRef>
                </c:val>
                <c:extLst xmlns:c15="http://schemas.microsoft.com/office/drawing/2012/chart">
                  <c:ext xmlns:c16="http://schemas.microsoft.com/office/drawing/2014/chart" uri="{C3380CC4-5D6E-409C-BE32-E72D297353CC}">
                    <c16:uniqueId val="{00000003-5C5B-4CA1-A481-FF4B181572E9}"/>
                  </c:ext>
                </c:extLst>
              </c15:ser>
            </c15:filteredBarSeries>
            <c15:filteredBarSeries>
              <c15:ser>
                <c:idx val="5"/>
                <c:order val="4"/>
                <c:tx>
                  <c:strRef>
                    <c:extLst>
                      <c:ext xmlns:c15="http://schemas.microsoft.com/office/drawing/2012/chart" uri="{02D57815-91ED-43cb-92C2-25804820EDAC}">
                        <c15:formulaRef>
                          <c15:sqref>'Analysis &amp; Diagnostics'!$L$120</c15:sqref>
                        </c15:formulaRef>
                      </c:ext>
                    </c:extLst>
                    <c:strCache>
                      <c:ptCount val="1"/>
                      <c:pt idx="0">
                        <c:v>average_rounded</c:v>
                      </c:pt>
                    </c:strCache>
                  </c:strRef>
                </c:tx>
                <c:spPr>
                  <a:solidFill>
                    <a:schemeClr val="accent6"/>
                  </a:solidFill>
                  <a:ln>
                    <a:noFill/>
                  </a:ln>
                  <a:effectLst/>
                </c:spPr>
                <c:invertIfNegative val="0"/>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Diagnostics'!$L$121:$L$128</c15:sqref>
                        </c15:formulaRef>
                      </c:ext>
                    </c:extLst>
                    <c:numCache>
                      <c:formatCode>General</c:formatCode>
                      <c:ptCount val="8"/>
                      <c:pt idx="0">
                        <c:v>1949.83</c:v>
                      </c:pt>
                      <c:pt idx="1">
                        <c:v>2900</c:v>
                      </c:pt>
                      <c:pt idx="2">
                        <c:v>270.75</c:v>
                      </c:pt>
                      <c:pt idx="3">
                        <c:v>75.959999999999994</c:v>
                      </c:pt>
                      <c:pt idx="4">
                        <c:v>1375</c:v>
                      </c:pt>
                      <c:pt idx="5">
                        <c:v>311</c:v>
                      </c:pt>
                      <c:pt idx="6">
                        <c:v>74.67</c:v>
                      </c:pt>
                      <c:pt idx="7">
                        <c:v>178.67</c:v>
                      </c:pt>
                    </c:numCache>
                  </c:numRef>
                </c:val>
                <c:extLst xmlns:c15="http://schemas.microsoft.com/office/drawing/2012/chart">
                  <c:ext xmlns:c16="http://schemas.microsoft.com/office/drawing/2014/chart" uri="{C3380CC4-5D6E-409C-BE32-E72D297353CC}">
                    <c16:uniqueId val="{00000004-5C5B-4CA1-A481-FF4B181572E9}"/>
                  </c:ext>
                </c:extLst>
              </c15:ser>
            </c15:filteredBarSeries>
          </c:ext>
        </c:extLst>
      </c:barChart>
      <c:catAx>
        <c:axId val="252885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Expenses</a:t>
                </a:r>
                <a:r>
                  <a:rPr lang="en-PH" baseline="0"/>
                  <a:t> Category</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90976"/>
        <c:crosses val="autoZero"/>
        <c:auto val="1"/>
        <c:lblAlgn val="ctr"/>
        <c:lblOffset val="100"/>
        <c:noMultiLvlLbl val="0"/>
      </c:catAx>
      <c:valAx>
        <c:axId val="25289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Percentage</a:t>
                </a:r>
              </a:p>
            </c:rich>
          </c:tx>
          <c:layout>
            <c:manualLayout>
              <c:xMode val="edge"/>
              <c:yMode val="edge"/>
              <c:x val="1.700416956196053E-2"/>
              <c:y val="0.355990533729383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8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Expenses per </a:t>
            </a:r>
            <a:r>
              <a:rPr lang="en-US" b="1"/>
              <a:t>G-cash Transaction Detail</a:t>
            </a:r>
          </a:p>
        </c:rich>
      </c:tx>
      <c:layout>
        <c:manualLayout>
          <c:xMode val="edge"/>
          <c:yMode val="edge"/>
          <c:x val="0.26615600600600597"/>
          <c:y val="2.1230357739886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&amp; derived tables'!$Y$32</c:f>
              <c:strCache>
                <c:ptCount val="1"/>
                <c:pt idx="0">
                  <c:v>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tables'!$X$33:$X$47</c:f>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f>'Pivot &amp; derived tables'!$Y$33:$Y$47</c:f>
              <c:numCache>
                <c:formatCode>General</c:formatCode>
                <c:ptCount val="15"/>
                <c:pt idx="0">
                  <c:v>1000</c:v>
                </c:pt>
                <c:pt idx="1">
                  <c:v>125</c:v>
                </c:pt>
                <c:pt idx="2">
                  <c:v>1960</c:v>
                </c:pt>
                <c:pt idx="3">
                  <c:v>258</c:v>
                </c:pt>
                <c:pt idx="4">
                  <c:v>399</c:v>
                </c:pt>
                <c:pt idx="5">
                  <c:v>500</c:v>
                </c:pt>
                <c:pt idx="6">
                  <c:v>150</c:v>
                </c:pt>
                <c:pt idx="7">
                  <c:v>2823</c:v>
                </c:pt>
                <c:pt idx="8">
                  <c:v>1705</c:v>
                </c:pt>
                <c:pt idx="9">
                  <c:v>6154</c:v>
                </c:pt>
                <c:pt idx="10">
                  <c:v>650</c:v>
                </c:pt>
                <c:pt idx="11">
                  <c:v>3981</c:v>
                </c:pt>
                <c:pt idx="12">
                  <c:v>4494</c:v>
                </c:pt>
                <c:pt idx="13">
                  <c:v>1290</c:v>
                </c:pt>
                <c:pt idx="14">
                  <c:v>15</c:v>
                </c:pt>
              </c:numCache>
            </c:numRef>
          </c:val>
          <c:extLst>
            <c:ext xmlns:c16="http://schemas.microsoft.com/office/drawing/2014/chart" uri="{C3380CC4-5D6E-409C-BE32-E72D297353CC}">
              <c16:uniqueId val="{00000000-4AC6-484D-88C1-2CC962190FAF}"/>
            </c:ext>
          </c:extLst>
        </c:ser>
        <c:dLbls>
          <c:dLblPos val="outEnd"/>
          <c:showLegendKey val="0"/>
          <c:showVal val="1"/>
          <c:showCatName val="0"/>
          <c:showSerName val="0"/>
          <c:showPercent val="0"/>
          <c:showBubbleSize val="0"/>
        </c:dLbls>
        <c:gapWidth val="219"/>
        <c:overlap val="-27"/>
        <c:axId val="519909024"/>
        <c:axId val="519904704"/>
        <c:extLst>
          <c:ext xmlns:c15="http://schemas.microsoft.com/office/drawing/2012/chart" uri="{02D57815-91ED-43cb-92C2-25804820EDAC}">
            <c15:filteredBarSeries>
              <c15:ser>
                <c:idx val="1"/>
                <c:order val="1"/>
                <c:tx>
                  <c:strRef>
                    <c:extLst>
                      <c:ext uri="{02D57815-91ED-43cb-92C2-25804820EDAC}">
                        <c15:formulaRef>
                          <c15:sqref>'Pivot &amp; derived tables'!$Z$32</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uri="{02D57815-91ED-43cb-92C2-25804820EDAC}">
                        <c15:formulaRef>
                          <c15:sqref>'Pivot &amp; derived tables'!$Z$33:$Z$47</c15:sqref>
                        </c15:formulaRef>
                      </c:ext>
                    </c:extLst>
                    <c:numCache>
                      <c:formatCode>General</c:formatCode>
                      <c:ptCount val="15"/>
                      <c:pt idx="0">
                        <c:v>1</c:v>
                      </c:pt>
                      <c:pt idx="1">
                        <c:v>1</c:v>
                      </c:pt>
                      <c:pt idx="2">
                        <c:v>7</c:v>
                      </c:pt>
                      <c:pt idx="3">
                        <c:v>2</c:v>
                      </c:pt>
                      <c:pt idx="4">
                        <c:v>1</c:v>
                      </c:pt>
                      <c:pt idx="5">
                        <c:v>1</c:v>
                      </c:pt>
                      <c:pt idx="6">
                        <c:v>1</c:v>
                      </c:pt>
                      <c:pt idx="7">
                        <c:v>12</c:v>
                      </c:pt>
                      <c:pt idx="8">
                        <c:v>7</c:v>
                      </c:pt>
                      <c:pt idx="9">
                        <c:v>66</c:v>
                      </c:pt>
                      <c:pt idx="10">
                        <c:v>1</c:v>
                      </c:pt>
                      <c:pt idx="11">
                        <c:v>20</c:v>
                      </c:pt>
                      <c:pt idx="12">
                        <c:v>7</c:v>
                      </c:pt>
                      <c:pt idx="13">
                        <c:v>10</c:v>
                      </c:pt>
                      <c:pt idx="14">
                        <c:v>1</c:v>
                      </c:pt>
                    </c:numCache>
                  </c:numRef>
                </c:val>
                <c:extLst>
                  <c:ext xmlns:c16="http://schemas.microsoft.com/office/drawing/2014/chart" uri="{C3380CC4-5D6E-409C-BE32-E72D297353CC}">
                    <c16:uniqueId val="{00000001-4AC6-484D-88C1-2CC962190FAF}"/>
                  </c:ext>
                </c:extLst>
              </c15:ser>
            </c15:filteredBarSeries>
            <c15:filteredBarSeries>
              <c15:ser>
                <c:idx val="2"/>
                <c:order val="2"/>
                <c:tx>
                  <c:strRef>
                    <c:extLst>
                      <c:ext xmlns:c15="http://schemas.microsoft.com/office/drawing/2012/chart" uri="{02D57815-91ED-43cb-92C2-25804820EDAC}">
                        <c15:formulaRef>
                          <c15:sqref>'Pivot &amp; derived tables'!$AA$32</c15:sqref>
                        </c15:formulaRef>
                      </c:ext>
                    </c:extLst>
                    <c:strCache>
                      <c:ptCount val="1"/>
                      <c:pt idx="0">
                        <c:v>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tables'!$AA$33:$AA$47</c15:sqref>
                        </c15:formulaRef>
                      </c:ext>
                    </c:extLst>
                    <c:numCache>
                      <c:formatCode>General</c:formatCode>
                      <c:ptCount val="15"/>
                      <c:pt idx="0">
                        <c:v>1000</c:v>
                      </c:pt>
                      <c:pt idx="1">
                        <c:v>125</c:v>
                      </c:pt>
                      <c:pt idx="2">
                        <c:v>280</c:v>
                      </c:pt>
                      <c:pt idx="3">
                        <c:v>129</c:v>
                      </c:pt>
                      <c:pt idx="4">
                        <c:v>399</c:v>
                      </c:pt>
                      <c:pt idx="5">
                        <c:v>500</c:v>
                      </c:pt>
                      <c:pt idx="6">
                        <c:v>150</c:v>
                      </c:pt>
                      <c:pt idx="7">
                        <c:v>235.25</c:v>
                      </c:pt>
                      <c:pt idx="8">
                        <c:v>243.57</c:v>
                      </c:pt>
                      <c:pt idx="9">
                        <c:v>93.24</c:v>
                      </c:pt>
                      <c:pt idx="10">
                        <c:v>650</c:v>
                      </c:pt>
                      <c:pt idx="11">
                        <c:v>199.05</c:v>
                      </c:pt>
                      <c:pt idx="12">
                        <c:v>642</c:v>
                      </c:pt>
                      <c:pt idx="13">
                        <c:v>129</c:v>
                      </c:pt>
                      <c:pt idx="14">
                        <c:v>15</c:v>
                      </c:pt>
                    </c:numCache>
                  </c:numRef>
                </c:val>
                <c:extLst xmlns:c15="http://schemas.microsoft.com/office/drawing/2012/chart">
                  <c:ext xmlns:c16="http://schemas.microsoft.com/office/drawing/2014/chart" uri="{C3380CC4-5D6E-409C-BE32-E72D297353CC}">
                    <c16:uniqueId val="{00000002-4AC6-484D-88C1-2CC962190FAF}"/>
                  </c:ext>
                </c:extLst>
              </c15:ser>
            </c15:filteredBarSeries>
            <c15:filteredBarSeries>
              <c15:ser>
                <c:idx val="3"/>
                <c:order val="3"/>
                <c:tx>
                  <c:strRef>
                    <c:extLst>
                      <c:ext xmlns:c15="http://schemas.microsoft.com/office/drawing/2012/chart" uri="{02D57815-91ED-43cb-92C2-25804820EDAC}">
                        <c15:formulaRef>
                          <c15:sqref>'Pivot &amp; derived tables'!$AB$32</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tables'!$AB$33:$AB$47</c15:sqref>
                        </c15:formulaRef>
                      </c:ext>
                    </c:extLst>
                    <c:numCache>
                      <c:formatCode>General</c:formatCode>
                      <c:ptCount val="15"/>
                      <c:pt idx="0">
                        <c:v>3.92</c:v>
                      </c:pt>
                      <c:pt idx="1">
                        <c:v>0.49</c:v>
                      </c:pt>
                      <c:pt idx="2">
                        <c:v>7.69</c:v>
                      </c:pt>
                      <c:pt idx="3">
                        <c:v>1.01</c:v>
                      </c:pt>
                      <c:pt idx="4">
                        <c:v>1.56</c:v>
                      </c:pt>
                      <c:pt idx="5">
                        <c:v>1.96</c:v>
                      </c:pt>
                      <c:pt idx="6">
                        <c:v>0.59</c:v>
                      </c:pt>
                      <c:pt idx="7">
                        <c:v>11.07</c:v>
                      </c:pt>
                      <c:pt idx="8">
                        <c:v>6.69</c:v>
                      </c:pt>
                      <c:pt idx="9">
                        <c:v>24.13</c:v>
                      </c:pt>
                      <c:pt idx="10">
                        <c:v>2.5499999999999998</c:v>
                      </c:pt>
                      <c:pt idx="11">
                        <c:v>15.61</c:v>
                      </c:pt>
                      <c:pt idx="12">
                        <c:v>17.62</c:v>
                      </c:pt>
                      <c:pt idx="13">
                        <c:v>5.0599999999999996</c:v>
                      </c:pt>
                      <c:pt idx="14">
                        <c:v>0.06</c:v>
                      </c:pt>
                    </c:numCache>
                  </c:numRef>
                </c:val>
                <c:extLst xmlns:c15="http://schemas.microsoft.com/office/drawing/2012/chart">
                  <c:ext xmlns:c16="http://schemas.microsoft.com/office/drawing/2014/chart" uri="{C3380CC4-5D6E-409C-BE32-E72D297353CC}">
                    <c16:uniqueId val="{00000003-4AC6-484D-88C1-2CC962190FAF}"/>
                  </c:ext>
                </c:extLst>
              </c15:ser>
            </c15:filteredBarSeries>
          </c:ext>
        </c:extLst>
      </c:barChart>
      <c:catAx>
        <c:axId val="51990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a:t>
                </a:r>
                <a:endParaRPr lang="en-PH"/>
              </a:p>
            </c:rich>
          </c:tx>
          <c:layout>
            <c:manualLayout>
              <c:xMode val="edge"/>
              <c:yMode val="edge"/>
              <c:x val="0.43179864864864864"/>
              <c:y val="0.90727627326423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4704"/>
        <c:crosses val="autoZero"/>
        <c:auto val="1"/>
        <c:lblAlgn val="ctr"/>
        <c:lblOffset val="100"/>
        <c:noMultiLvlLbl val="0"/>
      </c:catAx>
      <c:valAx>
        <c:axId val="51990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7162162162162164E-2"/>
              <c:y val="0.258881366321185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Purchases per </a:t>
            </a:r>
            <a:r>
              <a:rPr lang="en-US" b="1"/>
              <a:t>G-cash Transaction Detail</a:t>
            </a:r>
          </a:p>
        </c:rich>
      </c:tx>
      <c:layout>
        <c:manualLayout>
          <c:xMode val="edge"/>
          <c:yMode val="edge"/>
          <c:x val="0.22611096096096095"/>
          <c:y val="2.1230357739886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'Pivot &amp; derived tables'!$Z$32</c:f>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tables'!$X$33:$X$47</c:f>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f>'Pivot &amp; derived tables'!$Z$33:$Z$47</c:f>
              <c:numCache>
                <c:formatCode>General</c:formatCode>
                <c:ptCount val="15"/>
                <c:pt idx="0">
                  <c:v>1</c:v>
                </c:pt>
                <c:pt idx="1">
                  <c:v>1</c:v>
                </c:pt>
                <c:pt idx="2">
                  <c:v>7</c:v>
                </c:pt>
                <c:pt idx="3">
                  <c:v>2</c:v>
                </c:pt>
                <c:pt idx="4">
                  <c:v>1</c:v>
                </c:pt>
                <c:pt idx="5">
                  <c:v>1</c:v>
                </c:pt>
                <c:pt idx="6">
                  <c:v>1</c:v>
                </c:pt>
                <c:pt idx="7">
                  <c:v>12</c:v>
                </c:pt>
                <c:pt idx="8">
                  <c:v>7</c:v>
                </c:pt>
                <c:pt idx="9">
                  <c:v>66</c:v>
                </c:pt>
                <c:pt idx="10">
                  <c:v>1</c:v>
                </c:pt>
                <c:pt idx="11">
                  <c:v>20</c:v>
                </c:pt>
                <c:pt idx="12">
                  <c:v>7</c:v>
                </c:pt>
                <c:pt idx="13">
                  <c:v>10</c:v>
                </c:pt>
                <c:pt idx="14">
                  <c:v>1</c:v>
                </c:pt>
              </c:numCache>
            </c:numRef>
          </c:val>
          <c:extLst xmlns:c15="http://schemas.microsoft.com/office/drawing/2012/chart">
            <c:ext xmlns:c16="http://schemas.microsoft.com/office/drawing/2014/chart" uri="{C3380CC4-5D6E-409C-BE32-E72D297353CC}">
              <c16:uniqueId val="{00000000-DDF8-4594-8E76-F127B4EADCBC}"/>
            </c:ext>
          </c:extLst>
        </c:ser>
        <c:dLbls>
          <c:dLblPos val="outEnd"/>
          <c:showLegendKey val="0"/>
          <c:showVal val="1"/>
          <c:showCatName val="0"/>
          <c:showSerName val="0"/>
          <c:showPercent val="0"/>
          <c:showBubbleSize val="0"/>
        </c:dLbls>
        <c:gapWidth val="219"/>
        <c:overlap val="-27"/>
        <c:axId val="519909024"/>
        <c:axId val="519904704"/>
        <c:extLst>
          <c:ext xmlns:c15="http://schemas.microsoft.com/office/drawing/2012/chart" uri="{02D57815-91ED-43cb-92C2-25804820EDAC}">
            <c15:filteredBarSeries>
              <c15:ser>
                <c:idx val="0"/>
                <c:order val="0"/>
                <c:tx>
                  <c:strRef>
                    <c:extLst>
                      <c:ext uri="{02D57815-91ED-43cb-92C2-25804820EDAC}">
                        <c15:formulaRef>
                          <c15:sqref>'Pivot &amp; derived tables'!$Y$32</c15:sqref>
                        </c15:formulaRef>
                      </c:ext>
                    </c:extLst>
                    <c:strCache>
                      <c:ptCount val="1"/>
                      <c:pt idx="0">
                        <c:v>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uri="{02D57815-91ED-43cb-92C2-25804820EDAC}">
                        <c15:formulaRef>
                          <c15:sqref>'Pivot &amp; derived tables'!$Y$33:$Y$47</c15:sqref>
                        </c15:formulaRef>
                      </c:ext>
                    </c:extLst>
                    <c:numCache>
                      <c:formatCode>General</c:formatCode>
                      <c:ptCount val="15"/>
                      <c:pt idx="0">
                        <c:v>1000</c:v>
                      </c:pt>
                      <c:pt idx="1">
                        <c:v>125</c:v>
                      </c:pt>
                      <c:pt idx="2">
                        <c:v>1960</c:v>
                      </c:pt>
                      <c:pt idx="3">
                        <c:v>258</c:v>
                      </c:pt>
                      <c:pt idx="4">
                        <c:v>399</c:v>
                      </c:pt>
                      <c:pt idx="5">
                        <c:v>500</c:v>
                      </c:pt>
                      <c:pt idx="6">
                        <c:v>150</c:v>
                      </c:pt>
                      <c:pt idx="7">
                        <c:v>2823</c:v>
                      </c:pt>
                      <c:pt idx="8">
                        <c:v>1705</c:v>
                      </c:pt>
                      <c:pt idx="9">
                        <c:v>6154</c:v>
                      </c:pt>
                      <c:pt idx="10">
                        <c:v>650</c:v>
                      </c:pt>
                      <c:pt idx="11">
                        <c:v>3981</c:v>
                      </c:pt>
                      <c:pt idx="12">
                        <c:v>4494</c:v>
                      </c:pt>
                      <c:pt idx="13">
                        <c:v>1290</c:v>
                      </c:pt>
                      <c:pt idx="14">
                        <c:v>15</c:v>
                      </c:pt>
                    </c:numCache>
                  </c:numRef>
                </c:val>
                <c:extLst>
                  <c:ext xmlns:c16="http://schemas.microsoft.com/office/drawing/2014/chart" uri="{C3380CC4-5D6E-409C-BE32-E72D297353CC}">
                    <c16:uniqueId val="{00000001-DDF8-4594-8E76-F127B4EADCBC}"/>
                  </c:ext>
                </c:extLst>
              </c15:ser>
            </c15:filteredBarSeries>
            <c15:filteredBarSeries>
              <c15:ser>
                <c:idx val="2"/>
                <c:order val="2"/>
                <c:tx>
                  <c:strRef>
                    <c:extLst>
                      <c:ext xmlns:c15="http://schemas.microsoft.com/office/drawing/2012/chart" uri="{02D57815-91ED-43cb-92C2-25804820EDAC}">
                        <c15:formulaRef>
                          <c15:sqref>'Pivot &amp; derived tables'!$AA$32</c15:sqref>
                        </c15:formulaRef>
                      </c:ext>
                    </c:extLst>
                    <c:strCache>
                      <c:ptCount val="1"/>
                      <c:pt idx="0">
                        <c:v>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tables'!$AA$33:$AA$47</c15:sqref>
                        </c15:formulaRef>
                      </c:ext>
                    </c:extLst>
                    <c:numCache>
                      <c:formatCode>General</c:formatCode>
                      <c:ptCount val="15"/>
                      <c:pt idx="0">
                        <c:v>1000</c:v>
                      </c:pt>
                      <c:pt idx="1">
                        <c:v>125</c:v>
                      </c:pt>
                      <c:pt idx="2">
                        <c:v>280</c:v>
                      </c:pt>
                      <c:pt idx="3">
                        <c:v>129</c:v>
                      </c:pt>
                      <c:pt idx="4">
                        <c:v>399</c:v>
                      </c:pt>
                      <c:pt idx="5">
                        <c:v>500</c:v>
                      </c:pt>
                      <c:pt idx="6">
                        <c:v>150</c:v>
                      </c:pt>
                      <c:pt idx="7">
                        <c:v>235.25</c:v>
                      </c:pt>
                      <c:pt idx="8">
                        <c:v>243.57</c:v>
                      </c:pt>
                      <c:pt idx="9">
                        <c:v>93.24</c:v>
                      </c:pt>
                      <c:pt idx="10">
                        <c:v>650</c:v>
                      </c:pt>
                      <c:pt idx="11">
                        <c:v>199.05</c:v>
                      </c:pt>
                      <c:pt idx="12">
                        <c:v>642</c:v>
                      </c:pt>
                      <c:pt idx="13">
                        <c:v>129</c:v>
                      </c:pt>
                      <c:pt idx="14">
                        <c:v>15</c:v>
                      </c:pt>
                    </c:numCache>
                  </c:numRef>
                </c:val>
                <c:extLst xmlns:c15="http://schemas.microsoft.com/office/drawing/2012/chart">
                  <c:ext xmlns:c16="http://schemas.microsoft.com/office/drawing/2014/chart" uri="{C3380CC4-5D6E-409C-BE32-E72D297353CC}">
                    <c16:uniqueId val="{00000002-DDF8-4594-8E76-F127B4EADCBC}"/>
                  </c:ext>
                </c:extLst>
              </c15:ser>
            </c15:filteredBarSeries>
            <c15:filteredBarSeries>
              <c15:ser>
                <c:idx val="3"/>
                <c:order val="3"/>
                <c:tx>
                  <c:strRef>
                    <c:extLst>
                      <c:ext xmlns:c15="http://schemas.microsoft.com/office/drawing/2012/chart" uri="{02D57815-91ED-43cb-92C2-25804820EDAC}">
                        <c15:formulaRef>
                          <c15:sqref>'Pivot &amp; derived tables'!$AB$32</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tables'!$AB$33:$AB$47</c15:sqref>
                        </c15:formulaRef>
                      </c:ext>
                    </c:extLst>
                    <c:numCache>
                      <c:formatCode>General</c:formatCode>
                      <c:ptCount val="15"/>
                      <c:pt idx="0">
                        <c:v>3.92</c:v>
                      </c:pt>
                      <c:pt idx="1">
                        <c:v>0.49</c:v>
                      </c:pt>
                      <c:pt idx="2">
                        <c:v>7.69</c:v>
                      </c:pt>
                      <c:pt idx="3">
                        <c:v>1.01</c:v>
                      </c:pt>
                      <c:pt idx="4">
                        <c:v>1.56</c:v>
                      </c:pt>
                      <c:pt idx="5">
                        <c:v>1.96</c:v>
                      </c:pt>
                      <c:pt idx="6">
                        <c:v>0.59</c:v>
                      </c:pt>
                      <c:pt idx="7">
                        <c:v>11.07</c:v>
                      </c:pt>
                      <c:pt idx="8">
                        <c:v>6.69</c:v>
                      </c:pt>
                      <c:pt idx="9">
                        <c:v>24.13</c:v>
                      </c:pt>
                      <c:pt idx="10">
                        <c:v>2.5499999999999998</c:v>
                      </c:pt>
                      <c:pt idx="11">
                        <c:v>15.61</c:v>
                      </c:pt>
                      <c:pt idx="12">
                        <c:v>17.62</c:v>
                      </c:pt>
                      <c:pt idx="13">
                        <c:v>5.0599999999999996</c:v>
                      </c:pt>
                      <c:pt idx="14">
                        <c:v>0.06</c:v>
                      </c:pt>
                    </c:numCache>
                  </c:numRef>
                </c:val>
                <c:extLst xmlns:c15="http://schemas.microsoft.com/office/drawing/2012/chart">
                  <c:ext xmlns:c16="http://schemas.microsoft.com/office/drawing/2014/chart" uri="{C3380CC4-5D6E-409C-BE32-E72D297353CC}">
                    <c16:uniqueId val="{00000003-DDF8-4594-8E76-F127B4EADCBC}"/>
                  </c:ext>
                </c:extLst>
              </c15:ser>
            </c15:filteredBarSeries>
          </c:ext>
        </c:extLst>
      </c:barChart>
      <c:catAx>
        <c:axId val="51990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a:t>
                </a:r>
                <a:endParaRPr lang="en-PH"/>
              </a:p>
            </c:rich>
          </c:tx>
          <c:layout>
            <c:manualLayout>
              <c:xMode val="edge"/>
              <c:yMode val="edge"/>
              <c:x val="0.43179864864864864"/>
              <c:y val="0.90727627326423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4704"/>
        <c:crosses val="autoZero"/>
        <c:auto val="1"/>
        <c:lblAlgn val="ctr"/>
        <c:lblOffset val="100"/>
        <c:noMultiLvlLbl val="0"/>
      </c:catAx>
      <c:valAx>
        <c:axId val="51990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Count</a:t>
                </a:r>
              </a:p>
            </c:rich>
          </c:tx>
          <c:layout>
            <c:manualLayout>
              <c:xMode val="edge"/>
              <c:yMode val="edge"/>
              <c:x val="1.5255255255255255E-2"/>
              <c:y val="0.304880474757606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Purchase per </a:t>
            </a:r>
            <a:r>
              <a:rPr lang="en-US" b="1"/>
              <a:t>G-cash Transaction Detail</a:t>
            </a:r>
          </a:p>
        </c:rich>
      </c:tx>
      <c:layout>
        <c:manualLayout>
          <c:xMode val="edge"/>
          <c:yMode val="edge"/>
          <c:x val="0.22611096096096095"/>
          <c:y val="2.1230357739886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'Pivot &amp; derived tables'!$AA$32</c:f>
              <c:strCache>
                <c:ptCount val="1"/>
                <c:pt idx="0">
                  <c:v>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tables'!$X$33:$X$47</c:f>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f>'Pivot &amp; derived tables'!$AA$33:$AA$47</c:f>
              <c:numCache>
                <c:formatCode>General</c:formatCode>
                <c:ptCount val="15"/>
                <c:pt idx="0">
                  <c:v>1000</c:v>
                </c:pt>
                <c:pt idx="1">
                  <c:v>125</c:v>
                </c:pt>
                <c:pt idx="2">
                  <c:v>280</c:v>
                </c:pt>
                <c:pt idx="3">
                  <c:v>129</c:v>
                </c:pt>
                <c:pt idx="4">
                  <c:v>399</c:v>
                </c:pt>
                <c:pt idx="5">
                  <c:v>500</c:v>
                </c:pt>
                <c:pt idx="6">
                  <c:v>150</c:v>
                </c:pt>
                <c:pt idx="7">
                  <c:v>235.25</c:v>
                </c:pt>
                <c:pt idx="8">
                  <c:v>243.57</c:v>
                </c:pt>
                <c:pt idx="9">
                  <c:v>93.24</c:v>
                </c:pt>
                <c:pt idx="10">
                  <c:v>650</c:v>
                </c:pt>
                <c:pt idx="11">
                  <c:v>199.05</c:v>
                </c:pt>
                <c:pt idx="12">
                  <c:v>642</c:v>
                </c:pt>
                <c:pt idx="13">
                  <c:v>129</c:v>
                </c:pt>
                <c:pt idx="14">
                  <c:v>15</c:v>
                </c:pt>
              </c:numCache>
            </c:numRef>
          </c:val>
          <c:extLst xmlns:c15="http://schemas.microsoft.com/office/drawing/2012/chart">
            <c:ext xmlns:c16="http://schemas.microsoft.com/office/drawing/2014/chart" uri="{C3380CC4-5D6E-409C-BE32-E72D297353CC}">
              <c16:uniqueId val="{00000000-FF29-4AB4-9B1C-D1E913992F09}"/>
            </c:ext>
          </c:extLst>
        </c:ser>
        <c:dLbls>
          <c:dLblPos val="outEnd"/>
          <c:showLegendKey val="0"/>
          <c:showVal val="1"/>
          <c:showCatName val="0"/>
          <c:showSerName val="0"/>
          <c:showPercent val="0"/>
          <c:showBubbleSize val="0"/>
        </c:dLbls>
        <c:gapWidth val="219"/>
        <c:overlap val="-27"/>
        <c:axId val="519909024"/>
        <c:axId val="519904704"/>
        <c:extLst>
          <c:ext xmlns:c15="http://schemas.microsoft.com/office/drawing/2012/chart" uri="{02D57815-91ED-43cb-92C2-25804820EDAC}">
            <c15:filteredBarSeries>
              <c15:ser>
                <c:idx val="0"/>
                <c:order val="0"/>
                <c:tx>
                  <c:strRef>
                    <c:extLst>
                      <c:ext uri="{02D57815-91ED-43cb-92C2-25804820EDAC}">
                        <c15:formulaRef>
                          <c15:sqref>'Pivot &amp; derived tables'!$Y$32</c15:sqref>
                        </c15:formulaRef>
                      </c:ext>
                    </c:extLst>
                    <c:strCache>
                      <c:ptCount val="1"/>
                      <c:pt idx="0">
                        <c:v>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uri="{02D57815-91ED-43cb-92C2-25804820EDAC}">
                        <c15:formulaRef>
                          <c15:sqref>'Pivot &amp; derived tables'!$Y$33:$Y$47</c15:sqref>
                        </c15:formulaRef>
                      </c:ext>
                    </c:extLst>
                    <c:numCache>
                      <c:formatCode>General</c:formatCode>
                      <c:ptCount val="15"/>
                      <c:pt idx="0">
                        <c:v>1000</c:v>
                      </c:pt>
                      <c:pt idx="1">
                        <c:v>125</c:v>
                      </c:pt>
                      <c:pt idx="2">
                        <c:v>1960</c:v>
                      </c:pt>
                      <c:pt idx="3">
                        <c:v>258</c:v>
                      </c:pt>
                      <c:pt idx="4">
                        <c:v>399</c:v>
                      </c:pt>
                      <c:pt idx="5">
                        <c:v>500</c:v>
                      </c:pt>
                      <c:pt idx="6">
                        <c:v>150</c:v>
                      </c:pt>
                      <c:pt idx="7">
                        <c:v>2823</c:v>
                      </c:pt>
                      <c:pt idx="8">
                        <c:v>1705</c:v>
                      </c:pt>
                      <c:pt idx="9">
                        <c:v>6154</c:v>
                      </c:pt>
                      <c:pt idx="10">
                        <c:v>650</c:v>
                      </c:pt>
                      <c:pt idx="11">
                        <c:v>3981</c:v>
                      </c:pt>
                      <c:pt idx="12">
                        <c:v>4494</c:v>
                      </c:pt>
                      <c:pt idx="13">
                        <c:v>1290</c:v>
                      </c:pt>
                      <c:pt idx="14">
                        <c:v>15</c:v>
                      </c:pt>
                    </c:numCache>
                  </c:numRef>
                </c:val>
                <c:extLst>
                  <c:ext xmlns:c16="http://schemas.microsoft.com/office/drawing/2014/chart" uri="{C3380CC4-5D6E-409C-BE32-E72D297353CC}">
                    <c16:uniqueId val="{00000001-FF29-4AB4-9B1C-D1E913992F09}"/>
                  </c:ext>
                </c:extLst>
              </c15:ser>
            </c15:filteredBarSeries>
            <c15:filteredBarSeries>
              <c15:ser>
                <c:idx val="1"/>
                <c:order val="1"/>
                <c:tx>
                  <c:strRef>
                    <c:extLst>
                      <c:ext xmlns:c15="http://schemas.microsoft.com/office/drawing/2012/chart" uri="{02D57815-91ED-43cb-92C2-25804820EDAC}">
                        <c15:formulaRef>
                          <c15:sqref>'Pivot &amp; derived tables'!$Z$32</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tables'!$Z$33:$Z$47</c15:sqref>
                        </c15:formulaRef>
                      </c:ext>
                    </c:extLst>
                    <c:numCache>
                      <c:formatCode>General</c:formatCode>
                      <c:ptCount val="15"/>
                      <c:pt idx="0">
                        <c:v>1</c:v>
                      </c:pt>
                      <c:pt idx="1">
                        <c:v>1</c:v>
                      </c:pt>
                      <c:pt idx="2">
                        <c:v>7</c:v>
                      </c:pt>
                      <c:pt idx="3">
                        <c:v>2</c:v>
                      </c:pt>
                      <c:pt idx="4">
                        <c:v>1</c:v>
                      </c:pt>
                      <c:pt idx="5">
                        <c:v>1</c:v>
                      </c:pt>
                      <c:pt idx="6">
                        <c:v>1</c:v>
                      </c:pt>
                      <c:pt idx="7">
                        <c:v>12</c:v>
                      </c:pt>
                      <c:pt idx="8">
                        <c:v>7</c:v>
                      </c:pt>
                      <c:pt idx="9">
                        <c:v>66</c:v>
                      </c:pt>
                      <c:pt idx="10">
                        <c:v>1</c:v>
                      </c:pt>
                      <c:pt idx="11">
                        <c:v>20</c:v>
                      </c:pt>
                      <c:pt idx="12">
                        <c:v>7</c:v>
                      </c:pt>
                      <c:pt idx="13">
                        <c:v>10</c:v>
                      </c:pt>
                      <c:pt idx="14">
                        <c:v>1</c:v>
                      </c:pt>
                    </c:numCache>
                  </c:numRef>
                </c:val>
                <c:extLst xmlns:c15="http://schemas.microsoft.com/office/drawing/2012/chart">
                  <c:ext xmlns:c16="http://schemas.microsoft.com/office/drawing/2014/chart" uri="{C3380CC4-5D6E-409C-BE32-E72D297353CC}">
                    <c16:uniqueId val="{00000002-FF29-4AB4-9B1C-D1E913992F09}"/>
                  </c:ext>
                </c:extLst>
              </c15:ser>
            </c15:filteredBarSeries>
            <c15:filteredBarSeries>
              <c15:ser>
                <c:idx val="3"/>
                <c:order val="3"/>
                <c:tx>
                  <c:strRef>
                    <c:extLst>
                      <c:ext xmlns:c15="http://schemas.microsoft.com/office/drawing/2012/chart" uri="{02D57815-91ED-43cb-92C2-25804820EDAC}">
                        <c15:formulaRef>
                          <c15:sqref>'Pivot &amp; derived tables'!$AB$32</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tables'!$AB$33:$AB$47</c15:sqref>
                        </c15:formulaRef>
                      </c:ext>
                    </c:extLst>
                    <c:numCache>
                      <c:formatCode>General</c:formatCode>
                      <c:ptCount val="15"/>
                      <c:pt idx="0">
                        <c:v>3.92</c:v>
                      </c:pt>
                      <c:pt idx="1">
                        <c:v>0.49</c:v>
                      </c:pt>
                      <c:pt idx="2">
                        <c:v>7.69</c:v>
                      </c:pt>
                      <c:pt idx="3">
                        <c:v>1.01</c:v>
                      </c:pt>
                      <c:pt idx="4">
                        <c:v>1.56</c:v>
                      </c:pt>
                      <c:pt idx="5">
                        <c:v>1.96</c:v>
                      </c:pt>
                      <c:pt idx="6">
                        <c:v>0.59</c:v>
                      </c:pt>
                      <c:pt idx="7">
                        <c:v>11.07</c:v>
                      </c:pt>
                      <c:pt idx="8">
                        <c:v>6.69</c:v>
                      </c:pt>
                      <c:pt idx="9">
                        <c:v>24.13</c:v>
                      </c:pt>
                      <c:pt idx="10">
                        <c:v>2.5499999999999998</c:v>
                      </c:pt>
                      <c:pt idx="11">
                        <c:v>15.61</c:v>
                      </c:pt>
                      <c:pt idx="12">
                        <c:v>17.62</c:v>
                      </c:pt>
                      <c:pt idx="13">
                        <c:v>5.0599999999999996</c:v>
                      </c:pt>
                      <c:pt idx="14">
                        <c:v>0.06</c:v>
                      </c:pt>
                    </c:numCache>
                  </c:numRef>
                </c:val>
                <c:extLst xmlns:c15="http://schemas.microsoft.com/office/drawing/2012/chart">
                  <c:ext xmlns:c16="http://schemas.microsoft.com/office/drawing/2014/chart" uri="{C3380CC4-5D6E-409C-BE32-E72D297353CC}">
                    <c16:uniqueId val="{00000003-FF29-4AB4-9B1C-D1E913992F09}"/>
                  </c:ext>
                </c:extLst>
              </c15:ser>
            </c15:filteredBarSeries>
          </c:ext>
        </c:extLst>
      </c:barChart>
      <c:catAx>
        <c:axId val="51990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a:t>
                </a:r>
                <a:endParaRPr lang="en-PH"/>
              </a:p>
            </c:rich>
          </c:tx>
          <c:layout>
            <c:manualLayout>
              <c:xMode val="edge"/>
              <c:yMode val="edge"/>
              <c:x val="0.43179864864864864"/>
              <c:y val="0.90727627326423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4704"/>
        <c:crosses val="autoZero"/>
        <c:auto val="1"/>
        <c:lblAlgn val="ctr"/>
        <c:lblOffset val="100"/>
        <c:noMultiLvlLbl val="0"/>
      </c:catAx>
      <c:valAx>
        <c:axId val="51990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5255255255255255E-2"/>
              <c:y val="0.304880474757606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Expense Percentage per </a:t>
            </a:r>
            <a:r>
              <a:rPr lang="en-US" b="1"/>
              <a:t>G-cash Transaction Detail</a:t>
            </a:r>
          </a:p>
        </c:rich>
      </c:tx>
      <c:layout>
        <c:manualLayout>
          <c:xMode val="edge"/>
          <c:yMode val="edge"/>
          <c:x val="0.23001486119015999"/>
          <c:y val="2.59405132769618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'Pivot &amp; derived tables'!$AB$32</c:f>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tables'!$X$33:$X$47</c:f>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f>'Pivot &amp; derived tables'!$AB$33:$AB$47</c:f>
              <c:numCache>
                <c:formatCode>General</c:formatCode>
                <c:ptCount val="15"/>
                <c:pt idx="0">
                  <c:v>3.92</c:v>
                </c:pt>
                <c:pt idx="1">
                  <c:v>0.49</c:v>
                </c:pt>
                <c:pt idx="2">
                  <c:v>7.69</c:v>
                </c:pt>
                <c:pt idx="3">
                  <c:v>1.01</c:v>
                </c:pt>
                <c:pt idx="4">
                  <c:v>1.56</c:v>
                </c:pt>
                <c:pt idx="5">
                  <c:v>1.96</c:v>
                </c:pt>
                <c:pt idx="6">
                  <c:v>0.59</c:v>
                </c:pt>
                <c:pt idx="7">
                  <c:v>11.07</c:v>
                </c:pt>
                <c:pt idx="8">
                  <c:v>6.69</c:v>
                </c:pt>
                <c:pt idx="9">
                  <c:v>24.13</c:v>
                </c:pt>
                <c:pt idx="10">
                  <c:v>2.5499999999999998</c:v>
                </c:pt>
                <c:pt idx="11">
                  <c:v>15.61</c:v>
                </c:pt>
                <c:pt idx="12">
                  <c:v>17.62</c:v>
                </c:pt>
                <c:pt idx="13">
                  <c:v>5.0599999999999996</c:v>
                </c:pt>
                <c:pt idx="14">
                  <c:v>0.06</c:v>
                </c:pt>
              </c:numCache>
            </c:numRef>
          </c:val>
          <c:extLst xmlns:c15="http://schemas.microsoft.com/office/drawing/2012/chart">
            <c:ext xmlns:c16="http://schemas.microsoft.com/office/drawing/2014/chart" uri="{C3380CC4-5D6E-409C-BE32-E72D297353CC}">
              <c16:uniqueId val="{00000000-0B4B-45E7-B893-73457DDAD652}"/>
            </c:ext>
          </c:extLst>
        </c:ser>
        <c:dLbls>
          <c:dLblPos val="outEnd"/>
          <c:showLegendKey val="0"/>
          <c:showVal val="1"/>
          <c:showCatName val="0"/>
          <c:showSerName val="0"/>
          <c:showPercent val="0"/>
          <c:showBubbleSize val="0"/>
        </c:dLbls>
        <c:gapWidth val="219"/>
        <c:overlap val="-27"/>
        <c:axId val="519909024"/>
        <c:axId val="519904704"/>
        <c:extLst>
          <c:ext xmlns:c15="http://schemas.microsoft.com/office/drawing/2012/chart" uri="{02D57815-91ED-43cb-92C2-25804820EDAC}">
            <c15:filteredBarSeries>
              <c15:ser>
                <c:idx val="0"/>
                <c:order val="0"/>
                <c:tx>
                  <c:strRef>
                    <c:extLst>
                      <c:ext uri="{02D57815-91ED-43cb-92C2-25804820EDAC}">
                        <c15:formulaRef>
                          <c15:sqref>'Pivot &amp; derived tables'!$Y$32</c15:sqref>
                        </c15:formulaRef>
                      </c:ext>
                    </c:extLst>
                    <c:strCache>
                      <c:ptCount val="1"/>
                      <c:pt idx="0">
                        <c:v>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uri="{02D57815-91ED-43cb-92C2-25804820EDAC}">
                        <c15:formulaRef>
                          <c15:sqref>'Pivot &amp; derived tables'!$Y$33:$Y$47</c15:sqref>
                        </c15:formulaRef>
                      </c:ext>
                    </c:extLst>
                    <c:numCache>
                      <c:formatCode>General</c:formatCode>
                      <c:ptCount val="15"/>
                      <c:pt idx="0">
                        <c:v>1000</c:v>
                      </c:pt>
                      <c:pt idx="1">
                        <c:v>125</c:v>
                      </c:pt>
                      <c:pt idx="2">
                        <c:v>1960</c:v>
                      </c:pt>
                      <c:pt idx="3">
                        <c:v>258</c:v>
                      </c:pt>
                      <c:pt idx="4">
                        <c:v>399</c:v>
                      </c:pt>
                      <c:pt idx="5">
                        <c:v>500</c:v>
                      </c:pt>
                      <c:pt idx="6">
                        <c:v>150</c:v>
                      </c:pt>
                      <c:pt idx="7">
                        <c:v>2823</c:v>
                      </c:pt>
                      <c:pt idx="8">
                        <c:v>1705</c:v>
                      </c:pt>
                      <c:pt idx="9">
                        <c:v>6154</c:v>
                      </c:pt>
                      <c:pt idx="10">
                        <c:v>650</c:v>
                      </c:pt>
                      <c:pt idx="11">
                        <c:v>3981</c:v>
                      </c:pt>
                      <c:pt idx="12">
                        <c:v>4494</c:v>
                      </c:pt>
                      <c:pt idx="13">
                        <c:v>1290</c:v>
                      </c:pt>
                      <c:pt idx="14">
                        <c:v>15</c:v>
                      </c:pt>
                    </c:numCache>
                  </c:numRef>
                </c:val>
                <c:extLst>
                  <c:ext xmlns:c16="http://schemas.microsoft.com/office/drawing/2014/chart" uri="{C3380CC4-5D6E-409C-BE32-E72D297353CC}">
                    <c16:uniqueId val="{00000001-0B4B-45E7-B893-73457DDAD652}"/>
                  </c:ext>
                </c:extLst>
              </c15:ser>
            </c15:filteredBarSeries>
            <c15:filteredBarSeries>
              <c15:ser>
                <c:idx val="1"/>
                <c:order val="1"/>
                <c:tx>
                  <c:strRef>
                    <c:extLst>
                      <c:ext xmlns:c15="http://schemas.microsoft.com/office/drawing/2012/chart" uri="{02D57815-91ED-43cb-92C2-25804820EDAC}">
                        <c15:formulaRef>
                          <c15:sqref>'Pivot &amp; derived tables'!$Z$32</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tables'!$Z$33:$Z$47</c15:sqref>
                        </c15:formulaRef>
                      </c:ext>
                    </c:extLst>
                    <c:numCache>
                      <c:formatCode>General</c:formatCode>
                      <c:ptCount val="15"/>
                      <c:pt idx="0">
                        <c:v>1</c:v>
                      </c:pt>
                      <c:pt idx="1">
                        <c:v>1</c:v>
                      </c:pt>
                      <c:pt idx="2">
                        <c:v>7</c:v>
                      </c:pt>
                      <c:pt idx="3">
                        <c:v>2</c:v>
                      </c:pt>
                      <c:pt idx="4">
                        <c:v>1</c:v>
                      </c:pt>
                      <c:pt idx="5">
                        <c:v>1</c:v>
                      </c:pt>
                      <c:pt idx="6">
                        <c:v>1</c:v>
                      </c:pt>
                      <c:pt idx="7">
                        <c:v>12</c:v>
                      </c:pt>
                      <c:pt idx="8">
                        <c:v>7</c:v>
                      </c:pt>
                      <c:pt idx="9">
                        <c:v>66</c:v>
                      </c:pt>
                      <c:pt idx="10">
                        <c:v>1</c:v>
                      </c:pt>
                      <c:pt idx="11">
                        <c:v>20</c:v>
                      </c:pt>
                      <c:pt idx="12">
                        <c:v>7</c:v>
                      </c:pt>
                      <c:pt idx="13">
                        <c:v>10</c:v>
                      </c:pt>
                      <c:pt idx="14">
                        <c:v>1</c:v>
                      </c:pt>
                    </c:numCache>
                  </c:numRef>
                </c:val>
                <c:extLst xmlns:c15="http://schemas.microsoft.com/office/drawing/2012/chart">
                  <c:ext xmlns:c16="http://schemas.microsoft.com/office/drawing/2014/chart" uri="{C3380CC4-5D6E-409C-BE32-E72D297353CC}">
                    <c16:uniqueId val="{00000002-0B4B-45E7-B893-73457DDAD652}"/>
                  </c:ext>
                </c:extLst>
              </c15:ser>
            </c15:filteredBarSeries>
            <c15:filteredBarSeries>
              <c15:ser>
                <c:idx val="2"/>
                <c:order val="2"/>
                <c:tx>
                  <c:strRef>
                    <c:extLst>
                      <c:ext xmlns:c15="http://schemas.microsoft.com/office/drawing/2012/chart" uri="{02D57815-91ED-43cb-92C2-25804820EDAC}">
                        <c15:formulaRef>
                          <c15:sqref>'Pivot &amp; derived tables'!$AA$32</c15:sqref>
                        </c15:formulaRef>
                      </c:ext>
                    </c:extLst>
                    <c:strCache>
                      <c:ptCount val="1"/>
                      <c:pt idx="0">
                        <c:v>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tables'!$AA$33:$AA$47</c15:sqref>
                        </c15:formulaRef>
                      </c:ext>
                    </c:extLst>
                    <c:numCache>
                      <c:formatCode>General</c:formatCode>
                      <c:ptCount val="15"/>
                      <c:pt idx="0">
                        <c:v>1000</c:v>
                      </c:pt>
                      <c:pt idx="1">
                        <c:v>125</c:v>
                      </c:pt>
                      <c:pt idx="2">
                        <c:v>280</c:v>
                      </c:pt>
                      <c:pt idx="3">
                        <c:v>129</c:v>
                      </c:pt>
                      <c:pt idx="4">
                        <c:v>399</c:v>
                      </c:pt>
                      <c:pt idx="5">
                        <c:v>500</c:v>
                      </c:pt>
                      <c:pt idx="6">
                        <c:v>150</c:v>
                      </c:pt>
                      <c:pt idx="7">
                        <c:v>235.25</c:v>
                      </c:pt>
                      <c:pt idx="8">
                        <c:v>243.57</c:v>
                      </c:pt>
                      <c:pt idx="9">
                        <c:v>93.24</c:v>
                      </c:pt>
                      <c:pt idx="10">
                        <c:v>650</c:v>
                      </c:pt>
                      <c:pt idx="11">
                        <c:v>199.05</c:v>
                      </c:pt>
                      <c:pt idx="12">
                        <c:v>642</c:v>
                      </c:pt>
                      <c:pt idx="13">
                        <c:v>129</c:v>
                      </c:pt>
                      <c:pt idx="14">
                        <c:v>15</c:v>
                      </c:pt>
                    </c:numCache>
                  </c:numRef>
                </c:val>
                <c:extLst xmlns:c15="http://schemas.microsoft.com/office/drawing/2012/chart">
                  <c:ext xmlns:c16="http://schemas.microsoft.com/office/drawing/2014/chart" uri="{C3380CC4-5D6E-409C-BE32-E72D297353CC}">
                    <c16:uniqueId val="{00000003-0B4B-45E7-B893-73457DDAD652}"/>
                  </c:ext>
                </c:extLst>
              </c15:ser>
            </c15:filteredBarSeries>
          </c:ext>
        </c:extLst>
      </c:barChart>
      <c:catAx>
        <c:axId val="51990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a:t>
                </a:r>
                <a:endParaRPr lang="en-PH"/>
              </a:p>
            </c:rich>
          </c:tx>
          <c:layout>
            <c:manualLayout>
              <c:xMode val="edge"/>
              <c:yMode val="edge"/>
              <c:x val="0.43179864864864864"/>
              <c:y val="0.90727627326423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4704"/>
        <c:crosses val="autoZero"/>
        <c:auto val="1"/>
        <c:lblAlgn val="ctr"/>
        <c:lblOffset val="100"/>
        <c:noMultiLvlLbl val="0"/>
      </c:catAx>
      <c:valAx>
        <c:axId val="51990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7162162162162164E-2"/>
              <c:y val="0.258881366321185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20</a:t>
            </a:r>
            <a:r>
              <a:rPr lang="en-US" b="1" baseline="0"/>
              <a:t> Expenditure: </a:t>
            </a:r>
            <a:r>
              <a:rPr lang="en-US" b="0" baseline="0"/>
              <a:t>Total Expenses Percentage</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tx>
            <c:strRef>
              <c:f>'Analysis &amp; Diagnostics'!$P$236</c:f>
              <c:strCache>
                <c:ptCount val="1"/>
                <c:pt idx="0">
                  <c:v>Total Percentage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Diagnostics'!$I$237:$I$256</c:f>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f>'Analysis &amp; Diagnostics'!$P$237:$P$256</c:f>
              <c:numCache>
                <c:formatCode>General</c:formatCode>
                <c:ptCount val="20"/>
                <c:pt idx="0">
                  <c:v>28.42</c:v>
                </c:pt>
                <c:pt idx="1">
                  <c:v>12.17</c:v>
                </c:pt>
                <c:pt idx="2">
                  <c:v>3.89</c:v>
                </c:pt>
                <c:pt idx="3">
                  <c:v>3.58</c:v>
                </c:pt>
                <c:pt idx="4">
                  <c:v>2.8</c:v>
                </c:pt>
                <c:pt idx="5">
                  <c:v>2.73</c:v>
                </c:pt>
                <c:pt idx="6">
                  <c:v>2.56</c:v>
                </c:pt>
                <c:pt idx="7">
                  <c:v>2.4</c:v>
                </c:pt>
                <c:pt idx="8">
                  <c:v>2.14</c:v>
                </c:pt>
                <c:pt idx="9">
                  <c:v>1.75</c:v>
                </c:pt>
                <c:pt idx="10">
                  <c:v>1.56</c:v>
                </c:pt>
                <c:pt idx="11">
                  <c:v>1.55</c:v>
                </c:pt>
                <c:pt idx="12">
                  <c:v>1.48</c:v>
                </c:pt>
                <c:pt idx="13">
                  <c:v>1.4</c:v>
                </c:pt>
                <c:pt idx="14">
                  <c:v>1.3</c:v>
                </c:pt>
                <c:pt idx="15">
                  <c:v>1.17</c:v>
                </c:pt>
                <c:pt idx="16">
                  <c:v>1.1599999999999999</c:v>
                </c:pt>
                <c:pt idx="17">
                  <c:v>1.1299999999999999</c:v>
                </c:pt>
                <c:pt idx="18">
                  <c:v>1.1000000000000001</c:v>
                </c:pt>
                <c:pt idx="19">
                  <c:v>1.01</c:v>
                </c:pt>
              </c:numCache>
            </c:numRef>
          </c:val>
          <c:extLst>
            <c:ext xmlns:c16="http://schemas.microsoft.com/office/drawing/2014/chart" uri="{C3380CC4-5D6E-409C-BE32-E72D297353CC}">
              <c16:uniqueId val="{00000000-9EA5-41B3-92FB-2A58820AE954}"/>
            </c:ext>
          </c:extLst>
        </c:ser>
        <c:dLbls>
          <c:dLblPos val="outEnd"/>
          <c:showLegendKey val="0"/>
          <c:showVal val="1"/>
          <c:showCatName val="0"/>
          <c:showSerName val="0"/>
          <c:showPercent val="0"/>
          <c:showBubbleSize val="0"/>
        </c:dLbls>
        <c:gapWidth val="219"/>
        <c:overlap val="-27"/>
        <c:axId val="1143035967"/>
        <c:axId val="1143029727"/>
        <c:extLst>
          <c:ext xmlns:c15="http://schemas.microsoft.com/office/drawing/2012/chart" uri="{02D57815-91ED-43cb-92C2-25804820EDAC}">
            <c15:filteredBarSeries>
              <c15:ser>
                <c:idx val="0"/>
                <c:order val="0"/>
                <c:tx>
                  <c:strRef>
                    <c:extLst>
                      <c:ext uri="{02D57815-91ED-43cb-92C2-25804820EDAC}">
                        <c15:formulaRef>
                          <c15:sqref>'Analysis &amp; Diagnostics'!$J$236</c15:sqref>
                        </c15:formulaRef>
                      </c:ext>
                    </c:extLst>
                    <c:strCache>
                      <c:ptCount val="1"/>
                      <c:pt idx="0">
                        <c:v>Sum of G-cash 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uri="{02D57815-91ED-43cb-92C2-25804820EDAC}">
                        <c15:formulaRef>
                          <c15:sqref>'Analysis &amp; Diagnostics'!$J$237:$J$256</c15:sqref>
                        </c15:formulaRef>
                      </c:ext>
                    </c:extLst>
                    <c:numCache>
                      <c:formatCode>General</c:formatCode>
                      <c:ptCount val="20"/>
                      <c:pt idx="4">
                        <c:v>150</c:v>
                      </c:pt>
                      <c:pt idx="7">
                        <c:v>6154</c:v>
                      </c:pt>
                      <c:pt idx="9">
                        <c:v>4494</c:v>
                      </c:pt>
                      <c:pt idx="11">
                        <c:v>3981</c:v>
                      </c:pt>
                      <c:pt idx="18">
                        <c:v>2823</c:v>
                      </c:pt>
                    </c:numCache>
                  </c:numRef>
                </c:val>
                <c:extLst>
                  <c:ext xmlns:c16="http://schemas.microsoft.com/office/drawing/2014/chart" uri="{C3380CC4-5D6E-409C-BE32-E72D297353CC}">
                    <c16:uniqueId val="{00000001-9EA5-41B3-92FB-2A58820AE954}"/>
                  </c:ext>
                </c:extLst>
              </c15:ser>
            </c15:filteredBarSeries>
            <c15:filteredBarSeries>
              <c15:ser>
                <c:idx val="1"/>
                <c:order val="1"/>
                <c:tx>
                  <c:strRef>
                    <c:extLst>
                      <c:ext xmlns:c15="http://schemas.microsoft.com/office/drawing/2012/chart" uri="{02D57815-91ED-43cb-92C2-25804820EDAC}">
                        <c15:formulaRef>
                          <c15:sqref>'Analysis &amp; Diagnostics'!$K$236</c15:sqref>
                        </c15:formulaRef>
                      </c:ext>
                    </c:extLst>
                    <c:strCache>
                      <c:ptCount val="1"/>
                      <c:pt idx="0">
                        <c:v>Count of G-cash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Diagnostics'!$K$237:$K$256</c15:sqref>
                        </c15:formulaRef>
                      </c:ext>
                    </c:extLst>
                    <c:numCache>
                      <c:formatCode>General</c:formatCode>
                      <c:ptCount val="20"/>
                      <c:pt idx="4">
                        <c:v>1</c:v>
                      </c:pt>
                      <c:pt idx="7">
                        <c:v>66</c:v>
                      </c:pt>
                      <c:pt idx="9">
                        <c:v>7</c:v>
                      </c:pt>
                      <c:pt idx="11">
                        <c:v>20</c:v>
                      </c:pt>
                      <c:pt idx="18">
                        <c:v>12</c:v>
                      </c:pt>
                    </c:numCache>
                  </c:numRef>
                </c:val>
                <c:extLst xmlns:c15="http://schemas.microsoft.com/office/drawing/2012/chart">
                  <c:ext xmlns:c16="http://schemas.microsoft.com/office/drawing/2014/chart" uri="{C3380CC4-5D6E-409C-BE32-E72D297353CC}">
                    <c16:uniqueId val="{00000002-9EA5-41B3-92FB-2A58820AE954}"/>
                  </c:ext>
                </c:extLst>
              </c15:ser>
            </c15:filteredBarSeries>
            <c15:filteredBarSeries>
              <c15:ser>
                <c:idx val="2"/>
                <c:order val="2"/>
                <c:tx>
                  <c:strRef>
                    <c:extLst>
                      <c:ext xmlns:c15="http://schemas.microsoft.com/office/drawing/2012/chart" uri="{02D57815-91ED-43cb-92C2-25804820EDAC}">
                        <c15:formulaRef>
                          <c15:sqref>'Analysis &amp; Diagnostics'!$L$236</c15:sqref>
                        </c15:formulaRef>
                      </c:ext>
                    </c:extLst>
                    <c:strCache>
                      <c:ptCount val="1"/>
                      <c:pt idx="0">
                        <c:v>Total Expenses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Diagnostics'!$L$237:$L$256</c15:sqref>
                        </c15:formulaRef>
                      </c:ext>
                    </c:extLst>
                    <c:numCache>
                      <c:formatCode>General</c:formatCode>
                      <c:ptCount val="20"/>
                      <c:pt idx="0">
                        <c:v>73000</c:v>
                      </c:pt>
                      <c:pt idx="1">
                        <c:v>31270</c:v>
                      </c:pt>
                      <c:pt idx="2">
                        <c:v>10000</c:v>
                      </c:pt>
                      <c:pt idx="3">
                        <c:v>9200</c:v>
                      </c:pt>
                      <c:pt idx="4">
                        <c:v>7200</c:v>
                      </c:pt>
                      <c:pt idx="5">
                        <c:v>7000</c:v>
                      </c:pt>
                      <c:pt idx="6">
                        <c:v>6587</c:v>
                      </c:pt>
                      <c:pt idx="7">
                        <c:v>6154</c:v>
                      </c:pt>
                      <c:pt idx="8">
                        <c:v>5490</c:v>
                      </c:pt>
                      <c:pt idx="9">
                        <c:v>4494</c:v>
                      </c:pt>
                      <c:pt idx="10">
                        <c:v>4000</c:v>
                      </c:pt>
                      <c:pt idx="11">
                        <c:v>3981</c:v>
                      </c:pt>
                      <c:pt idx="12">
                        <c:v>3800</c:v>
                      </c:pt>
                      <c:pt idx="13">
                        <c:v>3600</c:v>
                      </c:pt>
                      <c:pt idx="14">
                        <c:v>3340</c:v>
                      </c:pt>
                      <c:pt idx="15">
                        <c:v>3000</c:v>
                      </c:pt>
                      <c:pt idx="16">
                        <c:v>2990</c:v>
                      </c:pt>
                      <c:pt idx="17">
                        <c:v>2900</c:v>
                      </c:pt>
                      <c:pt idx="18">
                        <c:v>2823</c:v>
                      </c:pt>
                      <c:pt idx="19">
                        <c:v>2600</c:v>
                      </c:pt>
                    </c:numCache>
                  </c:numRef>
                </c:val>
                <c:extLst xmlns:c15="http://schemas.microsoft.com/office/drawing/2012/chart">
                  <c:ext xmlns:c16="http://schemas.microsoft.com/office/drawing/2014/chart" uri="{C3380CC4-5D6E-409C-BE32-E72D297353CC}">
                    <c16:uniqueId val="{00000003-9EA5-41B3-92FB-2A58820AE954}"/>
                  </c:ext>
                </c:extLst>
              </c15:ser>
            </c15:filteredBarSeries>
            <c15:filteredBarSeries>
              <c15:ser>
                <c:idx val="3"/>
                <c:order val="3"/>
                <c:tx>
                  <c:strRef>
                    <c:extLst>
                      <c:ext xmlns:c15="http://schemas.microsoft.com/office/drawing/2012/chart" uri="{02D57815-91ED-43cb-92C2-25804820EDAC}">
                        <c15:formulaRef>
                          <c15:sqref>'Analysis &amp; Diagnostics'!$M$236</c15:sqref>
                        </c15:formulaRef>
                      </c:ext>
                    </c:extLst>
                    <c:strCache>
                      <c:ptCount val="1"/>
                      <c:pt idx="0">
                        <c:v>Total Count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Diagnostics'!$M$237:$M$256</c15:sqref>
                        </c15:formulaRef>
                      </c:ext>
                    </c:extLst>
                    <c:numCache>
                      <c:formatCode>General</c:formatCode>
                      <c:ptCount val="20"/>
                      <c:pt idx="0">
                        <c:v>14</c:v>
                      </c:pt>
                      <c:pt idx="1">
                        <c:v>15</c:v>
                      </c:pt>
                      <c:pt idx="2">
                        <c:v>1</c:v>
                      </c:pt>
                      <c:pt idx="3">
                        <c:v>6</c:v>
                      </c:pt>
                      <c:pt idx="4">
                        <c:v>4</c:v>
                      </c:pt>
                      <c:pt idx="5">
                        <c:v>1</c:v>
                      </c:pt>
                      <c:pt idx="6">
                        <c:v>87</c:v>
                      </c:pt>
                      <c:pt idx="7">
                        <c:v>66</c:v>
                      </c:pt>
                      <c:pt idx="8">
                        <c:v>1</c:v>
                      </c:pt>
                      <c:pt idx="9">
                        <c:v>7</c:v>
                      </c:pt>
                      <c:pt idx="10">
                        <c:v>1</c:v>
                      </c:pt>
                      <c:pt idx="11">
                        <c:v>20</c:v>
                      </c:pt>
                      <c:pt idx="12">
                        <c:v>17</c:v>
                      </c:pt>
                      <c:pt idx="13">
                        <c:v>1</c:v>
                      </c:pt>
                      <c:pt idx="14">
                        <c:v>8</c:v>
                      </c:pt>
                      <c:pt idx="15">
                        <c:v>1</c:v>
                      </c:pt>
                      <c:pt idx="16">
                        <c:v>7</c:v>
                      </c:pt>
                      <c:pt idx="17">
                        <c:v>1</c:v>
                      </c:pt>
                      <c:pt idx="18">
                        <c:v>12</c:v>
                      </c:pt>
                      <c:pt idx="19">
                        <c:v>1</c:v>
                      </c:pt>
                    </c:numCache>
                  </c:numRef>
                </c:val>
                <c:extLst xmlns:c15="http://schemas.microsoft.com/office/drawing/2012/chart">
                  <c:ext xmlns:c16="http://schemas.microsoft.com/office/drawing/2014/chart" uri="{C3380CC4-5D6E-409C-BE32-E72D297353CC}">
                    <c16:uniqueId val="{00000004-9EA5-41B3-92FB-2A58820AE954}"/>
                  </c:ext>
                </c:extLst>
              </c15:ser>
            </c15:filteredBarSeries>
            <c15:filteredBarSeries>
              <c15:ser>
                <c:idx val="4"/>
                <c:order val="4"/>
                <c:tx>
                  <c:strRef>
                    <c:extLst>
                      <c:ext xmlns:c15="http://schemas.microsoft.com/office/drawing/2012/chart" uri="{02D57815-91ED-43cb-92C2-25804820EDAC}">
                        <c15:formulaRef>
                          <c15:sqref>'Analysis &amp; Diagnostics'!$N$236</c15:sqref>
                        </c15:formulaRef>
                      </c:ext>
                    </c:extLst>
                    <c:strCache>
                      <c:ptCount val="1"/>
                      <c:pt idx="0">
                        <c:v>Rank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Diagnostics'!$N$237:$N$256</c15:sqref>
                        </c15:formulaRef>
                      </c:ext>
                    </c:extLst>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val>
                <c:extLst xmlns:c15="http://schemas.microsoft.com/office/drawing/2012/chart">
                  <c:ext xmlns:c16="http://schemas.microsoft.com/office/drawing/2014/chart" uri="{C3380CC4-5D6E-409C-BE32-E72D297353CC}">
                    <c16:uniqueId val="{00000005-9EA5-41B3-92FB-2A58820AE954}"/>
                  </c:ext>
                </c:extLst>
              </c15:ser>
            </c15:filteredBarSeries>
            <c15:filteredBarSeries>
              <c15:ser>
                <c:idx val="5"/>
                <c:order val="5"/>
                <c:tx>
                  <c:strRef>
                    <c:extLst>
                      <c:ext xmlns:c15="http://schemas.microsoft.com/office/drawing/2012/chart" uri="{02D57815-91ED-43cb-92C2-25804820EDAC}">
                        <c15:formulaRef>
                          <c15:sqref>'Analysis &amp; Diagnostics'!$O$236</c15:sqref>
                        </c15:formulaRef>
                      </c:ext>
                    </c:extLst>
                    <c:strCache>
                      <c:ptCount val="1"/>
                      <c:pt idx="0">
                        <c:v>G-cash Percentage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Diagnostics'!$O$237:$O$256</c15:sqref>
                        </c15:formulaRef>
                      </c:ext>
                    </c:extLst>
                    <c:numCache>
                      <c:formatCode>General</c:formatCode>
                      <c:ptCount val="20"/>
                      <c:pt idx="0">
                        <c:v>0</c:v>
                      </c:pt>
                      <c:pt idx="1">
                        <c:v>0</c:v>
                      </c:pt>
                      <c:pt idx="2">
                        <c:v>0</c:v>
                      </c:pt>
                      <c:pt idx="3">
                        <c:v>0</c:v>
                      </c:pt>
                      <c:pt idx="4">
                        <c:v>2.08</c:v>
                      </c:pt>
                      <c:pt idx="5">
                        <c:v>0</c:v>
                      </c:pt>
                      <c:pt idx="6">
                        <c:v>0</c:v>
                      </c:pt>
                      <c:pt idx="7">
                        <c:v>100</c:v>
                      </c:pt>
                      <c:pt idx="8">
                        <c:v>0</c:v>
                      </c:pt>
                      <c:pt idx="9">
                        <c:v>100</c:v>
                      </c:pt>
                      <c:pt idx="10">
                        <c:v>0</c:v>
                      </c:pt>
                      <c:pt idx="11">
                        <c:v>100</c:v>
                      </c:pt>
                      <c:pt idx="12">
                        <c:v>0</c:v>
                      </c:pt>
                      <c:pt idx="13">
                        <c:v>0</c:v>
                      </c:pt>
                      <c:pt idx="14">
                        <c:v>0</c:v>
                      </c:pt>
                      <c:pt idx="15">
                        <c:v>0</c:v>
                      </c:pt>
                      <c:pt idx="16">
                        <c:v>0</c:v>
                      </c:pt>
                      <c:pt idx="17">
                        <c:v>0</c:v>
                      </c:pt>
                      <c:pt idx="18">
                        <c:v>100</c:v>
                      </c:pt>
                      <c:pt idx="19">
                        <c:v>0</c:v>
                      </c:pt>
                    </c:numCache>
                  </c:numRef>
                </c:val>
                <c:extLst xmlns:c15="http://schemas.microsoft.com/office/drawing/2012/chart">
                  <c:ext xmlns:c16="http://schemas.microsoft.com/office/drawing/2014/chart" uri="{C3380CC4-5D6E-409C-BE32-E72D297353CC}">
                    <c16:uniqueId val="{00000006-9EA5-41B3-92FB-2A58820AE954}"/>
                  </c:ext>
                </c:extLst>
              </c15:ser>
            </c15:filteredBarSeries>
          </c:ext>
        </c:extLst>
      </c:barChart>
      <c:catAx>
        <c:axId val="1143035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Details</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29727"/>
        <c:crosses val="autoZero"/>
        <c:auto val="1"/>
        <c:lblAlgn val="ctr"/>
        <c:lblOffset val="100"/>
        <c:noMultiLvlLbl val="0"/>
      </c:catAx>
      <c:valAx>
        <c:axId val="1143029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3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20 Expenditure</a:t>
            </a:r>
            <a:r>
              <a:rPr lang="en-US" b="1" baseline="0"/>
              <a:t>: </a:t>
            </a:r>
            <a:r>
              <a:rPr lang="en-US" b="0"/>
              <a:t>Total</a:t>
            </a:r>
            <a:r>
              <a:rPr lang="en-US" b="0" baseline="0"/>
              <a:t> Number of Purchase</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'Analysis &amp; Diagnostics'!$M$236</c:f>
              <c:strCache>
                <c:ptCount val="1"/>
                <c:pt idx="0">
                  <c:v>Total Count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Diagnostics'!$I$237:$I$256</c:f>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f>'Analysis &amp; Diagnostics'!$M$237:$M$256</c:f>
              <c:numCache>
                <c:formatCode>General</c:formatCode>
                <c:ptCount val="20"/>
                <c:pt idx="0">
                  <c:v>14</c:v>
                </c:pt>
                <c:pt idx="1">
                  <c:v>15</c:v>
                </c:pt>
                <c:pt idx="2">
                  <c:v>1</c:v>
                </c:pt>
                <c:pt idx="3">
                  <c:v>6</c:v>
                </c:pt>
                <c:pt idx="4">
                  <c:v>4</c:v>
                </c:pt>
                <c:pt idx="5">
                  <c:v>1</c:v>
                </c:pt>
                <c:pt idx="6">
                  <c:v>87</c:v>
                </c:pt>
                <c:pt idx="7">
                  <c:v>66</c:v>
                </c:pt>
                <c:pt idx="8">
                  <c:v>1</c:v>
                </c:pt>
                <c:pt idx="9">
                  <c:v>7</c:v>
                </c:pt>
                <c:pt idx="10">
                  <c:v>1</c:v>
                </c:pt>
                <c:pt idx="11">
                  <c:v>20</c:v>
                </c:pt>
                <c:pt idx="12">
                  <c:v>17</c:v>
                </c:pt>
                <c:pt idx="13">
                  <c:v>1</c:v>
                </c:pt>
                <c:pt idx="14">
                  <c:v>8</c:v>
                </c:pt>
                <c:pt idx="15">
                  <c:v>1</c:v>
                </c:pt>
                <c:pt idx="16">
                  <c:v>7</c:v>
                </c:pt>
                <c:pt idx="17">
                  <c:v>1</c:v>
                </c:pt>
                <c:pt idx="18">
                  <c:v>12</c:v>
                </c:pt>
                <c:pt idx="19">
                  <c:v>1</c:v>
                </c:pt>
              </c:numCache>
            </c:numRef>
          </c:val>
          <c:extLst xmlns:c15="http://schemas.microsoft.com/office/drawing/2012/chart">
            <c:ext xmlns:c16="http://schemas.microsoft.com/office/drawing/2014/chart" uri="{C3380CC4-5D6E-409C-BE32-E72D297353CC}">
              <c16:uniqueId val="{00000000-868C-46F6-A4BC-0C0866C1ECE8}"/>
            </c:ext>
          </c:extLst>
        </c:ser>
        <c:dLbls>
          <c:dLblPos val="outEnd"/>
          <c:showLegendKey val="0"/>
          <c:showVal val="1"/>
          <c:showCatName val="0"/>
          <c:showSerName val="0"/>
          <c:showPercent val="0"/>
          <c:showBubbleSize val="0"/>
        </c:dLbls>
        <c:gapWidth val="219"/>
        <c:overlap val="-27"/>
        <c:axId val="1143035967"/>
        <c:axId val="1143029727"/>
        <c:extLst>
          <c:ext xmlns:c15="http://schemas.microsoft.com/office/drawing/2012/chart" uri="{02D57815-91ED-43cb-92C2-25804820EDAC}">
            <c15:filteredBarSeries>
              <c15:ser>
                <c:idx val="0"/>
                <c:order val="0"/>
                <c:tx>
                  <c:strRef>
                    <c:extLst>
                      <c:ext uri="{02D57815-91ED-43cb-92C2-25804820EDAC}">
                        <c15:formulaRef>
                          <c15:sqref>'Analysis &amp; Diagnostics'!$J$236</c15:sqref>
                        </c15:formulaRef>
                      </c:ext>
                    </c:extLst>
                    <c:strCache>
                      <c:ptCount val="1"/>
                      <c:pt idx="0">
                        <c:v>Sum of G-cash 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uri="{02D57815-91ED-43cb-92C2-25804820EDAC}">
                        <c15:formulaRef>
                          <c15:sqref>'Analysis &amp; Diagnostics'!$J$237:$J$256</c15:sqref>
                        </c15:formulaRef>
                      </c:ext>
                    </c:extLst>
                    <c:numCache>
                      <c:formatCode>General</c:formatCode>
                      <c:ptCount val="20"/>
                      <c:pt idx="4">
                        <c:v>150</c:v>
                      </c:pt>
                      <c:pt idx="7">
                        <c:v>6154</c:v>
                      </c:pt>
                      <c:pt idx="9">
                        <c:v>4494</c:v>
                      </c:pt>
                      <c:pt idx="11">
                        <c:v>3981</c:v>
                      </c:pt>
                      <c:pt idx="18">
                        <c:v>2823</c:v>
                      </c:pt>
                    </c:numCache>
                  </c:numRef>
                </c:val>
                <c:extLst>
                  <c:ext xmlns:c16="http://schemas.microsoft.com/office/drawing/2014/chart" uri="{C3380CC4-5D6E-409C-BE32-E72D297353CC}">
                    <c16:uniqueId val="{00000001-868C-46F6-A4BC-0C0866C1ECE8}"/>
                  </c:ext>
                </c:extLst>
              </c15:ser>
            </c15:filteredBarSeries>
            <c15:filteredBarSeries>
              <c15:ser>
                <c:idx val="1"/>
                <c:order val="1"/>
                <c:tx>
                  <c:strRef>
                    <c:extLst>
                      <c:ext xmlns:c15="http://schemas.microsoft.com/office/drawing/2012/chart" uri="{02D57815-91ED-43cb-92C2-25804820EDAC}">
                        <c15:formulaRef>
                          <c15:sqref>'Analysis &amp; Diagnostics'!$K$236</c15:sqref>
                        </c15:formulaRef>
                      </c:ext>
                    </c:extLst>
                    <c:strCache>
                      <c:ptCount val="1"/>
                      <c:pt idx="0">
                        <c:v>Count of G-cash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Diagnostics'!$K$237:$K$256</c15:sqref>
                        </c15:formulaRef>
                      </c:ext>
                    </c:extLst>
                    <c:numCache>
                      <c:formatCode>General</c:formatCode>
                      <c:ptCount val="20"/>
                      <c:pt idx="4">
                        <c:v>1</c:v>
                      </c:pt>
                      <c:pt idx="7">
                        <c:v>66</c:v>
                      </c:pt>
                      <c:pt idx="9">
                        <c:v>7</c:v>
                      </c:pt>
                      <c:pt idx="11">
                        <c:v>20</c:v>
                      </c:pt>
                      <c:pt idx="18">
                        <c:v>12</c:v>
                      </c:pt>
                    </c:numCache>
                  </c:numRef>
                </c:val>
                <c:extLst xmlns:c15="http://schemas.microsoft.com/office/drawing/2012/chart">
                  <c:ext xmlns:c16="http://schemas.microsoft.com/office/drawing/2014/chart" uri="{C3380CC4-5D6E-409C-BE32-E72D297353CC}">
                    <c16:uniqueId val="{00000002-868C-46F6-A4BC-0C0866C1ECE8}"/>
                  </c:ext>
                </c:extLst>
              </c15:ser>
            </c15:filteredBarSeries>
            <c15:filteredBarSeries>
              <c15:ser>
                <c:idx val="2"/>
                <c:order val="2"/>
                <c:tx>
                  <c:strRef>
                    <c:extLst>
                      <c:ext xmlns:c15="http://schemas.microsoft.com/office/drawing/2012/chart" uri="{02D57815-91ED-43cb-92C2-25804820EDAC}">
                        <c15:formulaRef>
                          <c15:sqref>'Analysis &amp; Diagnostics'!$L$236</c15:sqref>
                        </c15:formulaRef>
                      </c:ext>
                    </c:extLst>
                    <c:strCache>
                      <c:ptCount val="1"/>
                      <c:pt idx="0">
                        <c:v>Total Expenses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Diagnostics'!$L$237:$L$256</c15:sqref>
                        </c15:formulaRef>
                      </c:ext>
                    </c:extLst>
                    <c:numCache>
                      <c:formatCode>General</c:formatCode>
                      <c:ptCount val="20"/>
                      <c:pt idx="0">
                        <c:v>73000</c:v>
                      </c:pt>
                      <c:pt idx="1">
                        <c:v>31270</c:v>
                      </c:pt>
                      <c:pt idx="2">
                        <c:v>10000</c:v>
                      </c:pt>
                      <c:pt idx="3">
                        <c:v>9200</c:v>
                      </c:pt>
                      <c:pt idx="4">
                        <c:v>7200</c:v>
                      </c:pt>
                      <c:pt idx="5">
                        <c:v>7000</c:v>
                      </c:pt>
                      <c:pt idx="6">
                        <c:v>6587</c:v>
                      </c:pt>
                      <c:pt idx="7">
                        <c:v>6154</c:v>
                      </c:pt>
                      <c:pt idx="8">
                        <c:v>5490</c:v>
                      </c:pt>
                      <c:pt idx="9">
                        <c:v>4494</c:v>
                      </c:pt>
                      <c:pt idx="10">
                        <c:v>4000</c:v>
                      </c:pt>
                      <c:pt idx="11">
                        <c:v>3981</c:v>
                      </c:pt>
                      <c:pt idx="12">
                        <c:v>3800</c:v>
                      </c:pt>
                      <c:pt idx="13">
                        <c:v>3600</c:v>
                      </c:pt>
                      <c:pt idx="14">
                        <c:v>3340</c:v>
                      </c:pt>
                      <c:pt idx="15">
                        <c:v>3000</c:v>
                      </c:pt>
                      <c:pt idx="16">
                        <c:v>2990</c:v>
                      </c:pt>
                      <c:pt idx="17">
                        <c:v>2900</c:v>
                      </c:pt>
                      <c:pt idx="18">
                        <c:v>2823</c:v>
                      </c:pt>
                      <c:pt idx="19">
                        <c:v>2600</c:v>
                      </c:pt>
                    </c:numCache>
                  </c:numRef>
                </c:val>
                <c:extLst xmlns:c15="http://schemas.microsoft.com/office/drawing/2012/chart">
                  <c:ext xmlns:c16="http://schemas.microsoft.com/office/drawing/2014/chart" uri="{C3380CC4-5D6E-409C-BE32-E72D297353CC}">
                    <c16:uniqueId val="{00000003-868C-46F6-A4BC-0C0866C1ECE8}"/>
                  </c:ext>
                </c:extLst>
              </c15:ser>
            </c15:filteredBarSeries>
            <c15:filteredBarSeries>
              <c15:ser>
                <c:idx val="4"/>
                <c:order val="4"/>
                <c:tx>
                  <c:strRef>
                    <c:extLst>
                      <c:ext xmlns:c15="http://schemas.microsoft.com/office/drawing/2012/chart" uri="{02D57815-91ED-43cb-92C2-25804820EDAC}">
                        <c15:formulaRef>
                          <c15:sqref>'Analysis &amp; Diagnostics'!$N$236</c15:sqref>
                        </c15:formulaRef>
                      </c:ext>
                    </c:extLst>
                    <c:strCache>
                      <c:ptCount val="1"/>
                      <c:pt idx="0">
                        <c:v>Rank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Diagnostics'!$N$237:$N$256</c15:sqref>
                        </c15:formulaRef>
                      </c:ext>
                    </c:extLst>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val>
                <c:extLst xmlns:c15="http://schemas.microsoft.com/office/drawing/2012/chart">
                  <c:ext xmlns:c16="http://schemas.microsoft.com/office/drawing/2014/chart" uri="{C3380CC4-5D6E-409C-BE32-E72D297353CC}">
                    <c16:uniqueId val="{00000004-868C-46F6-A4BC-0C0866C1ECE8}"/>
                  </c:ext>
                </c:extLst>
              </c15:ser>
            </c15:filteredBarSeries>
            <c15:filteredBarSeries>
              <c15:ser>
                <c:idx val="5"/>
                <c:order val="5"/>
                <c:tx>
                  <c:strRef>
                    <c:extLst>
                      <c:ext xmlns:c15="http://schemas.microsoft.com/office/drawing/2012/chart" uri="{02D57815-91ED-43cb-92C2-25804820EDAC}">
                        <c15:formulaRef>
                          <c15:sqref>'Analysis &amp; Diagnostics'!$O$236</c15:sqref>
                        </c15:formulaRef>
                      </c:ext>
                    </c:extLst>
                    <c:strCache>
                      <c:ptCount val="1"/>
                      <c:pt idx="0">
                        <c:v>G-cash Percentage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Diagnostics'!$O$237:$O$256</c15:sqref>
                        </c15:formulaRef>
                      </c:ext>
                    </c:extLst>
                    <c:numCache>
                      <c:formatCode>General</c:formatCode>
                      <c:ptCount val="20"/>
                      <c:pt idx="0">
                        <c:v>0</c:v>
                      </c:pt>
                      <c:pt idx="1">
                        <c:v>0</c:v>
                      </c:pt>
                      <c:pt idx="2">
                        <c:v>0</c:v>
                      </c:pt>
                      <c:pt idx="3">
                        <c:v>0</c:v>
                      </c:pt>
                      <c:pt idx="4">
                        <c:v>2.08</c:v>
                      </c:pt>
                      <c:pt idx="5">
                        <c:v>0</c:v>
                      </c:pt>
                      <c:pt idx="6">
                        <c:v>0</c:v>
                      </c:pt>
                      <c:pt idx="7">
                        <c:v>100</c:v>
                      </c:pt>
                      <c:pt idx="8">
                        <c:v>0</c:v>
                      </c:pt>
                      <c:pt idx="9">
                        <c:v>100</c:v>
                      </c:pt>
                      <c:pt idx="10">
                        <c:v>0</c:v>
                      </c:pt>
                      <c:pt idx="11">
                        <c:v>100</c:v>
                      </c:pt>
                      <c:pt idx="12">
                        <c:v>0</c:v>
                      </c:pt>
                      <c:pt idx="13">
                        <c:v>0</c:v>
                      </c:pt>
                      <c:pt idx="14">
                        <c:v>0</c:v>
                      </c:pt>
                      <c:pt idx="15">
                        <c:v>0</c:v>
                      </c:pt>
                      <c:pt idx="16">
                        <c:v>0</c:v>
                      </c:pt>
                      <c:pt idx="17">
                        <c:v>0</c:v>
                      </c:pt>
                      <c:pt idx="18">
                        <c:v>100</c:v>
                      </c:pt>
                      <c:pt idx="19">
                        <c:v>0</c:v>
                      </c:pt>
                    </c:numCache>
                  </c:numRef>
                </c:val>
                <c:extLst xmlns:c15="http://schemas.microsoft.com/office/drawing/2012/chart">
                  <c:ext xmlns:c16="http://schemas.microsoft.com/office/drawing/2014/chart" uri="{C3380CC4-5D6E-409C-BE32-E72D297353CC}">
                    <c16:uniqueId val="{00000005-868C-46F6-A4BC-0C0866C1ECE8}"/>
                  </c:ext>
                </c:extLst>
              </c15:ser>
            </c15:filteredBarSeries>
            <c15:filteredBarSeries>
              <c15:ser>
                <c:idx val="6"/>
                <c:order val="6"/>
                <c:tx>
                  <c:strRef>
                    <c:extLst>
                      <c:ext xmlns:c15="http://schemas.microsoft.com/office/drawing/2012/chart" uri="{02D57815-91ED-43cb-92C2-25804820EDAC}">
                        <c15:formulaRef>
                          <c15:sqref>'Analysis &amp; Diagnostics'!$P$236</c15:sqref>
                        </c15:formulaRef>
                      </c:ext>
                    </c:extLst>
                    <c:strCache>
                      <c:ptCount val="1"/>
                      <c:pt idx="0">
                        <c:v>Total Percentage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Diagnostics'!$P$237:$P$256</c15:sqref>
                        </c15:formulaRef>
                      </c:ext>
                    </c:extLst>
                    <c:numCache>
                      <c:formatCode>General</c:formatCode>
                      <c:ptCount val="20"/>
                      <c:pt idx="0">
                        <c:v>28.42</c:v>
                      </c:pt>
                      <c:pt idx="1">
                        <c:v>12.17</c:v>
                      </c:pt>
                      <c:pt idx="2">
                        <c:v>3.89</c:v>
                      </c:pt>
                      <c:pt idx="3">
                        <c:v>3.58</c:v>
                      </c:pt>
                      <c:pt idx="4">
                        <c:v>2.8</c:v>
                      </c:pt>
                      <c:pt idx="5">
                        <c:v>2.73</c:v>
                      </c:pt>
                      <c:pt idx="6">
                        <c:v>2.56</c:v>
                      </c:pt>
                      <c:pt idx="7">
                        <c:v>2.4</c:v>
                      </c:pt>
                      <c:pt idx="8">
                        <c:v>2.14</c:v>
                      </c:pt>
                      <c:pt idx="9">
                        <c:v>1.75</c:v>
                      </c:pt>
                      <c:pt idx="10">
                        <c:v>1.56</c:v>
                      </c:pt>
                      <c:pt idx="11">
                        <c:v>1.55</c:v>
                      </c:pt>
                      <c:pt idx="12">
                        <c:v>1.48</c:v>
                      </c:pt>
                      <c:pt idx="13">
                        <c:v>1.4</c:v>
                      </c:pt>
                      <c:pt idx="14">
                        <c:v>1.3</c:v>
                      </c:pt>
                      <c:pt idx="15">
                        <c:v>1.17</c:v>
                      </c:pt>
                      <c:pt idx="16">
                        <c:v>1.1599999999999999</c:v>
                      </c:pt>
                      <c:pt idx="17">
                        <c:v>1.1299999999999999</c:v>
                      </c:pt>
                      <c:pt idx="18">
                        <c:v>1.1000000000000001</c:v>
                      </c:pt>
                      <c:pt idx="19">
                        <c:v>1.01</c:v>
                      </c:pt>
                    </c:numCache>
                  </c:numRef>
                </c:val>
                <c:extLst xmlns:c15="http://schemas.microsoft.com/office/drawing/2012/chart">
                  <c:ext xmlns:c16="http://schemas.microsoft.com/office/drawing/2014/chart" uri="{C3380CC4-5D6E-409C-BE32-E72D297353CC}">
                    <c16:uniqueId val="{00000006-868C-46F6-A4BC-0C0866C1ECE8}"/>
                  </c:ext>
                </c:extLst>
              </c15:ser>
            </c15:filteredBarSeries>
          </c:ext>
        </c:extLst>
      </c:barChart>
      <c:catAx>
        <c:axId val="1143035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Details</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29727"/>
        <c:crosses val="autoZero"/>
        <c:auto val="1"/>
        <c:lblAlgn val="ctr"/>
        <c:lblOffset val="100"/>
        <c:noMultiLvlLbl val="0"/>
      </c:catAx>
      <c:valAx>
        <c:axId val="1143029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3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The G-cash Expenses in</a:t>
            </a:r>
            <a:r>
              <a:rPr lang="en-US" b="1" baseline="0"/>
              <a:t> Top 20 Expenses</a:t>
            </a:r>
            <a:endParaRPr lang="en-US" b="1"/>
          </a:p>
        </c:rich>
      </c:tx>
      <c:layout>
        <c:manualLayout>
          <c:xMode val="edge"/>
          <c:yMode val="edge"/>
          <c:x val="0.2717833188436840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'Analysis &amp; Diagnostics'!$P$260</c:f>
              <c:strCache>
                <c:ptCount val="1"/>
                <c:pt idx="0">
                  <c:v>Sum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Diagnostics'!$N$261:$N$265</c:f>
              <c:strCache>
                <c:ptCount val="5"/>
                <c:pt idx="0">
                  <c:v>Supa</c:v>
                </c:pt>
                <c:pt idx="1">
                  <c:v>wifi load (magic data)</c:v>
                </c:pt>
                <c:pt idx="2">
                  <c:v>wifi load (family access)</c:v>
                </c:pt>
                <c:pt idx="3">
                  <c:v>Spotify</c:v>
                </c:pt>
                <c:pt idx="4">
                  <c:v>sheena-related</c:v>
                </c:pt>
              </c:strCache>
            </c:strRef>
          </c:cat>
          <c:val>
            <c:numRef>
              <c:f>'Analysis &amp; Diagnostics'!$P$261:$P$265</c:f>
              <c:numCache>
                <c:formatCode>General</c:formatCode>
                <c:ptCount val="5"/>
                <c:pt idx="0">
                  <c:v>6154</c:v>
                </c:pt>
                <c:pt idx="1">
                  <c:v>4494</c:v>
                </c:pt>
                <c:pt idx="2">
                  <c:v>3981</c:v>
                </c:pt>
                <c:pt idx="3">
                  <c:v>2823</c:v>
                </c:pt>
                <c:pt idx="4">
                  <c:v>150</c:v>
                </c:pt>
              </c:numCache>
            </c:numRef>
          </c:val>
          <c:extLst>
            <c:ext xmlns:c16="http://schemas.microsoft.com/office/drawing/2014/chart" uri="{C3380CC4-5D6E-409C-BE32-E72D297353CC}">
              <c16:uniqueId val="{00000000-6F29-4ABB-8D76-44A751A1C82D}"/>
            </c:ext>
          </c:extLst>
        </c:ser>
        <c:dLbls>
          <c:dLblPos val="outEnd"/>
          <c:showLegendKey val="0"/>
          <c:showVal val="1"/>
          <c:showCatName val="0"/>
          <c:showSerName val="0"/>
          <c:showPercent val="0"/>
          <c:showBubbleSize val="0"/>
        </c:dLbls>
        <c:gapWidth val="219"/>
        <c:overlap val="-27"/>
        <c:axId val="958908880"/>
        <c:axId val="958924240"/>
        <c:extLst>
          <c:ext xmlns:c15="http://schemas.microsoft.com/office/drawing/2012/chart" uri="{02D57815-91ED-43cb-92C2-25804820EDAC}">
            <c15:filteredBarSeries>
              <c15:ser>
                <c:idx val="0"/>
                <c:order val="0"/>
                <c:tx>
                  <c:strRef>
                    <c:extLst>
                      <c:ext uri="{02D57815-91ED-43cb-92C2-25804820EDAC}">
                        <c15:formulaRef>
                          <c15:sqref>'Analysis &amp; Diagnostics'!$O$260</c15:sqref>
                        </c15:formulaRef>
                      </c:ext>
                    </c:extLst>
                    <c:strCache>
                      <c:ptCount val="1"/>
                      <c:pt idx="0">
                        <c:v>Rank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Diagnostics'!$N$261:$N$265</c15:sqref>
                        </c15:formulaRef>
                      </c:ext>
                    </c:extLst>
                    <c:strCache>
                      <c:ptCount val="5"/>
                      <c:pt idx="0">
                        <c:v>Supa</c:v>
                      </c:pt>
                      <c:pt idx="1">
                        <c:v>wifi load (magic data)</c:v>
                      </c:pt>
                      <c:pt idx="2">
                        <c:v>wifi load (family access)</c:v>
                      </c:pt>
                      <c:pt idx="3">
                        <c:v>Spotify</c:v>
                      </c:pt>
                      <c:pt idx="4">
                        <c:v>sheena-related</c:v>
                      </c:pt>
                    </c:strCache>
                  </c:strRef>
                </c:cat>
                <c:val>
                  <c:numRef>
                    <c:extLst>
                      <c:ext uri="{02D57815-91ED-43cb-92C2-25804820EDAC}">
                        <c15:formulaRef>
                          <c15:sqref>'Analysis &amp; Diagnostics'!$O$261:$O$265</c15:sqref>
                        </c15:formulaRef>
                      </c:ext>
                    </c:extLst>
                    <c:numCache>
                      <c:formatCode>General</c:formatCode>
                      <c:ptCount val="5"/>
                      <c:pt idx="0">
                        <c:v>8</c:v>
                      </c:pt>
                      <c:pt idx="1">
                        <c:v>10</c:v>
                      </c:pt>
                      <c:pt idx="2">
                        <c:v>12</c:v>
                      </c:pt>
                      <c:pt idx="3">
                        <c:v>19</c:v>
                      </c:pt>
                      <c:pt idx="4">
                        <c:v>5</c:v>
                      </c:pt>
                    </c:numCache>
                  </c:numRef>
                </c:val>
                <c:extLst>
                  <c:ext xmlns:c16="http://schemas.microsoft.com/office/drawing/2014/chart" uri="{C3380CC4-5D6E-409C-BE32-E72D297353CC}">
                    <c16:uniqueId val="{00000001-6F29-4ABB-8D76-44A751A1C82D}"/>
                  </c:ext>
                </c:extLst>
              </c15:ser>
            </c15:filteredBarSeries>
            <c15:filteredBarSeries>
              <c15:ser>
                <c:idx val="2"/>
                <c:order val="2"/>
                <c:tx>
                  <c:strRef>
                    <c:extLst>
                      <c:ext xmlns:c15="http://schemas.microsoft.com/office/drawing/2012/chart" uri="{02D57815-91ED-43cb-92C2-25804820EDAC}">
                        <c15:formulaRef>
                          <c15:sqref>'Analysis &amp; Diagnostics'!$Q$260</c15:sqref>
                        </c15:formulaRef>
                      </c:ext>
                    </c:extLst>
                    <c:strCache>
                      <c:ptCount val="1"/>
                      <c:pt idx="0">
                        <c:v>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Diagnostics'!$N$261:$N$265</c15:sqref>
                        </c15:formulaRef>
                      </c:ext>
                    </c:extLst>
                    <c:strCache>
                      <c:ptCount val="5"/>
                      <c:pt idx="0">
                        <c:v>Supa</c:v>
                      </c:pt>
                      <c:pt idx="1">
                        <c:v>wifi load (magic data)</c:v>
                      </c:pt>
                      <c:pt idx="2">
                        <c:v>wifi load (family access)</c:v>
                      </c:pt>
                      <c:pt idx="3">
                        <c:v>Spotify</c:v>
                      </c:pt>
                      <c:pt idx="4">
                        <c:v>sheena-related</c:v>
                      </c:pt>
                    </c:strCache>
                  </c:strRef>
                </c:cat>
                <c:val>
                  <c:numRef>
                    <c:extLst>
                      <c:ext xmlns:c15="http://schemas.microsoft.com/office/drawing/2012/chart" uri="{02D57815-91ED-43cb-92C2-25804820EDAC}">
                        <c15:formulaRef>
                          <c15:sqref>'Analysis &amp; Diagnostics'!$Q$261:$Q$265</c15:sqref>
                        </c15:formulaRef>
                      </c:ext>
                    </c:extLst>
                    <c:numCache>
                      <c:formatCode>General</c:formatCode>
                      <c:ptCount val="5"/>
                      <c:pt idx="0">
                        <c:v>66</c:v>
                      </c:pt>
                      <c:pt idx="1">
                        <c:v>7</c:v>
                      </c:pt>
                      <c:pt idx="2">
                        <c:v>20</c:v>
                      </c:pt>
                      <c:pt idx="3">
                        <c:v>12</c:v>
                      </c:pt>
                      <c:pt idx="4">
                        <c:v>1</c:v>
                      </c:pt>
                    </c:numCache>
                  </c:numRef>
                </c:val>
                <c:extLst xmlns:c15="http://schemas.microsoft.com/office/drawing/2012/chart">
                  <c:ext xmlns:c16="http://schemas.microsoft.com/office/drawing/2014/chart" uri="{C3380CC4-5D6E-409C-BE32-E72D297353CC}">
                    <c16:uniqueId val="{00000002-6F29-4ABB-8D76-44A751A1C82D}"/>
                  </c:ext>
                </c:extLst>
              </c15:ser>
            </c15:filteredBarSeries>
          </c:ext>
        </c:extLst>
      </c:barChart>
      <c:catAx>
        <c:axId val="95890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 Detail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24240"/>
        <c:crosses val="autoZero"/>
        <c:auto val="1"/>
        <c:lblAlgn val="ctr"/>
        <c:lblOffset val="100"/>
        <c:noMultiLvlLbl val="0"/>
      </c:catAx>
      <c:valAx>
        <c:axId val="958924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0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Monthly "Supa"</a:t>
            </a:r>
            <a:r>
              <a:rPr lang="en-PH" b="1" baseline="0"/>
              <a:t> Expenses Trend</a:t>
            </a:r>
            <a:endParaRPr lang="en-PH" b="1"/>
          </a:p>
          <a:p>
            <a:pPr>
              <a:defRPr/>
            </a:pPr>
            <a:r>
              <a:rPr lang="en-PH"/>
              <a:t>(3-month Average</a:t>
            </a:r>
            <a:r>
              <a:rPr lang="en-PH" baseline="0"/>
              <a:t> Smoothing)</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&amp; Diagnostics'!$J$417</c:f>
              <c:strCache>
                <c:ptCount val="1"/>
                <c:pt idx="0">
                  <c:v>Expenses2</c:v>
                </c:pt>
              </c:strCache>
            </c:strRef>
          </c:tx>
          <c:spPr>
            <a:ln w="28575" cap="rnd">
              <a:solidFill>
                <a:schemeClr val="bg1">
                  <a:lumMod val="75000"/>
                </a:schemeClr>
              </a:solidFill>
              <a:round/>
            </a:ln>
            <a:effectLst/>
          </c:spPr>
          <c:marker>
            <c:symbol val="none"/>
          </c:marker>
          <c:dLbls>
            <c:delete val="1"/>
          </c:dLbls>
          <c:cat>
            <c:numRef>
              <c:f>'Analysis &amp; Diagnostics'!$I$418:$I$427</c:f>
              <c:numCache>
                <c:formatCode>mmm\-yy</c:formatCode>
                <c:ptCount val="10"/>
                <c:pt idx="0">
                  <c:v>45292</c:v>
                </c:pt>
                <c:pt idx="1">
                  <c:v>45323</c:v>
                </c:pt>
                <c:pt idx="2">
                  <c:v>45352</c:v>
                </c:pt>
                <c:pt idx="3">
                  <c:v>45383</c:v>
                </c:pt>
                <c:pt idx="4">
                  <c:v>45413</c:v>
                </c:pt>
                <c:pt idx="5">
                  <c:v>45444</c:v>
                </c:pt>
                <c:pt idx="6">
                  <c:v>45474</c:v>
                </c:pt>
                <c:pt idx="7">
                  <c:v>45505</c:v>
                </c:pt>
                <c:pt idx="8">
                  <c:v>45536</c:v>
                </c:pt>
                <c:pt idx="9">
                  <c:v>45566</c:v>
                </c:pt>
              </c:numCache>
            </c:numRef>
          </c:cat>
          <c:val>
            <c:numRef>
              <c:f>'Analysis &amp; Diagnostics'!$J$418:$J$427</c:f>
              <c:numCache>
                <c:formatCode>General</c:formatCode>
                <c:ptCount val="10"/>
                <c:pt idx="0">
                  <c:v>1275</c:v>
                </c:pt>
                <c:pt idx="1">
                  <c:v>354</c:v>
                </c:pt>
                <c:pt idx="2">
                  <c:v>300</c:v>
                </c:pt>
                <c:pt idx="3">
                  <c:v>300</c:v>
                </c:pt>
                <c:pt idx="4">
                  <c:v>525</c:v>
                </c:pt>
                <c:pt idx="5">
                  <c:v>1125</c:v>
                </c:pt>
                <c:pt idx="6">
                  <c:v>475</c:v>
                </c:pt>
                <c:pt idx="7">
                  <c:v>125</c:v>
                </c:pt>
                <c:pt idx="8">
                  <c:v>325</c:v>
                </c:pt>
                <c:pt idx="9">
                  <c:v>700</c:v>
                </c:pt>
              </c:numCache>
            </c:numRef>
          </c:val>
          <c:smooth val="0"/>
          <c:extLst>
            <c:ext xmlns:c16="http://schemas.microsoft.com/office/drawing/2014/chart" uri="{C3380CC4-5D6E-409C-BE32-E72D297353CC}">
              <c16:uniqueId val="{00000000-2471-4B5F-8B6F-1296E516935B}"/>
            </c:ext>
          </c:extLst>
        </c:ser>
        <c:ser>
          <c:idx val="1"/>
          <c:order val="1"/>
          <c:tx>
            <c:strRef>
              <c:f>'Analysis &amp; Diagnostics'!$K$417</c:f>
              <c:strCache>
                <c:ptCount val="1"/>
                <c:pt idx="0">
                  <c:v>3-month Average2</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dLbls>
            <c:dLbl>
              <c:idx val="0"/>
              <c:layout>
                <c:manualLayout>
                  <c:x val="-5.1431623931623933E-2"/>
                  <c:y val="7.64235199766695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71-4B5F-8B6F-1296E516935B}"/>
                </c:ext>
              </c:extLst>
            </c:dLbl>
            <c:dLbl>
              <c:idx val="1"/>
              <c:layout>
                <c:manualLayout>
                  <c:x val="-2.7927350427350468E-2"/>
                  <c:y val="-5.783573928258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71-4B5F-8B6F-1296E516935B}"/>
                </c:ext>
              </c:extLst>
            </c:dLbl>
            <c:dLbl>
              <c:idx val="2"/>
              <c:layout>
                <c:manualLayout>
                  <c:x val="-7.1367521367521761E-3"/>
                  <c:y val="-5.783573928258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71-4B5F-8B6F-1296E516935B}"/>
                </c:ext>
              </c:extLst>
            </c:dLbl>
            <c:dLbl>
              <c:idx val="3"/>
              <c:layout>
                <c:manualLayout>
                  <c:x val="-4.1324786324786249E-2"/>
                  <c:y val="6.7164260717410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71-4B5F-8B6F-1296E516935B}"/>
                </c:ext>
              </c:extLst>
            </c:dLbl>
            <c:dLbl>
              <c:idx val="4"/>
              <c:layout>
                <c:manualLayout>
                  <c:x val="-2.4230769230769229E-2"/>
                  <c:y val="6.2534631087780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71-4B5F-8B6F-1296E516935B}"/>
                </c:ext>
              </c:extLst>
            </c:dLbl>
            <c:dLbl>
              <c:idx val="5"/>
              <c:layout>
                <c:manualLayout>
                  <c:x val="-3.0641025641025641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71-4B5F-8B6F-1296E516935B}"/>
                </c:ext>
              </c:extLst>
            </c:dLbl>
            <c:dLbl>
              <c:idx val="8"/>
              <c:layout>
                <c:manualLayout>
                  <c:x val="-4.0747863247863246E-2"/>
                  <c:y val="6.8537489726085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71-4B5F-8B6F-1296E516935B}"/>
                </c:ext>
              </c:extLst>
            </c:dLbl>
            <c:dLbl>
              <c:idx val="9"/>
              <c:layout>
                <c:manualLayout>
                  <c:x val="-2.6853253920183211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71-4B5F-8B6F-1296E51693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numRef>
              <c:f>'Analysis &amp; Diagnostics'!$I$418:$I$427</c:f>
              <c:numCache>
                <c:formatCode>mmm\-yy</c:formatCode>
                <c:ptCount val="10"/>
                <c:pt idx="0">
                  <c:v>45292</c:v>
                </c:pt>
                <c:pt idx="1">
                  <c:v>45323</c:v>
                </c:pt>
                <c:pt idx="2">
                  <c:v>45352</c:v>
                </c:pt>
                <c:pt idx="3">
                  <c:v>45383</c:v>
                </c:pt>
                <c:pt idx="4">
                  <c:v>45413</c:v>
                </c:pt>
                <c:pt idx="5">
                  <c:v>45444</c:v>
                </c:pt>
                <c:pt idx="6">
                  <c:v>45474</c:v>
                </c:pt>
                <c:pt idx="7">
                  <c:v>45505</c:v>
                </c:pt>
                <c:pt idx="8">
                  <c:v>45536</c:v>
                </c:pt>
                <c:pt idx="9">
                  <c:v>45566</c:v>
                </c:pt>
              </c:numCache>
            </c:numRef>
          </c:cat>
          <c:val>
            <c:numRef>
              <c:f>'Analysis &amp; Diagnostics'!$K$418:$K$427</c:f>
              <c:numCache>
                <c:formatCode>General</c:formatCode>
                <c:ptCount val="10"/>
                <c:pt idx="0">
                  <c:v>641.66999999999996</c:v>
                </c:pt>
                <c:pt idx="1">
                  <c:v>626.33000000000004</c:v>
                </c:pt>
                <c:pt idx="2">
                  <c:v>643</c:v>
                </c:pt>
                <c:pt idx="3">
                  <c:v>318</c:v>
                </c:pt>
                <c:pt idx="4">
                  <c:v>375</c:v>
                </c:pt>
                <c:pt idx="5">
                  <c:v>650</c:v>
                </c:pt>
                <c:pt idx="6">
                  <c:v>708.33</c:v>
                </c:pt>
                <c:pt idx="7">
                  <c:v>575</c:v>
                </c:pt>
                <c:pt idx="8">
                  <c:v>308.33</c:v>
                </c:pt>
                <c:pt idx="9">
                  <c:v>383.33</c:v>
                </c:pt>
              </c:numCache>
            </c:numRef>
          </c:val>
          <c:smooth val="0"/>
          <c:extLst>
            <c:ext xmlns:c16="http://schemas.microsoft.com/office/drawing/2014/chart" uri="{C3380CC4-5D6E-409C-BE32-E72D297353CC}">
              <c16:uniqueId val="{0000000A-2471-4B5F-8B6F-1296E516935B}"/>
            </c:ext>
          </c:extLst>
        </c:ser>
        <c:dLbls>
          <c:dLblPos val="t"/>
          <c:showLegendKey val="0"/>
          <c:showVal val="1"/>
          <c:showCatName val="0"/>
          <c:showSerName val="0"/>
          <c:showPercent val="0"/>
          <c:showBubbleSize val="0"/>
        </c:dLbls>
        <c:smooth val="0"/>
        <c:axId val="1813567727"/>
        <c:axId val="1813574927"/>
      </c:lineChart>
      <c:dateAx>
        <c:axId val="1813567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 (month-year)</a:t>
                </a:r>
              </a:p>
            </c:rich>
          </c:tx>
          <c:layout>
            <c:manualLayout>
              <c:xMode val="edge"/>
              <c:yMode val="edge"/>
              <c:x val="0.43366898849182312"/>
              <c:y val="0.795925196850393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74927"/>
        <c:crosses val="autoZero"/>
        <c:auto val="1"/>
        <c:lblOffset val="100"/>
        <c:baseTimeUnit val="months"/>
      </c:dateAx>
      <c:valAx>
        <c:axId val="1813574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67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 Count of Each "Supa" Type</a:t>
            </a:r>
          </a:p>
        </c:rich>
      </c:tx>
      <c:layout>
        <c:manualLayout>
          <c:xMode val="edge"/>
          <c:yMode val="edge"/>
          <c:x val="0.2756761895147721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'Analysis &amp; Diagnostics'!$L$444</c:f>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&amp; Diagnostics'!$K$445:$K$448</c:f>
              <c:numCache>
                <c:formatCode>"₱"#,##0.00</c:formatCode>
                <c:ptCount val="4"/>
                <c:pt idx="0">
                  <c:v>25</c:v>
                </c:pt>
                <c:pt idx="1">
                  <c:v>50</c:v>
                </c:pt>
                <c:pt idx="2">
                  <c:v>125</c:v>
                </c:pt>
                <c:pt idx="3">
                  <c:v>129</c:v>
                </c:pt>
              </c:numCache>
            </c:numRef>
          </c:cat>
          <c:val>
            <c:numRef>
              <c:f>'Analysis &amp; Diagnostics'!$L$445:$L$448</c:f>
              <c:numCache>
                <c:formatCode>General</c:formatCode>
                <c:ptCount val="4"/>
                <c:pt idx="0">
                  <c:v>6</c:v>
                </c:pt>
                <c:pt idx="1">
                  <c:v>20</c:v>
                </c:pt>
                <c:pt idx="2">
                  <c:v>39</c:v>
                </c:pt>
                <c:pt idx="3">
                  <c:v>1</c:v>
                </c:pt>
              </c:numCache>
            </c:numRef>
          </c:val>
          <c:extLst>
            <c:ext xmlns:c16="http://schemas.microsoft.com/office/drawing/2014/chart" uri="{C3380CC4-5D6E-409C-BE32-E72D297353CC}">
              <c16:uniqueId val="{00000000-2692-4B15-814E-7B57310C1196}"/>
            </c:ext>
          </c:extLst>
        </c:ser>
        <c:dLbls>
          <c:dLblPos val="outEnd"/>
          <c:showLegendKey val="0"/>
          <c:showVal val="1"/>
          <c:showCatName val="0"/>
          <c:showSerName val="0"/>
          <c:showPercent val="0"/>
          <c:showBubbleSize val="0"/>
        </c:dLbls>
        <c:gapWidth val="219"/>
        <c:overlap val="-27"/>
        <c:axId val="988318271"/>
        <c:axId val="988322591"/>
        <c:extLst>
          <c:ext xmlns:c15="http://schemas.microsoft.com/office/drawing/2012/chart" uri="{02D57815-91ED-43cb-92C2-25804820EDAC}">
            <c15:filteredBarSeries>
              <c15:ser>
                <c:idx val="0"/>
                <c:order val="0"/>
                <c:tx>
                  <c:strRef>
                    <c:extLst>
                      <c:ext uri="{02D57815-91ED-43cb-92C2-25804820EDAC}">
                        <c15:formulaRef>
                          <c15:sqref>'Analysis &amp; Diagnostics'!$K$444</c15:sqref>
                        </c15:formulaRef>
                      </c:ext>
                    </c:extLst>
                    <c:strCache>
                      <c:ptCount val="1"/>
                      <c:pt idx="0">
                        <c:v>Supa type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 &amp; Diagnostics'!$K$445:$K$448</c15:sqref>
                        </c15:formulaRef>
                      </c:ext>
                    </c:extLst>
                    <c:numCache>
                      <c:formatCode>"₱"#,##0.00</c:formatCode>
                      <c:ptCount val="4"/>
                      <c:pt idx="0">
                        <c:v>25</c:v>
                      </c:pt>
                      <c:pt idx="1">
                        <c:v>50</c:v>
                      </c:pt>
                      <c:pt idx="2">
                        <c:v>125</c:v>
                      </c:pt>
                      <c:pt idx="3">
                        <c:v>129</c:v>
                      </c:pt>
                    </c:numCache>
                  </c:numRef>
                </c:cat>
                <c:val>
                  <c:numRef>
                    <c:extLst>
                      <c:ext uri="{02D57815-91ED-43cb-92C2-25804820EDAC}">
                        <c15:formulaRef>
                          <c15:sqref>'Analysis &amp; Diagnostics'!$K$445:$K$448</c15:sqref>
                        </c15:formulaRef>
                      </c:ext>
                    </c:extLst>
                    <c:numCache>
                      <c:formatCode>"₱"#,##0.00</c:formatCode>
                      <c:ptCount val="4"/>
                      <c:pt idx="0">
                        <c:v>25</c:v>
                      </c:pt>
                      <c:pt idx="1">
                        <c:v>50</c:v>
                      </c:pt>
                      <c:pt idx="2">
                        <c:v>125</c:v>
                      </c:pt>
                      <c:pt idx="3">
                        <c:v>129</c:v>
                      </c:pt>
                    </c:numCache>
                  </c:numRef>
                </c:val>
                <c:extLst>
                  <c:ext xmlns:c16="http://schemas.microsoft.com/office/drawing/2014/chart" uri="{C3380CC4-5D6E-409C-BE32-E72D297353CC}">
                    <c16:uniqueId val="{00000001-2692-4B15-814E-7B57310C119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'Analysis &amp; Diagnostics'!$M$444</c15:sqref>
                        </c15:formulaRef>
                      </c:ext>
                    </c:extLst>
                    <c:strCache>
                      <c:ptCount val="1"/>
                      <c:pt idx="0">
                        <c:v>Sum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'Analysis &amp; Diagnostics'!$K$445:$K$448</c15:sqref>
                        </c15:formulaRef>
                      </c:ext>
                    </c:extLst>
                    <c:numCache>
                      <c:formatCode>"₱"#,##0.00</c:formatCode>
                      <c:ptCount val="4"/>
                      <c:pt idx="0">
                        <c:v>25</c:v>
                      </c:pt>
                      <c:pt idx="1">
                        <c:v>50</c:v>
                      </c:pt>
                      <c:pt idx="2">
                        <c:v>125</c:v>
                      </c:pt>
                      <c:pt idx="3">
                        <c:v>129</c:v>
                      </c:pt>
                    </c:numCache>
                  </c:numRef>
                </c:cat>
                <c:val>
                  <c:numRef>
                    <c:extLst xmlns:c15="http://schemas.microsoft.com/office/drawing/2012/chart">
                      <c:ext xmlns:c15="http://schemas.microsoft.com/office/drawing/2012/chart" uri="{02D57815-91ED-43cb-92C2-25804820EDAC}">
                        <c15:formulaRef>
                          <c15:sqref>'Analysis &amp; Diagnostics'!$M$445:$M$448</c15:sqref>
                        </c15:formulaRef>
                      </c:ext>
                    </c:extLst>
                    <c:numCache>
                      <c:formatCode>General</c:formatCode>
                      <c:ptCount val="4"/>
                      <c:pt idx="0">
                        <c:v>150</c:v>
                      </c:pt>
                      <c:pt idx="1">
                        <c:v>1000</c:v>
                      </c:pt>
                      <c:pt idx="2">
                        <c:v>4875</c:v>
                      </c:pt>
                      <c:pt idx="3">
                        <c:v>129</c:v>
                      </c:pt>
                    </c:numCache>
                  </c:numRef>
                </c:val>
                <c:extLst xmlns:c15="http://schemas.microsoft.com/office/drawing/2012/chart">
                  <c:ext xmlns:c16="http://schemas.microsoft.com/office/drawing/2014/chart" uri="{C3380CC4-5D6E-409C-BE32-E72D297353CC}">
                    <c16:uniqueId val="{00000002-2692-4B15-814E-7B57310C119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'Analysis &amp; Diagnostics'!$N$444</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'Analysis &amp; Diagnostics'!$K$445:$K$448</c15:sqref>
                        </c15:formulaRef>
                      </c:ext>
                    </c:extLst>
                    <c:numCache>
                      <c:formatCode>"₱"#,##0.00</c:formatCode>
                      <c:ptCount val="4"/>
                      <c:pt idx="0">
                        <c:v>25</c:v>
                      </c:pt>
                      <c:pt idx="1">
                        <c:v>50</c:v>
                      </c:pt>
                      <c:pt idx="2">
                        <c:v>125</c:v>
                      </c:pt>
                      <c:pt idx="3">
                        <c:v>129</c:v>
                      </c:pt>
                    </c:numCache>
                  </c:numRef>
                </c:cat>
                <c:val>
                  <c:numRef>
                    <c:extLst xmlns:c15="http://schemas.microsoft.com/office/drawing/2012/chart">
                      <c:ext xmlns:c15="http://schemas.microsoft.com/office/drawing/2012/chart" uri="{02D57815-91ED-43cb-92C2-25804820EDAC}">
                        <c15:formulaRef>
                          <c15:sqref>'Analysis &amp; Diagnostics'!$N$445:$N$448</c15:sqref>
                        </c15:formulaRef>
                      </c:ext>
                    </c:extLst>
                    <c:numCache>
                      <c:formatCode>General</c:formatCode>
                      <c:ptCount val="4"/>
                      <c:pt idx="0">
                        <c:v>2.44</c:v>
                      </c:pt>
                      <c:pt idx="1">
                        <c:v>16.25</c:v>
                      </c:pt>
                      <c:pt idx="2">
                        <c:v>79.22</c:v>
                      </c:pt>
                      <c:pt idx="3">
                        <c:v>2.1</c:v>
                      </c:pt>
                    </c:numCache>
                  </c:numRef>
                </c:val>
                <c:extLst xmlns:c15="http://schemas.microsoft.com/office/drawing/2012/chart">
                  <c:ext xmlns:c16="http://schemas.microsoft.com/office/drawing/2014/chart" uri="{C3380CC4-5D6E-409C-BE32-E72D297353CC}">
                    <c16:uniqueId val="{00000003-2692-4B15-814E-7B57310C1196}"/>
                  </c:ext>
                </c:extLst>
              </c15:ser>
            </c15:filteredBarSeries>
          </c:ext>
        </c:extLst>
      </c:barChart>
      <c:catAx>
        <c:axId val="988318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"Supa"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322591"/>
        <c:crosses val="autoZero"/>
        <c:auto val="1"/>
        <c:lblAlgn val="ctr"/>
        <c:lblOffset val="100"/>
        <c:noMultiLvlLbl val="0"/>
      </c:catAx>
      <c:valAx>
        <c:axId val="988322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Count</a:t>
                </a:r>
              </a:p>
            </c:rich>
          </c:tx>
          <c:layout>
            <c:manualLayout>
              <c:xMode val="edge"/>
              <c:yMode val="edge"/>
              <c:x val="2.3504273504273504E-2"/>
              <c:y val="0.37557086614173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31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Expenses </a:t>
            </a:r>
            <a:r>
              <a:rPr lang="en-US" b="1"/>
              <a:t>of Each "Supa" Type</a:t>
            </a:r>
          </a:p>
        </c:rich>
      </c:tx>
      <c:layout>
        <c:manualLayout>
          <c:xMode val="edge"/>
          <c:yMode val="edge"/>
          <c:x val="0.3055907194293021"/>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'Analysis &amp; Diagnostics'!$M$444</c:f>
              <c:strCache>
                <c:ptCount val="1"/>
                <c:pt idx="0">
                  <c:v>Sum</c:v>
                </c:pt>
              </c:strCache>
              <c:extLst xmlns:c15="http://schemas.microsoft.com/office/drawing/2012/chart"/>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&amp; Diagnostics'!$K$445:$K$448</c:f>
              <c:numCache>
                <c:formatCode>"₱"#,##0.00</c:formatCode>
                <c:ptCount val="4"/>
                <c:pt idx="0">
                  <c:v>25</c:v>
                </c:pt>
                <c:pt idx="1">
                  <c:v>50</c:v>
                </c:pt>
                <c:pt idx="2">
                  <c:v>125</c:v>
                </c:pt>
                <c:pt idx="3">
                  <c:v>129</c:v>
                </c:pt>
              </c:numCache>
              <c:extLst xmlns:c15="http://schemas.microsoft.com/office/drawing/2012/chart"/>
            </c:numRef>
          </c:cat>
          <c:val>
            <c:numRef>
              <c:f>'Analysis &amp; Diagnostics'!$M$445:$M$448</c:f>
              <c:numCache>
                <c:formatCode>General</c:formatCode>
                <c:ptCount val="4"/>
                <c:pt idx="0">
                  <c:v>150</c:v>
                </c:pt>
                <c:pt idx="1">
                  <c:v>1000</c:v>
                </c:pt>
                <c:pt idx="2">
                  <c:v>4875</c:v>
                </c:pt>
                <c:pt idx="3">
                  <c:v>129</c:v>
                </c:pt>
              </c:numCache>
              <c:extLst xmlns:c15="http://schemas.microsoft.com/office/drawing/2012/chart"/>
            </c:numRef>
          </c:val>
          <c:extLst xmlns:c15="http://schemas.microsoft.com/office/drawing/2012/chart">
            <c:ext xmlns:c16="http://schemas.microsoft.com/office/drawing/2014/chart" uri="{C3380CC4-5D6E-409C-BE32-E72D297353CC}">
              <c16:uniqueId val="{00000000-EE71-4E48-B5D2-76053E7FE771}"/>
            </c:ext>
          </c:extLst>
        </c:ser>
        <c:dLbls>
          <c:dLblPos val="outEnd"/>
          <c:showLegendKey val="0"/>
          <c:showVal val="1"/>
          <c:showCatName val="0"/>
          <c:showSerName val="0"/>
          <c:showPercent val="0"/>
          <c:showBubbleSize val="0"/>
        </c:dLbls>
        <c:gapWidth val="219"/>
        <c:overlap val="-27"/>
        <c:axId val="988318271"/>
        <c:axId val="988322591"/>
        <c:extLst>
          <c:ext xmlns:c15="http://schemas.microsoft.com/office/drawing/2012/chart" uri="{02D57815-91ED-43cb-92C2-25804820EDAC}">
            <c15:filteredBarSeries>
              <c15:ser>
                <c:idx val="0"/>
                <c:order val="0"/>
                <c:tx>
                  <c:strRef>
                    <c:extLst>
                      <c:ext uri="{02D57815-91ED-43cb-92C2-25804820EDAC}">
                        <c15:formulaRef>
                          <c15:sqref>'Analysis &amp; Diagnostics'!$K$444</c15:sqref>
                        </c15:formulaRef>
                      </c:ext>
                    </c:extLst>
                    <c:strCache>
                      <c:ptCount val="1"/>
                      <c:pt idx="0">
                        <c:v>Supa type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 &amp; Diagnostics'!$K$445:$K$448</c15:sqref>
                        </c15:formulaRef>
                      </c:ext>
                    </c:extLst>
                    <c:numCache>
                      <c:formatCode>"₱"#,##0.00</c:formatCode>
                      <c:ptCount val="4"/>
                      <c:pt idx="0">
                        <c:v>25</c:v>
                      </c:pt>
                      <c:pt idx="1">
                        <c:v>50</c:v>
                      </c:pt>
                      <c:pt idx="2">
                        <c:v>125</c:v>
                      </c:pt>
                      <c:pt idx="3">
                        <c:v>129</c:v>
                      </c:pt>
                    </c:numCache>
                  </c:numRef>
                </c:cat>
                <c:val>
                  <c:numRef>
                    <c:extLst>
                      <c:ext uri="{02D57815-91ED-43cb-92C2-25804820EDAC}">
                        <c15:formulaRef>
                          <c15:sqref>'Analysis &amp; Diagnostics'!$K$445:$K$448</c15:sqref>
                        </c15:formulaRef>
                      </c:ext>
                    </c:extLst>
                    <c:numCache>
                      <c:formatCode>"₱"#,##0.00</c:formatCode>
                      <c:ptCount val="4"/>
                      <c:pt idx="0">
                        <c:v>25</c:v>
                      </c:pt>
                      <c:pt idx="1">
                        <c:v>50</c:v>
                      </c:pt>
                      <c:pt idx="2">
                        <c:v>125</c:v>
                      </c:pt>
                      <c:pt idx="3">
                        <c:v>129</c:v>
                      </c:pt>
                    </c:numCache>
                  </c:numRef>
                </c:val>
                <c:extLst>
                  <c:ext xmlns:c16="http://schemas.microsoft.com/office/drawing/2014/chart" uri="{C3380CC4-5D6E-409C-BE32-E72D297353CC}">
                    <c16:uniqueId val="{00000001-EE71-4E48-B5D2-76053E7FE77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'Analysis &amp; Diagnostics'!$L$444</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'Analysis &amp; Diagnostics'!$K$445:$K$448</c15:sqref>
                        </c15:formulaRef>
                      </c:ext>
                    </c:extLst>
                    <c:numCache>
                      <c:formatCode>"₱"#,##0.00</c:formatCode>
                      <c:ptCount val="4"/>
                      <c:pt idx="0">
                        <c:v>25</c:v>
                      </c:pt>
                      <c:pt idx="1">
                        <c:v>50</c:v>
                      </c:pt>
                      <c:pt idx="2">
                        <c:v>125</c:v>
                      </c:pt>
                      <c:pt idx="3">
                        <c:v>129</c:v>
                      </c:pt>
                    </c:numCache>
                  </c:numRef>
                </c:cat>
                <c:val>
                  <c:numRef>
                    <c:extLst xmlns:c15="http://schemas.microsoft.com/office/drawing/2012/chart">
                      <c:ext xmlns:c15="http://schemas.microsoft.com/office/drawing/2012/chart" uri="{02D57815-91ED-43cb-92C2-25804820EDAC}">
                        <c15:formulaRef>
                          <c15:sqref>'Analysis &amp; Diagnostics'!$L$445:$L$448</c15:sqref>
                        </c15:formulaRef>
                      </c:ext>
                    </c:extLst>
                    <c:numCache>
                      <c:formatCode>General</c:formatCode>
                      <c:ptCount val="4"/>
                      <c:pt idx="0">
                        <c:v>6</c:v>
                      </c:pt>
                      <c:pt idx="1">
                        <c:v>20</c:v>
                      </c:pt>
                      <c:pt idx="2">
                        <c:v>39</c:v>
                      </c:pt>
                      <c:pt idx="3">
                        <c:v>1</c:v>
                      </c:pt>
                    </c:numCache>
                  </c:numRef>
                </c:val>
                <c:extLst xmlns:c15="http://schemas.microsoft.com/office/drawing/2012/chart">
                  <c:ext xmlns:c16="http://schemas.microsoft.com/office/drawing/2014/chart" uri="{C3380CC4-5D6E-409C-BE32-E72D297353CC}">
                    <c16:uniqueId val="{00000002-EE71-4E48-B5D2-76053E7FE77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'Analysis &amp; Diagnostics'!$N$444</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'Analysis &amp; Diagnostics'!$K$445:$K$448</c15:sqref>
                        </c15:formulaRef>
                      </c:ext>
                    </c:extLst>
                    <c:numCache>
                      <c:formatCode>"₱"#,##0.00</c:formatCode>
                      <c:ptCount val="4"/>
                      <c:pt idx="0">
                        <c:v>25</c:v>
                      </c:pt>
                      <c:pt idx="1">
                        <c:v>50</c:v>
                      </c:pt>
                      <c:pt idx="2">
                        <c:v>125</c:v>
                      </c:pt>
                      <c:pt idx="3">
                        <c:v>129</c:v>
                      </c:pt>
                    </c:numCache>
                  </c:numRef>
                </c:cat>
                <c:val>
                  <c:numRef>
                    <c:extLst xmlns:c15="http://schemas.microsoft.com/office/drawing/2012/chart">
                      <c:ext xmlns:c15="http://schemas.microsoft.com/office/drawing/2012/chart" uri="{02D57815-91ED-43cb-92C2-25804820EDAC}">
                        <c15:formulaRef>
                          <c15:sqref>'Analysis &amp; Diagnostics'!$N$445:$N$448</c15:sqref>
                        </c15:formulaRef>
                      </c:ext>
                    </c:extLst>
                    <c:numCache>
                      <c:formatCode>General</c:formatCode>
                      <c:ptCount val="4"/>
                      <c:pt idx="0">
                        <c:v>2.44</c:v>
                      </c:pt>
                      <c:pt idx="1">
                        <c:v>16.25</c:v>
                      </c:pt>
                      <c:pt idx="2">
                        <c:v>79.22</c:v>
                      </c:pt>
                      <c:pt idx="3">
                        <c:v>2.1</c:v>
                      </c:pt>
                    </c:numCache>
                  </c:numRef>
                </c:val>
                <c:extLst xmlns:c15="http://schemas.microsoft.com/office/drawing/2012/chart">
                  <c:ext xmlns:c16="http://schemas.microsoft.com/office/drawing/2014/chart" uri="{C3380CC4-5D6E-409C-BE32-E72D297353CC}">
                    <c16:uniqueId val="{00000003-EE71-4E48-B5D2-76053E7FE771}"/>
                  </c:ext>
                </c:extLst>
              </c15:ser>
            </c15:filteredBarSeries>
          </c:ext>
        </c:extLst>
      </c:barChart>
      <c:catAx>
        <c:axId val="988318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"Supa" Type</a:t>
                </a:r>
              </a:p>
            </c:rich>
          </c:tx>
          <c:layout>
            <c:manualLayout>
              <c:xMode val="edge"/>
              <c:yMode val="edge"/>
              <c:x val="0.4506294165152433"/>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322591"/>
        <c:crosses val="autoZero"/>
        <c:auto val="1"/>
        <c:lblAlgn val="ctr"/>
        <c:lblOffset val="100"/>
        <c:noMultiLvlLbl val="0"/>
      </c:catAx>
      <c:valAx>
        <c:axId val="988322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31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Expenses of </a:t>
            </a:r>
            <a:r>
              <a:rPr lang="en-US" b="1" i="1" baseline="0"/>
              <a:t>"Supa"</a:t>
            </a:r>
            <a:endParaRPr lang="en-US" b="1" i="1"/>
          </a:p>
        </c:rich>
      </c:tx>
      <c:layout>
        <c:manualLayout>
          <c:xMode val="edge"/>
          <c:yMode val="edge"/>
          <c:x val="0.32527676828857932"/>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&amp; Diagnostics'!$G$401</c:f>
              <c:strCache>
                <c:ptCount val="1"/>
                <c:pt idx="0">
                  <c:v>Monthly 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&amp; Diagnostics'!$F$402:$F$413</c:f>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f>'Analysis &amp; Diagnostics'!$G$402:$G$413</c:f>
              <c:numCache>
                <c:formatCode>General</c:formatCode>
                <c:ptCount val="12"/>
                <c:pt idx="0">
                  <c:v>400</c:v>
                </c:pt>
                <c:pt idx="1">
                  <c:v>250</c:v>
                </c:pt>
                <c:pt idx="2">
                  <c:v>1275</c:v>
                </c:pt>
                <c:pt idx="3">
                  <c:v>354</c:v>
                </c:pt>
                <c:pt idx="4">
                  <c:v>300</c:v>
                </c:pt>
                <c:pt idx="5">
                  <c:v>300</c:v>
                </c:pt>
                <c:pt idx="6">
                  <c:v>525</c:v>
                </c:pt>
                <c:pt idx="7">
                  <c:v>1125</c:v>
                </c:pt>
                <c:pt idx="8">
                  <c:v>475</c:v>
                </c:pt>
                <c:pt idx="9">
                  <c:v>125</c:v>
                </c:pt>
                <c:pt idx="10">
                  <c:v>325</c:v>
                </c:pt>
                <c:pt idx="11">
                  <c:v>700</c:v>
                </c:pt>
              </c:numCache>
            </c:numRef>
          </c:val>
          <c:extLst>
            <c:ext xmlns:c16="http://schemas.microsoft.com/office/drawing/2014/chart" uri="{C3380CC4-5D6E-409C-BE32-E72D297353CC}">
              <c16:uniqueId val="{00000000-268E-414B-A3EF-940283F798DD}"/>
            </c:ext>
          </c:extLst>
        </c:ser>
        <c:dLbls>
          <c:dLblPos val="outEnd"/>
          <c:showLegendKey val="0"/>
          <c:showVal val="1"/>
          <c:showCatName val="0"/>
          <c:showSerName val="0"/>
          <c:showPercent val="0"/>
          <c:showBubbleSize val="0"/>
        </c:dLbls>
        <c:gapWidth val="219"/>
        <c:overlap val="-27"/>
        <c:axId val="958914160"/>
        <c:axId val="958905520"/>
        <c:extLst>
          <c:ext xmlns:c15="http://schemas.microsoft.com/office/drawing/2012/chart" uri="{02D57815-91ED-43cb-92C2-25804820EDAC}">
            <c15:filteredBarSeries>
              <c15:ser>
                <c:idx val="1"/>
                <c:order val="1"/>
                <c:tx>
                  <c:strRef>
                    <c:extLst>
                      <c:ext uri="{02D57815-91ED-43cb-92C2-25804820EDAC}">
                        <c15:formulaRef>
                          <c15:sqref>'Analysis &amp; Diagnostics'!$H$401</c15:sqref>
                        </c15:formulaRef>
                      </c:ext>
                    </c:extLst>
                    <c:strCache>
                      <c:ptCount val="1"/>
                      <c:pt idx="0">
                        <c:v>Purchase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 &amp; Diagnostics'!$F$402:$F$413</c15:sqref>
                        </c15:formulaRef>
                      </c:ext>
                    </c:extLst>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extLst>
                      <c:ext uri="{02D57815-91ED-43cb-92C2-25804820EDAC}">
                        <c15:formulaRef>
                          <c15:sqref>'Analysis &amp; Diagnostics'!$H$402:$H$413</c15:sqref>
                        </c15:formulaRef>
                      </c:ext>
                    </c:extLst>
                    <c:numCache>
                      <c:formatCode>General</c:formatCode>
                      <c:ptCount val="12"/>
                      <c:pt idx="0">
                        <c:v>4</c:v>
                      </c:pt>
                      <c:pt idx="1">
                        <c:v>2</c:v>
                      </c:pt>
                      <c:pt idx="2">
                        <c:v>13</c:v>
                      </c:pt>
                      <c:pt idx="3">
                        <c:v>4</c:v>
                      </c:pt>
                      <c:pt idx="4">
                        <c:v>3</c:v>
                      </c:pt>
                      <c:pt idx="5">
                        <c:v>3</c:v>
                      </c:pt>
                      <c:pt idx="6">
                        <c:v>6</c:v>
                      </c:pt>
                      <c:pt idx="7">
                        <c:v>14</c:v>
                      </c:pt>
                      <c:pt idx="8">
                        <c:v>5</c:v>
                      </c:pt>
                      <c:pt idx="9">
                        <c:v>1</c:v>
                      </c:pt>
                      <c:pt idx="10">
                        <c:v>4</c:v>
                      </c:pt>
                      <c:pt idx="11">
                        <c:v>7</c:v>
                      </c:pt>
                    </c:numCache>
                  </c:numRef>
                </c:val>
                <c:extLst>
                  <c:ext xmlns:c16="http://schemas.microsoft.com/office/drawing/2014/chart" uri="{C3380CC4-5D6E-409C-BE32-E72D297353CC}">
                    <c16:uniqueId val="{00000001-268E-414B-A3EF-940283F798DD}"/>
                  </c:ext>
                </c:extLst>
              </c15:ser>
            </c15:filteredBarSeries>
            <c15:filteredBarSeries>
              <c15:ser>
                <c:idx val="2"/>
                <c:order val="2"/>
                <c:tx>
                  <c:strRef>
                    <c:extLst>
                      <c:ext xmlns:c15="http://schemas.microsoft.com/office/drawing/2012/chart" uri="{02D57815-91ED-43cb-92C2-25804820EDAC}">
                        <c15:formulaRef>
                          <c15:sqref>'Analysis &amp; Diagnostics'!$I$401</c15:sqref>
                        </c15:formulaRef>
                      </c:ext>
                    </c:extLst>
                    <c:strCache>
                      <c:ptCount val="1"/>
                      <c:pt idx="0">
                        <c:v>per Purchase 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'Analysis &amp; Diagnostics'!$F$402:$F$413</c15:sqref>
                        </c15:formulaRef>
                      </c:ext>
                    </c:extLst>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extLst>
                      <c:ext xmlns:c15="http://schemas.microsoft.com/office/drawing/2012/chart" uri="{02D57815-91ED-43cb-92C2-25804820EDAC}">
                        <c15:formulaRef>
                          <c15:sqref>'Analysis &amp; Diagnostics'!$I$402:$I$413</c15:sqref>
                        </c15:formulaRef>
                      </c:ext>
                    </c:extLst>
                    <c:numCache>
                      <c:formatCode>General</c:formatCode>
                      <c:ptCount val="12"/>
                      <c:pt idx="0">
                        <c:v>100</c:v>
                      </c:pt>
                      <c:pt idx="1">
                        <c:v>125</c:v>
                      </c:pt>
                      <c:pt idx="2">
                        <c:v>98.08</c:v>
                      </c:pt>
                      <c:pt idx="3">
                        <c:v>88.5</c:v>
                      </c:pt>
                      <c:pt idx="4">
                        <c:v>100</c:v>
                      </c:pt>
                      <c:pt idx="5">
                        <c:v>100</c:v>
                      </c:pt>
                      <c:pt idx="6">
                        <c:v>87.5</c:v>
                      </c:pt>
                      <c:pt idx="7">
                        <c:v>80.36</c:v>
                      </c:pt>
                      <c:pt idx="8">
                        <c:v>95</c:v>
                      </c:pt>
                      <c:pt idx="9">
                        <c:v>125</c:v>
                      </c:pt>
                      <c:pt idx="10">
                        <c:v>81.25</c:v>
                      </c:pt>
                      <c:pt idx="11">
                        <c:v>100</c:v>
                      </c:pt>
                    </c:numCache>
                  </c:numRef>
                </c:val>
                <c:extLst xmlns:c15="http://schemas.microsoft.com/office/drawing/2012/chart">
                  <c:ext xmlns:c16="http://schemas.microsoft.com/office/drawing/2014/chart" uri="{C3380CC4-5D6E-409C-BE32-E72D297353CC}">
                    <c16:uniqueId val="{00000002-268E-414B-A3EF-940283F798DD}"/>
                  </c:ext>
                </c:extLst>
              </c15:ser>
            </c15:filteredBarSeries>
          </c:ext>
        </c:extLst>
      </c:barChart>
      <c:dateAx>
        <c:axId val="95891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 (month-year)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05520"/>
        <c:crosses val="autoZero"/>
        <c:auto val="1"/>
        <c:lblOffset val="100"/>
        <c:baseTimeUnit val="months"/>
      </c:dateAx>
      <c:valAx>
        <c:axId val="95890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3546839959932598E-2"/>
              <c:y val="0.348313283756197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1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Count of</a:t>
            </a:r>
            <a:r>
              <a:rPr lang="en-US" b="1" baseline="0"/>
              <a:t> </a:t>
            </a:r>
            <a:r>
              <a:rPr lang="en-US" b="1" i="1" baseline="0"/>
              <a:t>"Supa" </a:t>
            </a:r>
            <a:r>
              <a:rPr lang="en-US" b="1" i="0" baseline="0"/>
              <a:t>Purchase</a:t>
            </a:r>
            <a:endParaRPr lang="en-US" b="1" i="1"/>
          </a:p>
        </c:rich>
      </c:tx>
      <c:layout>
        <c:manualLayout>
          <c:xMode val="edge"/>
          <c:yMode val="edge"/>
          <c:x val="0.25232368547251827"/>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'Analysis &amp; Diagnostics'!$H$401</c:f>
              <c:strCache>
                <c:ptCount val="1"/>
                <c:pt idx="0">
                  <c:v>Purchase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&amp; Diagnostics'!$F$402:$F$413</c:f>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f>'Analysis &amp; Diagnostics'!$H$402:$H$413</c:f>
              <c:numCache>
                <c:formatCode>General</c:formatCode>
                <c:ptCount val="12"/>
                <c:pt idx="0">
                  <c:v>4</c:v>
                </c:pt>
                <c:pt idx="1">
                  <c:v>2</c:v>
                </c:pt>
                <c:pt idx="2">
                  <c:v>13</c:v>
                </c:pt>
                <c:pt idx="3">
                  <c:v>4</c:v>
                </c:pt>
                <c:pt idx="4">
                  <c:v>3</c:v>
                </c:pt>
                <c:pt idx="5">
                  <c:v>3</c:v>
                </c:pt>
                <c:pt idx="6">
                  <c:v>6</c:v>
                </c:pt>
                <c:pt idx="7">
                  <c:v>14</c:v>
                </c:pt>
                <c:pt idx="8">
                  <c:v>5</c:v>
                </c:pt>
                <c:pt idx="9">
                  <c:v>1</c:v>
                </c:pt>
                <c:pt idx="10">
                  <c:v>4</c:v>
                </c:pt>
                <c:pt idx="11">
                  <c:v>7</c:v>
                </c:pt>
              </c:numCache>
            </c:numRef>
          </c:val>
          <c:extLst xmlns:c15="http://schemas.microsoft.com/office/drawing/2012/chart">
            <c:ext xmlns:c16="http://schemas.microsoft.com/office/drawing/2014/chart" uri="{C3380CC4-5D6E-409C-BE32-E72D297353CC}">
              <c16:uniqueId val="{00000000-C199-49F9-BF30-138234A45893}"/>
            </c:ext>
          </c:extLst>
        </c:ser>
        <c:dLbls>
          <c:dLblPos val="outEnd"/>
          <c:showLegendKey val="0"/>
          <c:showVal val="1"/>
          <c:showCatName val="0"/>
          <c:showSerName val="0"/>
          <c:showPercent val="0"/>
          <c:showBubbleSize val="0"/>
        </c:dLbls>
        <c:gapWidth val="219"/>
        <c:overlap val="-27"/>
        <c:axId val="958914160"/>
        <c:axId val="958905520"/>
        <c:extLst>
          <c:ext xmlns:c15="http://schemas.microsoft.com/office/drawing/2012/chart" uri="{02D57815-91ED-43cb-92C2-25804820EDAC}">
            <c15:filteredBarSeries>
              <c15:ser>
                <c:idx val="0"/>
                <c:order val="0"/>
                <c:tx>
                  <c:strRef>
                    <c:extLst>
                      <c:ext uri="{02D57815-91ED-43cb-92C2-25804820EDAC}">
                        <c15:formulaRef>
                          <c15:sqref>'Analysis &amp; Diagnostics'!$G$401</c15:sqref>
                        </c15:formulaRef>
                      </c:ext>
                    </c:extLst>
                    <c:strCache>
                      <c:ptCount val="1"/>
                      <c:pt idx="0">
                        <c:v>Monthly 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 &amp; Diagnostics'!$F$402:$F$413</c15:sqref>
                        </c15:formulaRef>
                      </c:ext>
                    </c:extLst>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extLst>
                      <c:ext uri="{02D57815-91ED-43cb-92C2-25804820EDAC}">
                        <c15:formulaRef>
                          <c15:sqref>'Analysis &amp; Diagnostics'!$G$402:$G$413</c15:sqref>
                        </c15:formulaRef>
                      </c:ext>
                    </c:extLst>
                    <c:numCache>
                      <c:formatCode>General</c:formatCode>
                      <c:ptCount val="12"/>
                      <c:pt idx="0">
                        <c:v>400</c:v>
                      </c:pt>
                      <c:pt idx="1">
                        <c:v>250</c:v>
                      </c:pt>
                      <c:pt idx="2">
                        <c:v>1275</c:v>
                      </c:pt>
                      <c:pt idx="3">
                        <c:v>354</c:v>
                      </c:pt>
                      <c:pt idx="4">
                        <c:v>300</c:v>
                      </c:pt>
                      <c:pt idx="5">
                        <c:v>300</c:v>
                      </c:pt>
                      <c:pt idx="6">
                        <c:v>525</c:v>
                      </c:pt>
                      <c:pt idx="7">
                        <c:v>1125</c:v>
                      </c:pt>
                      <c:pt idx="8">
                        <c:v>475</c:v>
                      </c:pt>
                      <c:pt idx="9">
                        <c:v>125</c:v>
                      </c:pt>
                      <c:pt idx="10">
                        <c:v>325</c:v>
                      </c:pt>
                      <c:pt idx="11">
                        <c:v>700</c:v>
                      </c:pt>
                    </c:numCache>
                  </c:numRef>
                </c:val>
                <c:extLst>
                  <c:ext xmlns:c16="http://schemas.microsoft.com/office/drawing/2014/chart" uri="{C3380CC4-5D6E-409C-BE32-E72D297353CC}">
                    <c16:uniqueId val="{00000001-C199-49F9-BF30-138234A45893}"/>
                  </c:ext>
                </c:extLst>
              </c15:ser>
            </c15:filteredBarSeries>
            <c15:filteredBarSeries>
              <c15:ser>
                <c:idx val="2"/>
                <c:order val="2"/>
                <c:tx>
                  <c:strRef>
                    <c:extLst>
                      <c:ext xmlns:c15="http://schemas.microsoft.com/office/drawing/2012/chart" uri="{02D57815-91ED-43cb-92C2-25804820EDAC}">
                        <c15:formulaRef>
                          <c15:sqref>'Analysis &amp; Diagnostics'!$I$401</c15:sqref>
                        </c15:formulaRef>
                      </c:ext>
                    </c:extLst>
                    <c:strCache>
                      <c:ptCount val="1"/>
                      <c:pt idx="0">
                        <c:v>per Purchase 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'Analysis &amp; Diagnostics'!$F$402:$F$413</c15:sqref>
                        </c15:formulaRef>
                      </c:ext>
                    </c:extLst>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extLst>
                      <c:ext xmlns:c15="http://schemas.microsoft.com/office/drawing/2012/chart" uri="{02D57815-91ED-43cb-92C2-25804820EDAC}">
                        <c15:formulaRef>
                          <c15:sqref>'Analysis &amp; Diagnostics'!$I$402:$I$413</c15:sqref>
                        </c15:formulaRef>
                      </c:ext>
                    </c:extLst>
                    <c:numCache>
                      <c:formatCode>General</c:formatCode>
                      <c:ptCount val="12"/>
                      <c:pt idx="0">
                        <c:v>100</c:v>
                      </c:pt>
                      <c:pt idx="1">
                        <c:v>125</c:v>
                      </c:pt>
                      <c:pt idx="2">
                        <c:v>98.08</c:v>
                      </c:pt>
                      <c:pt idx="3">
                        <c:v>88.5</c:v>
                      </c:pt>
                      <c:pt idx="4">
                        <c:v>100</c:v>
                      </c:pt>
                      <c:pt idx="5">
                        <c:v>100</c:v>
                      </c:pt>
                      <c:pt idx="6">
                        <c:v>87.5</c:v>
                      </c:pt>
                      <c:pt idx="7">
                        <c:v>80.36</c:v>
                      </c:pt>
                      <c:pt idx="8">
                        <c:v>95</c:v>
                      </c:pt>
                      <c:pt idx="9">
                        <c:v>125</c:v>
                      </c:pt>
                      <c:pt idx="10">
                        <c:v>81.25</c:v>
                      </c:pt>
                      <c:pt idx="11">
                        <c:v>100</c:v>
                      </c:pt>
                    </c:numCache>
                  </c:numRef>
                </c:val>
                <c:extLst xmlns:c15="http://schemas.microsoft.com/office/drawing/2012/chart">
                  <c:ext xmlns:c16="http://schemas.microsoft.com/office/drawing/2014/chart" uri="{C3380CC4-5D6E-409C-BE32-E72D297353CC}">
                    <c16:uniqueId val="{00000002-C199-49F9-BF30-138234A45893}"/>
                  </c:ext>
                </c:extLst>
              </c15:ser>
            </c15:filteredBarSeries>
          </c:ext>
        </c:extLst>
      </c:barChart>
      <c:dateAx>
        <c:axId val="95891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 (month-year)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05520"/>
        <c:crosses val="autoZero"/>
        <c:auto val="1"/>
        <c:lblOffset val="100"/>
        <c:baseTimeUnit val="months"/>
      </c:dateAx>
      <c:valAx>
        <c:axId val="95890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2.5467050587480725E-2"/>
              <c:y val="0.385350320793234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1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per Puchase</a:t>
            </a:r>
            <a:r>
              <a:rPr lang="en-US" b="1" baseline="0"/>
              <a:t> Amount of </a:t>
            </a:r>
            <a:r>
              <a:rPr lang="en-US" b="1" i="1" baseline="0"/>
              <a:t>"Supa"</a:t>
            </a:r>
            <a:r>
              <a:rPr lang="en-US" b="1" baseline="0"/>
              <a:t> Each</a:t>
            </a:r>
            <a:r>
              <a:rPr lang="en-US" b="1"/>
              <a:t> Month</a:t>
            </a:r>
            <a:endParaRPr lang="en-US" b="1" baseline="0"/>
          </a:p>
        </c:rich>
      </c:tx>
      <c:layout>
        <c:manualLayout>
          <c:xMode val="edge"/>
          <c:yMode val="edge"/>
          <c:x val="0.20403846153846153"/>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'Analysis &amp; Diagnostics'!$I$401</c:f>
              <c:strCache>
                <c:ptCount val="1"/>
                <c:pt idx="0">
                  <c:v>per Purchase 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&amp; Diagnostics'!$F$402:$F$413</c:f>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f>'Analysis &amp; Diagnostics'!$I$402:$I$413</c:f>
              <c:numCache>
                <c:formatCode>General</c:formatCode>
                <c:ptCount val="12"/>
                <c:pt idx="0">
                  <c:v>100</c:v>
                </c:pt>
                <c:pt idx="1">
                  <c:v>125</c:v>
                </c:pt>
                <c:pt idx="2">
                  <c:v>98.08</c:v>
                </c:pt>
                <c:pt idx="3">
                  <c:v>88.5</c:v>
                </c:pt>
                <c:pt idx="4">
                  <c:v>100</c:v>
                </c:pt>
                <c:pt idx="5">
                  <c:v>100</c:v>
                </c:pt>
                <c:pt idx="6">
                  <c:v>87.5</c:v>
                </c:pt>
                <c:pt idx="7">
                  <c:v>80.36</c:v>
                </c:pt>
                <c:pt idx="8">
                  <c:v>95</c:v>
                </c:pt>
                <c:pt idx="9">
                  <c:v>125</c:v>
                </c:pt>
                <c:pt idx="10">
                  <c:v>81.25</c:v>
                </c:pt>
                <c:pt idx="11">
                  <c:v>100</c:v>
                </c:pt>
              </c:numCache>
            </c:numRef>
          </c:val>
          <c:extLst xmlns:c15="http://schemas.microsoft.com/office/drawing/2012/chart">
            <c:ext xmlns:c16="http://schemas.microsoft.com/office/drawing/2014/chart" uri="{C3380CC4-5D6E-409C-BE32-E72D297353CC}">
              <c16:uniqueId val="{00000000-48F5-4AD5-A090-079BD957DD58}"/>
            </c:ext>
          </c:extLst>
        </c:ser>
        <c:dLbls>
          <c:dLblPos val="outEnd"/>
          <c:showLegendKey val="0"/>
          <c:showVal val="1"/>
          <c:showCatName val="0"/>
          <c:showSerName val="0"/>
          <c:showPercent val="0"/>
          <c:showBubbleSize val="0"/>
        </c:dLbls>
        <c:gapWidth val="219"/>
        <c:overlap val="-27"/>
        <c:axId val="958914160"/>
        <c:axId val="958905520"/>
        <c:extLst>
          <c:ext xmlns:c15="http://schemas.microsoft.com/office/drawing/2012/chart" uri="{02D57815-91ED-43cb-92C2-25804820EDAC}">
            <c15:filteredBarSeries>
              <c15:ser>
                <c:idx val="0"/>
                <c:order val="0"/>
                <c:tx>
                  <c:strRef>
                    <c:extLst>
                      <c:ext uri="{02D57815-91ED-43cb-92C2-25804820EDAC}">
                        <c15:formulaRef>
                          <c15:sqref>'Analysis &amp; Diagnostics'!$G$401</c15:sqref>
                        </c15:formulaRef>
                      </c:ext>
                    </c:extLst>
                    <c:strCache>
                      <c:ptCount val="1"/>
                      <c:pt idx="0">
                        <c:v>Monthly 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 &amp; Diagnostics'!$F$402:$F$413</c15:sqref>
                        </c15:formulaRef>
                      </c:ext>
                    </c:extLst>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extLst>
                      <c:ext uri="{02D57815-91ED-43cb-92C2-25804820EDAC}">
                        <c15:formulaRef>
                          <c15:sqref>'Analysis &amp; Diagnostics'!$G$402:$G$413</c15:sqref>
                        </c15:formulaRef>
                      </c:ext>
                    </c:extLst>
                    <c:numCache>
                      <c:formatCode>General</c:formatCode>
                      <c:ptCount val="12"/>
                      <c:pt idx="0">
                        <c:v>400</c:v>
                      </c:pt>
                      <c:pt idx="1">
                        <c:v>250</c:v>
                      </c:pt>
                      <c:pt idx="2">
                        <c:v>1275</c:v>
                      </c:pt>
                      <c:pt idx="3">
                        <c:v>354</c:v>
                      </c:pt>
                      <c:pt idx="4">
                        <c:v>300</c:v>
                      </c:pt>
                      <c:pt idx="5">
                        <c:v>300</c:v>
                      </c:pt>
                      <c:pt idx="6">
                        <c:v>525</c:v>
                      </c:pt>
                      <c:pt idx="7">
                        <c:v>1125</c:v>
                      </c:pt>
                      <c:pt idx="8">
                        <c:v>475</c:v>
                      </c:pt>
                      <c:pt idx="9">
                        <c:v>125</c:v>
                      </c:pt>
                      <c:pt idx="10">
                        <c:v>325</c:v>
                      </c:pt>
                      <c:pt idx="11">
                        <c:v>700</c:v>
                      </c:pt>
                    </c:numCache>
                  </c:numRef>
                </c:val>
                <c:extLst>
                  <c:ext xmlns:c16="http://schemas.microsoft.com/office/drawing/2014/chart" uri="{C3380CC4-5D6E-409C-BE32-E72D297353CC}">
                    <c16:uniqueId val="{00000001-48F5-4AD5-A090-079BD957DD58}"/>
                  </c:ext>
                </c:extLst>
              </c15:ser>
            </c15:filteredBarSeries>
            <c15:filteredBarSeries>
              <c15:ser>
                <c:idx val="1"/>
                <c:order val="1"/>
                <c:tx>
                  <c:strRef>
                    <c:extLst>
                      <c:ext xmlns:c15="http://schemas.microsoft.com/office/drawing/2012/chart" uri="{02D57815-91ED-43cb-92C2-25804820EDAC}">
                        <c15:formulaRef>
                          <c15:sqref>'Analysis &amp; Diagnostics'!$H$401</c15:sqref>
                        </c15:formulaRef>
                      </c:ext>
                    </c:extLst>
                    <c:strCache>
                      <c:ptCount val="1"/>
                      <c:pt idx="0">
                        <c:v>Purchase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'Analysis &amp; Diagnostics'!$F$402:$F$413</c15:sqref>
                        </c15:formulaRef>
                      </c:ext>
                    </c:extLst>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extLst>
                      <c:ext xmlns:c15="http://schemas.microsoft.com/office/drawing/2012/chart" uri="{02D57815-91ED-43cb-92C2-25804820EDAC}">
                        <c15:formulaRef>
                          <c15:sqref>'Analysis &amp; Diagnostics'!$H$402:$H$413</c15:sqref>
                        </c15:formulaRef>
                      </c:ext>
                    </c:extLst>
                    <c:numCache>
                      <c:formatCode>General</c:formatCode>
                      <c:ptCount val="12"/>
                      <c:pt idx="0">
                        <c:v>4</c:v>
                      </c:pt>
                      <c:pt idx="1">
                        <c:v>2</c:v>
                      </c:pt>
                      <c:pt idx="2">
                        <c:v>13</c:v>
                      </c:pt>
                      <c:pt idx="3">
                        <c:v>4</c:v>
                      </c:pt>
                      <c:pt idx="4">
                        <c:v>3</c:v>
                      </c:pt>
                      <c:pt idx="5">
                        <c:v>3</c:v>
                      </c:pt>
                      <c:pt idx="6">
                        <c:v>6</c:v>
                      </c:pt>
                      <c:pt idx="7">
                        <c:v>14</c:v>
                      </c:pt>
                      <c:pt idx="8">
                        <c:v>5</c:v>
                      </c:pt>
                      <c:pt idx="9">
                        <c:v>1</c:v>
                      </c:pt>
                      <c:pt idx="10">
                        <c:v>4</c:v>
                      </c:pt>
                      <c:pt idx="11">
                        <c:v>7</c:v>
                      </c:pt>
                    </c:numCache>
                  </c:numRef>
                </c:val>
                <c:extLst xmlns:c15="http://schemas.microsoft.com/office/drawing/2012/chart">
                  <c:ext xmlns:c16="http://schemas.microsoft.com/office/drawing/2014/chart" uri="{C3380CC4-5D6E-409C-BE32-E72D297353CC}">
                    <c16:uniqueId val="{00000002-48F5-4AD5-A090-079BD957DD58}"/>
                  </c:ext>
                </c:extLst>
              </c15:ser>
            </c15:filteredBarSeries>
          </c:ext>
        </c:extLst>
      </c:barChart>
      <c:dateAx>
        <c:axId val="95891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 (month-year)</a:t>
                </a:r>
              </a:p>
            </c:rich>
          </c:tx>
          <c:layout>
            <c:manualLayout>
              <c:xMode val="edge"/>
              <c:yMode val="edge"/>
              <c:x val="0.40315616797900261"/>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05520"/>
        <c:crosses val="autoZero"/>
        <c:auto val="1"/>
        <c:lblOffset val="100"/>
        <c:baseTimeUnit val="months"/>
      </c:dateAx>
      <c:valAx>
        <c:axId val="95890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0926763022955557E-2"/>
              <c:y val="0.385350320793234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1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Monthly Income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'Pivot &amp; derived tables'!$J$3</c:f>
              <c:strCache>
                <c:ptCount val="1"/>
                <c:pt idx="0">
                  <c:v>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tables'!$J$4:$J$18</c:f>
              <c:numCache>
                <c:formatCode>General</c:formatCode>
                <c:ptCount val="15"/>
                <c:pt idx="0">
                  <c:v>70026</c:v>
                </c:pt>
                <c:pt idx="1">
                  <c:v>43465</c:v>
                </c:pt>
                <c:pt idx="2">
                  <c:v>25466</c:v>
                </c:pt>
                <c:pt idx="3">
                  <c:v>25195</c:v>
                </c:pt>
                <c:pt idx="4">
                  <c:v>25195</c:v>
                </c:pt>
                <c:pt idx="5">
                  <c:v>32231</c:v>
                </c:pt>
                <c:pt idx="6">
                  <c:v>52230</c:v>
                </c:pt>
                <c:pt idx="7">
                  <c:v>25231</c:v>
                </c:pt>
                <c:pt idx="8">
                  <c:v>30278</c:v>
                </c:pt>
                <c:pt idx="9">
                  <c:v>42632</c:v>
                </c:pt>
                <c:pt idx="10">
                  <c:v>38620</c:v>
                </c:pt>
                <c:pt idx="11">
                  <c:v>27502</c:v>
                </c:pt>
                <c:pt idx="12">
                  <c:v>59992</c:v>
                </c:pt>
                <c:pt idx="13">
                  <c:v>51481</c:v>
                </c:pt>
                <c:pt idx="14">
                  <c:v>26403</c:v>
                </c:pt>
              </c:numCache>
            </c:numRef>
          </c:val>
          <c:extLst>
            <c:ext xmlns:c16="http://schemas.microsoft.com/office/drawing/2014/chart" uri="{C3380CC4-5D6E-409C-BE32-E72D297353CC}">
              <c16:uniqueId val="{00000000-CF27-457A-A6C1-2EABC760EDFC}"/>
            </c:ext>
          </c:extLst>
        </c:ser>
        <c:dLbls>
          <c:dLblPos val="outEnd"/>
          <c:showLegendKey val="0"/>
          <c:showVal val="1"/>
          <c:showCatName val="0"/>
          <c:showSerName val="0"/>
          <c:showPercent val="0"/>
          <c:showBubbleSize val="0"/>
        </c:dLbls>
        <c:gapWidth val="219"/>
        <c:overlap val="-27"/>
        <c:axId val="1891859008"/>
        <c:axId val="1891853728"/>
        <c:extLst>
          <c:ext xmlns:c15="http://schemas.microsoft.com/office/drawing/2012/chart" uri="{02D57815-91ED-43cb-92C2-25804820EDAC}">
            <c15:filteredBarSeries>
              <c15:ser>
                <c:idx val="0"/>
                <c:order val="0"/>
                <c:tx>
                  <c:strRef>
                    <c:extLst>
                      <c:ext uri="{02D57815-91ED-43cb-92C2-25804820EDAC}">
                        <c15:formulaRef>
                          <c15:sqref>'Pivot &amp; derived tables'!$I$3</c15:sqref>
                        </c15:formulaRef>
                      </c:ext>
                    </c:extLst>
                    <c:strCache>
                      <c:ptCount val="1"/>
                      <c:pt idx="0">
                        <c:v>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uri="{02D57815-91ED-43cb-92C2-25804820EDAC}">
                        <c15:formulaRef>
                          <c15:sqref>'Pivot &amp; derived tables'!$I$4:$I$18</c15:sqref>
                        </c15:formulaRef>
                      </c:ext>
                    </c:extLst>
                    <c:numCache>
                      <c:formatCode>General</c:formatCode>
                      <c:ptCount val="15"/>
                      <c:pt idx="0">
                        <c:v>10181</c:v>
                      </c:pt>
                      <c:pt idx="1">
                        <c:v>32023</c:v>
                      </c:pt>
                      <c:pt idx="2">
                        <c:v>9647</c:v>
                      </c:pt>
                      <c:pt idx="3">
                        <c:v>17583</c:v>
                      </c:pt>
                      <c:pt idx="4">
                        <c:v>18789</c:v>
                      </c:pt>
                      <c:pt idx="5">
                        <c:v>16059</c:v>
                      </c:pt>
                      <c:pt idx="6">
                        <c:v>12242</c:v>
                      </c:pt>
                      <c:pt idx="7">
                        <c:v>20411</c:v>
                      </c:pt>
                      <c:pt idx="8">
                        <c:v>21985</c:v>
                      </c:pt>
                      <c:pt idx="9">
                        <c:v>11107</c:v>
                      </c:pt>
                      <c:pt idx="10">
                        <c:v>11720</c:v>
                      </c:pt>
                      <c:pt idx="11">
                        <c:v>25236</c:v>
                      </c:pt>
                      <c:pt idx="12">
                        <c:v>9721</c:v>
                      </c:pt>
                      <c:pt idx="13">
                        <c:v>20499</c:v>
                      </c:pt>
                      <c:pt idx="14">
                        <c:v>19636</c:v>
                      </c:pt>
                    </c:numCache>
                  </c:numRef>
                </c:val>
                <c:extLst>
                  <c:ext xmlns:c16="http://schemas.microsoft.com/office/drawing/2014/chart" uri="{C3380CC4-5D6E-409C-BE32-E72D297353CC}">
                    <c16:uniqueId val="{00000001-CF27-457A-A6C1-2EABC760EDFC}"/>
                  </c:ext>
                </c:extLst>
              </c15:ser>
            </c15:filteredBarSeries>
            <c15:filteredBarSeries>
              <c15:ser>
                <c:idx val="2"/>
                <c:order val="2"/>
                <c:tx>
                  <c:strRef>
                    <c:extLst>
                      <c:ext xmlns:c15="http://schemas.microsoft.com/office/drawing/2012/chart" uri="{02D57815-91ED-43cb-92C2-25804820EDAC}">
                        <c15:formulaRef>
                          <c15:sqref>'Pivot &amp; derived tables'!$K$3</c15:sqref>
                        </c15:formulaRef>
                      </c:ext>
                    </c:extLst>
                    <c:strCache>
                      <c:ptCount val="1"/>
                      <c:pt idx="0">
                        <c:v>Net Income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tables'!$K$4:$K$18</c15:sqref>
                        </c15:formulaRef>
                      </c:ext>
                    </c:extLst>
                    <c:numCache>
                      <c:formatCode>General</c:formatCode>
                      <c:ptCount val="15"/>
                      <c:pt idx="0">
                        <c:v>59845</c:v>
                      </c:pt>
                      <c:pt idx="1">
                        <c:v>11442</c:v>
                      </c:pt>
                      <c:pt idx="2">
                        <c:v>15819</c:v>
                      </c:pt>
                      <c:pt idx="3">
                        <c:v>7612</c:v>
                      </c:pt>
                      <c:pt idx="4">
                        <c:v>6406</c:v>
                      </c:pt>
                      <c:pt idx="5">
                        <c:v>16172</c:v>
                      </c:pt>
                      <c:pt idx="6">
                        <c:v>39988</c:v>
                      </c:pt>
                      <c:pt idx="7">
                        <c:v>4820</c:v>
                      </c:pt>
                      <c:pt idx="8">
                        <c:v>8293</c:v>
                      </c:pt>
                      <c:pt idx="9">
                        <c:v>31525</c:v>
                      </c:pt>
                      <c:pt idx="10">
                        <c:v>26900</c:v>
                      </c:pt>
                      <c:pt idx="11">
                        <c:v>2266</c:v>
                      </c:pt>
                      <c:pt idx="12">
                        <c:v>50271</c:v>
                      </c:pt>
                      <c:pt idx="13">
                        <c:v>30982</c:v>
                      </c:pt>
                      <c:pt idx="14">
                        <c:v>6767</c:v>
                      </c:pt>
                    </c:numCache>
                  </c:numRef>
                </c:val>
                <c:extLst xmlns:c15="http://schemas.microsoft.com/office/drawing/2012/chart">
                  <c:ext xmlns:c16="http://schemas.microsoft.com/office/drawing/2014/chart" uri="{C3380CC4-5D6E-409C-BE32-E72D297353CC}">
                    <c16:uniqueId val="{00000002-CF27-457A-A6C1-2EABC760EDFC}"/>
                  </c:ext>
                </c:extLst>
              </c15:ser>
            </c15:filteredBarSeries>
            <c15:filteredBarSeries>
              <c15:ser>
                <c:idx val="3"/>
                <c:order val="3"/>
                <c:tx>
                  <c:strRef>
                    <c:extLst>
                      <c:ext xmlns:c15="http://schemas.microsoft.com/office/drawing/2012/chart" uri="{02D57815-91ED-43cb-92C2-25804820EDAC}">
                        <c15:formulaRef>
                          <c15:sqref>'Pivot &amp; derived tables'!$L$3</c15:sqref>
                        </c15:formulaRef>
                      </c:ext>
                    </c:extLst>
                    <c:strCache>
                      <c:ptCount val="1"/>
                      <c:pt idx="0">
                        <c:v>Income Growth Rate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tables'!$L$4:$L$18</c15:sqref>
                        </c15:formulaRef>
                      </c:ext>
                    </c:extLst>
                    <c:numCache>
                      <c:formatCode>General</c:formatCode>
                      <c:ptCount val="15"/>
                      <c:pt idx="0">
                        <c:v>0</c:v>
                      </c:pt>
                      <c:pt idx="1">
                        <c:v>-37.93</c:v>
                      </c:pt>
                      <c:pt idx="2">
                        <c:v>-41.41</c:v>
                      </c:pt>
                      <c:pt idx="3">
                        <c:v>-1.06</c:v>
                      </c:pt>
                      <c:pt idx="4">
                        <c:v>0</c:v>
                      </c:pt>
                      <c:pt idx="5">
                        <c:v>27.93</c:v>
                      </c:pt>
                      <c:pt idx="6">
                        <c:v>62.05</c:v>
                      </c:pt>
                      <c:pt idx="7">
                        <c:v>-51.69</c:v>
                      </c:pt>
                      <c:pt idx="8">
                        <c:v>20</c:v>
                      </c:pt>
                      <c:pt idx="9">
                        <c:v>40.799999999999997</c:v>
                      </c:pt>
                      <c:pt idx="10">
                        <c:v>-9.41</c:v>
                      </c:pt>
                      <c:pt idx="11">
                        <c:v>-28.79</c:v>
                      </c:pt>
                      <c:pt idx="12">
                        <c:v>118.14</c:v>
                      </c:pt>
                      <c:pt idx="13">
                        <c:v>-14.19</c:v>
                      </c:pt>
                      <c:pt idx="14">
                        <c:v>-48.71</c:v>
                      </c:pt>
                    </c:numCache>
                  </c:numRef>
                </c:val>
                <c:extLst xmlns:c15="http://schemas.microsoft.com/office/drawing/2012/chart">
                  <c:ext xmlns:c16="http://schemas.microsoft.com/office/drawing/2014/chart" uri="{C3380CC4-5D6E-409C-BE32-E72D297353CC}">
                    <c16:uniqueId val="{00000003-CF27-457A-A6C1-2EABC760EDFC}"/>
                  </c:ext>
                </c:extLst>
              </c15:ser>
            </c15:filteredBarSeries>
          </c:ext>
        </c:extLst>
      </c:barChart>
      <c:dateAx>
        <c:axId val="1891859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 (month-year)</a:t>
                </a:r>
              </a:p>
            </c:rich>
          </c:tx>
          <c:layout>
            <c:manualLayout>
              <c:xMode val="edge"/>
              <c:yMode val="edge"/>
              <c:x val="0.44031824146981624"/>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53728"/>
        <c:crosses val="autoZero"/>
        <c:auto val="1"/>
        <c:lblOffset val="100"/>
        <c:baseTimeUnit val="months"/>
      </c:dateAx>
      <c:valAx>
        <c:axId val="189185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59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[personal_finance_analysis.xlsx]Analysis &amp; Diagnostics!PivotTable8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November</a:t>
            </a:r>
            <a:r>
              <a:rPr lang="en-US" b="1" baseline="0"/>
              <a:t> 2023 Income</a:t>
            </a:r>
            <a:endParaRPr lang="en-US" b="1"/>
          </a:p>
        </c:rich>
      </c:tx>
      <c:layout>
        <c:manualLayout>
          <c:xMode val="edge"/>
          <c:yMode val="edge"/>
          <c:x val="0.37534493373513494"/>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Diagnostics'!$K$528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 &amp; Diagnostics'!$J$529:$J$534</c:f>
              <c:multiLvlStrCache>
                <c:ptCount val="4"/>
                <c:lvl>
                  <c:pt idx="0">
                    <c:v>salary</c:v>
                  </c:pt>
                  <c:pt idx="1">
                    <c:v>salary (other half)</c:v>
                  </c:pt>
                  <c:pt idx="2">
                    <c:v>Tahong harvest</c:v>
                  </c:pt>
                  <c:pt idx="3">
                    <c:v>Unlabeled Income (bonus?)</c:v>
                  </c:pt>
                </c:lvl>
                <c:lvl>
                  <c:pt idx="0">
                    <c:v>Nov</c:v>
                  </c:pt>
                </c:lvl>
              </c:multiLvlStrCache>
            </c:multiLvlStrRef>
          </c:cat>
          <c:val>
            <c:numRef>
              <c:f>'Analysis &amp; Diagnostics'!$K$529:$K$534</c:f>
              <c:numCache>
                <c:formatCode>General</c:formatCode>
                <c:ptCount val="4"/>
                <c:pt idx="0">
                  <c:v>12734</c:v>
                </c:pt>
                <c:pt idx="1">
                  <c:v>12766</c:v>
                </c:pt>
                <c:pt idx="2">
                  <c:v>12560</c:v>
                </c:pt>
                <c:pt idx="3">
                  <c:v>31966</c:v>
                </c:pt>
              </c:numCache>
            </c:numRef>
          </c:val>
          <c:extLst>
            <c:ext xmlns:c16="http://schemas.microsoft.com/office/drawing/2014/chart" uri="{C3380CC4-5D6E-409C-BE32-E72D297353CC}">
              <c16:uniqueId val="{00000000-81E2-4DE6-AEFA-0C1032EF0A7B}"/>
            </c:ext>
          </c:extLst>
        </c:ser>
        <c:dLbls>
          <c:dLblPos val="outEnd"/>
          <c:showLegendKey val="0"/>
          <c:showVal val="1"/>
          <c:showCatName val="0"/>
          <c:showSerName val="0"/>
          <c:showPercent val="0"/>
          <c:showBubbleSize val="0"/>
        </c:dLbls>
        <c:gapWidth val="219"/>
        <c:overlap val="-27"/>
        <c:axId val="2033087296"/>
        <c:axId val="2033109856"/>
      </c:barChart>
      <c:catAx>
        <c:axId val="203308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 Source</a:t>
                </a:r>
              </a:p>
            </c:rich>
          </c:tx>
          <c:layout>
            <c:manualLayout>
              <c:xMode val="edge"/>
              <c:yMode val="edge"/>
              <c:x val="0.47718009785813803"/>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09856"/>
        <c:crosses val="autoZero"/>
        <c:auto val="1"/>
        <c:lblAlgn val="ctr"/>
        <c:lblOffset val="100"/>
        <c:noMultiLvlLbl val="0"/>
      </c:catAx>
      <c:valAx>
        <c:axId val="2033109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2.2325102880658435E-2"/>
              <c:y val="0.323595800524934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8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[personal_finance_analysis.xlsx]Analysis &amp; Diagnostics!PivotTable1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Every Income Transaction</a:t>
            </a:r>
            <a:r>
              <a:rPr lang="en-US" b="1" baseline="0"/>
              <a:t> (excluding monthly salary)</a:t>
            </a:r>
            <a:endParaRPr lang="en-US" b="1"/>
          </a:p>
        </c:rich>
      </c:tx>
      <c:layout>
        <c:manualLayout>
          <c:xMode val="edge"/>
          <c:yMode val="edge"/>
          <c:x val="0.30126610066455023"/>
          <c:y val="5.65682031534713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Diagnostics'!$K$614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 &amp; Diagnostics'!$J$615:$J$636</c:f>
              <c:multiLvlStrCache>
                <c:ptCount val="12"/>
                <c:lvl>
                  <c:pt idx="0">
                    <c:v>Income (with bonus?)</c:v>
                  </c:pt>
                  <c:pt idx="1">
                    <c:v>Tahong harvest</c:v>
                  </c:pt>
                  <c:pt idx="2">
                    <c:v>SRI</c:v>
                  </c:pt>
                  <c:pt idx="3">
                    <c:v>clothing allowance</c:v>
                  </c:pt>
                  <c:pt idx="4">
                    <c:v>Bonus salary</c:v>
                  </c:pt>
                  <c:pt idx="5">
                    <c:v>cash allowance</c:v>
                  </c:pt>
                  <c:pt idx="6">
                    <c:v>chalk allowance</c:v>
                  </c:pt>
                  <c:pt idx="7">
                    <c:v>PBB</c:v>
                  </c:pt>
                  <c:pt idx="8">
                    <c:v>???</c:v>
                  </c:pt>
                  <c:pt idx="9">
                    <c:v>cash gift</c:v>
                  </c:pt>
                  <c:pt idx="10">
                    <c:v>year-end bonus</c:v>
                  </c:pt>
                  <c:pt idx="11">
                    <c:v>13th month pay</c:v>
                  </c:pt>
                </c:lvl>
                <c:lvl>
                  <c:pt idx="0">
                    <c:v>Nov-23</c:v>
                  </c:pt>
                  <c:pt idx="2">
                    <c:v>Dec-23</c:v>
                  </c:pt>
                  <c:pt idx="3">
                    <c:v>Apr-24</c:v>
                  </c:pt>
                  <c:pt idx="4">
                    <c:v>May-24</c:v>
                  </c:pt>
                  <c:pt idx="5">
                    <c:v>Jul-24</c:v>
                  </c:pt>
                  <c:pt idx="6">
                    <c:v>Aug-24</c:v>
                  </c:pt>
                  <c:pt idx="8">
                    <c:v>Oct-24</c:v>
                  </c:pt>
                  <c:pt idx="9">
                    <c:v>Nov-24</c:v>
                  </c:pt>
                  <c:pt idx="11">
                    <c:v>Dec-24</c:v>
                  </c:pt>
                </c:lvl>
              </c:multiLvlStrCache>
            </c:multiLvlStrRef>
          </c:cat>
          <c:val>
            <c:numRef>
              <c:f>'Analysis &amp; Diagnostics'!$K$615:$K$636</c:f>
              <c:numCache>
                <c:formatCode>General</c:formatCode>
                <c:ptCount val="12"/>
                <c:pt idx="0">
                  <c:v>44732</c:v>
                </c:pt>
                <c:pt idx="1">
                  <c:v>12560</c:v>
                </c:pt>
                <c:pt idx="2">
                  <c:v>18000</c:v>
                </c:pt>
                <c:pt idx="3">
                  <c:v>6000</c:v>
                </c:pt>
                <c:pt idx="4">
                  <c:v>27000</c:v>
                </c:pt>
                <c:pt idx="5">
                  <c:v>5000</c:v>
                </c:pt>
                <c:pt idx="6">
                  <c:v>5000</c:v>
                </c:pt>
                <c:pt idx="7">
                  <c:v>12400</c:v>
                </c:pt>
                <c:pt idx="8">
                  <c:v>1021</c:v>
                </c:pt>
                <c:pt idx="9">
                  <c:v>5000</c:v>
                </c:pt>
                <c:pt idx="10">
                  <c:v>27000</c:v>
                </c:pt>
                <c:pt idx="11">
                  <c:v>25000</c:v>
                </c:pt>
              </c:numCache>
            </c:numRef>
          </c:val>
          <c:extLst>
            <c:ext xmlns:c16="http://schemas.microsoft.com/office/drawing/2014/chart" uri="{C3380CC4-5D6E-409C-BE32-E72D297353CC}">
              <c16:uniqueId val="{00000000-8920-41C1-B7F0-9F9E22BB7E07}"/>
            </c:ext>
          </c:extLst>
        </c:ser>
        <c:dLbls>
          <c:dLblPos val="outEnd"/>
          <c:showLegendKey val="0"/>
          <c:showVal val="1"/>
          <c:showCatName val="0"/>
          <c:showSerName val="0"/>
          <c:showPercent val="0"/>
          <c:showBubbleSize val="0"/>
        </c:dLbls>
        <c:gapWidth val="219"/>
        <c:overlap val="-27"/>
        <c:axId val="1522831520"/>
        <c:axId val="1522827200"/>
      </c:barChart>
      <c:catAx>
        <c:axId val="1522831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 Transaction</a:t>
                </a:r>
              </a:p>
            </c:rich>
          </c:tx>
          <c:layout>
            <c:manualLayout>
              <c:xMode val="edge"/>
              <c:yMode val="edge"/>
              <c:x val="0.46559341445955621"/>
              <c:y val="0.885429203814673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27200"/>
        <c:crosses val="autoZero"/>
        <c:auto val="1"/>
        <c:lblAlgn val="ctr"/>
        <c:lblOffset val="100"/>
        <c:noMultiLvlLbl val="0"/>
      </c:catAx>
      <c:valAx>
        <c:axId val="1522827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2.2222222222222223E-2"/>
              <c:y val="0.241842480949728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3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Nov.</a:t>
            </a:r>
            <a:r>
              <a:rPr lang="en-PH" b="1" baseline="0"/>
              <a:t> 2024, Dec. 2024, and Jan. 2025</a:t>
            </a:r>
          </a:p>
          <a:p>
            <a:pPr>
              <a:defRPr/>
            </a:pPr>
            <a:r>
              <a:rPr lang="en-PH" b="1" baseline="0"/>
              <a:t>Net Income Growth Rate (%)</a:t>
            </a:r>
          </a:p>
        </c:rich>
      </c:tx>
      <c:layout>
        <c:manualLayout>
          <c:xMode val="edge"/>
          <c:yMode val="edge"/>
          <c:x val="0.33751744358401481"/>
          <c:y val="2.7777897955063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3"/>
          <c:tx>
            <c:strRef>
              <c:f>'Analysis &amp; Diagnostics'!$L$11</c:f>
              <c:strCache>
                <c:ptCount val="1"/>
                <c:pt idx="0">
                  <c:v>Net Income Growth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 &amp; Diagnostics'!$H$12:$H$15</c15:sqref>
                  </c15:fullRef>
                </c:ext>
              </c:extLst>
              <c:f>'Analysis &amp; Diagnostics'!$H$13:$H$15</c:f>
              <c:strCache>
                <c:ptCount val="3"/>
                <c:pt idx="0">
                  <c:v>Nov. 2024</c:v>
                </c:pt>
                <c:pt idx="1">
                  <c:v>Dec. 2024</c:v>
                </c:pt>
                <c:pt idx="2">
                  <c:v>Jan. 2025</c:v>
                </c:pt>
              </c:strCache>
            </c:strRef>
          </c:cat>
          <c:val>
            <c:numRef>
              <c:extLst>
                <c:ext xmlns:c15="http://schemas.microsoft.com/office/drawing/2012/chart" uri="{02D57815-91ED-43cb-92C2-25804820EDAC}">
                  <c15:fullRef>
                    <c15:sqref>'Analysis &amp; Diagnostics'!$L$12:$L$15</c15:sqref>
                  </c15:fullRef>
                </c:ext>
              </c:extLst>
              <c:f>'Analysis &amp; Diagnostics'!$L$13:$L$15</c:f>
              <c:numCache>
                <c:formatCode>General</c:formatCode>
                <c:ptCount val="3"/>
                <c:pt idx="0">
                  <c:v>2118.4899999999998</c:v>
                </c:pt>
                <c:pt idx="1">
                  <c:v>-38.369999999999997</c:v>
                </c:pt>
                <c:pt idx="2">
                  <c:v>-78.16</c:v>
                </c:pt>
              </c:numCache>
            </c:numRef>
          </c:val>
          <c:extLst xmlns:c15="http://schemas.microsoft.com/office/drawing/2012/chart">
            <c:ext xmlns:c16="http://schemas.microsoft.com/office/drawing/2014/chart" uri="{C3380CC4-5D6E-409C-BE32-E72D297353CC}">
              <c16:uniqueId val="{00000004-4A01-4D59-8204-1171B6A232F2}"/>
            </c:ext>
          </c:extLst>
        </c:ser>
        <c:dLbls>
          <c:dLblPos val="outEnd"/>
          <c:showLegendKey val="0"/>
          <c:showVal val="1"/>
          <c:showCatName val="0"/>
          <c:showSerName val="0"/>
          <c:showPercent val="0"/>
          <c:showBubbleSize val="0"/>
        </c:dLbls>
        <c:gapWidth val="219"/>
        <c:overlap val="-27"/>
        <c:axId val="1455782592"/>
        <c:axId val="1455783552"/>
        <c:extLst>
          <c:ext xmlns:c15="http://schemas.microsoft.com/office/drawing/2012/chart" uri="{02D57815-91ED-43cb-92C2-25804820EDAC}">
            <c15:filteredBarSeries>
              <c15:ser>
                <c:idx val="1"/>
                <c:order val="0"/>
                <c:tx>
                  <c:strRef>
                    <c:extLst>
                      <c:ext uri="{02D57815-91ED-43cb-92C2-25804820EDAC}">
                        <c15:formulaRef>
                          <c15:sqref>'Analysis &amp; Diagnostics'!$I$11</c15:sqref>
                        </c15:formulaRef>
                      </c:ext>
                    </c:extLst>
                    <c:strCache>
                      <c:ptCount val="1"/>
                      <c:pt idx="0">
                        <c:v>Expenses</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'Analysis &amp; Diagnostics'!$H$12:$H$15</c15:sqref>
                        </c15:fullRef>
                        <c15:formulaRef>
                          <c15:sqref>'Analysis &amp; Diagnostics'!$H$13:$H$15</c15:sqref>
                        </c15:formulaRef>
                      </c:ext>
                    </c:extLst>
                    <c:strCache>
                      <c:ptCount val="3"/>
                      <c:pt idx="0">
                        <c:v>Nov. 2024</c:v>
                      </c:pt>
                      <c:pt idx="1">
                        <c:v>Dec. 2024</c:v>
                      </c:pt>
                      <c:pt idx="2">
                        <c:v>Jan. 2025</c:v>
                      </c:pt>
                    </c:strCache>
                  </c:strRef>
                </c:cat>
                <c:val>
                  <c:numRef>
                    <c:extLst>
                      <c:ext uri="{02D57815-91ED-43cb-92C2-25804820EDAC}">
                        <c15:fullRef>
                          <c15:sqref>'Analysis &amp; Diagnostics'!$I$12:$I$15</c15:sqref>
                        </c15:fullRef>
                        <c15:formulaRef>
                          <c15:sqref>'Analysis &amp; Diagnostics'!$I$13:$I$15</c15:sqref>
                        </c15:formulaRef>
                      </c:ext>
                    </c:extLst>
                    <c:numCache>
                      <c:formatCode>General</c:formatCode>
                      <c:ptCount val="3"/>
                      <c:pt idx="0">
                        <c:v>9721</c:v>
                      </c:pt>
                      <c:pt idx="1">
                        <c:v>20499</c:v>
                      </c:pt>
                      <c:pt idx="2">
                        <c:v>19636</c:v>
                      </c:pt>
                    </c:numCache>
                  </c:numRef>
                </c:val>
                <c:extLst>
                  <c:ext xmlns:c16="http://schemas.microsoft.com/office/drawing/2014/chart" uri="{C3380CC4-5D6E-409C-BE32-E72D297353CC}">
                    <c16:uniqueId val="{00000001-4A01-4D59-8204-1171B6A232F2}"/>
                  </c:ext>
                </c:extLst>
              </c15:ser>
            </c15:filteredBarSeries>
            <c15:filteredBarSeries>
              <c15:ser>
                <c:idx val="2"/>
                <c:order val="1"/>
                <c:tx>
                  <c:strRef>
                    <c:extLst>
                      <c:ext xmlns:c15="http://schemas.microsoft.com/office/drawing/2012/chart" uri="{02D57815-91ED-43cb-92C2-25804820EDAC}">
                        <c15:formulaRef>
                          <c15:sqref>'Analysis &amp; Diagnostics'!$J$11</c15:sqref>
                        </c15:formulaRef>
                      </c:ext>
                    </c:extLst>
                    <c:strCache>
                      <c:ptCount val="1"/>
                      <c:pt idx="0">
                        <c:v>Income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 &amp; Diagnostics'!$H$12:$H$15</c15:sqref>
                        </c15:fullRef>
                        <c15:formulaRef>
                          <c15:sqref>'Analysis &amp; Diagnostics'!$H$13:$H$15</c15:sqref>
                        </c15:formulaRef>
                      </c:ext>
                    </c:extLst>
                    <c:strCache>
                      <c:ptCount val="3"/>
                      <c:pt idx="0">
                        <c:v>Nov. 2024</c:v>
                      </c:pt>
                      <c:pt idx="1">
                        <c:v>Dec. 2024</c:v>
                      </c:pt>
                      <c:pt idx="2">
                        <c:v>Jan. 2025</c:v>
                      </c:pt>
                    </c:strCache>
                  </c:strRef>
                </c:cat>
                <c:val>
                  <c:numRef>
                    <c:extLst>
                      <c:ext xmlns:c15="http://schemas.microsoft.com/office/drawing/2012/chart" uri="{02D57815-91ED-43cb-92C2-25804820EDAC}">
                        <c15:fullRef>
                          <c15:sqref>'Analysis &amp; Diagnostics'!$J$12:$J$15</c15:sqref>
                        </c15:fullRef>
                        <c15:formulaRef>
                          <c15:sqref>'Analysis &amp; Diagnostics'!$J$13:$J$15</c15:sqref>
                        </c15:formulaRef>
                      </c:ext>
                    </c:extLst>
                    <c:numCache>
                      <c:formatCode>General</c:formatCode>
                      <c:ptCount val="3"/>
                      <c:pt idx="0">
                        <c:v>59992</c:v>
                      </c:pt>
                      <c:pt idx="1">
                        <c:v>51481</c:v>
                      </c:pt>
                      <c:pt idx="2">
                        <c:v>26403</c:v>
                      </c:pt>
                    </c:numCache>
                  </c:numRef>
                </c:val>
                <c:extLst xmlns:c15="http://schemas.microsoft.com/office/drawing/2012/chart">
                  <c:ext xmlns:c16="http://schemas.microsoft.com/office/drawing/2014/chart" uri="{C3380CC4-5D6E-409C-BE32-E72D297353CC}">
                    <c16:uniqueId val="{00000002-4A01-4D59-8204-1171B6A232F2}"/>
                  </c:ext>
                </c:extLst>
              </c15:ser>
            </c15:filteredBarSeries>
            <c15:filteredBarSeries>
              <c15:ser>
                <c:idx val="3"/>
                <c:order val="2"/>
                <c:tx>
                  <c:strRef>
                    <c:extLst>
                      <c:ext xmlns:c15="http://schemas.microsoft.com/office/drawing/2012/chart" uri="{02D57815-91ED-43cb-92C2-25804820EDAC}">
                        <c15:formulaRef>
                          <c15:sqref>'Analysis &amp; Diagnostics'!$K$11</c15:sqref>
                        </c15:formulaRef>
                      </c:ext>
                    </c:extLst>
                    <c:strCache>
                      <c:ptCount val="1"/>
                      <c:pt idx="0">
                        <c:v>Net 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 &amp; Diagnostics'!$H$12:$H$15</c15:sqref>
                        </c15:fullRef>
                        <c15:formulaRef>
                          <c15:sqref>'Analysis &amp; Diagnostics'!$H$13:$H$15</c15:sqref>
                        </c15:formulaRef>
                      </c:ext>
                    </c:extLst>
                    <c:strCache>
                      <c:ptCount val="3"/>
                      <c:pt idx="0">
                        <c:v>Nov. 2024</c:v>
                      </c:pt>
                      <c:pt idx="1">
                        <c:v>Dec. 2024</c:v>
                      </c:pt>
                      <c:pt idx="2">
                        <c:v>Jan. 2025</c:v>
                      </c:pt>
                    </c:strCache>
                  </c:strRef>
                </c:cat>
                <c:val>
                  <c:numRef>
                    <c:extLst>
                      <c:ext xmlns:c15="http://schemas.microsoft.com/office/drawing/2012/chart" uri="{02D57815-91ED-43cb-92C2-25804820EDAC}">
                        <c15:fullRef>
                          <c15:sqref>'Analysis &amp; Diagnostics'!$K$12:$K$15</c15:sqref>
                        </c15:fullRef>
                        <c15:formulaRef>
                          <c15:sqref>'Analysis &amp; Diagnostics'!$K$13:$K$15</c15:sqref>
                        </c15:formulaRef>
                      </c:ext>
                    </c:extLst>
                    <c:numCache>
                      <c:formatCode>General</c:formatCode>
                      <c:ptCount val="3"/>
                      <c:pt idx="0">
                        <c:v>50271</c:v>
                      </c:pt>
                      <c:pt idx="1">
                        <c:v>30982</c:v>
                      </c:pt>
                      <c:pt idx="2">
                        <c:v>6767</c:v>
                      </c:pt>
                    </c:numCache>
                  </c:numRef>
                </c:val>
                <c:extLst xmlns:c15="http://schemas.microsoft.com/office/drawing/2012/chart">
                  <c:ext xmlns:c16="http://schemas.microsoft.com/office/drawing/2014/chart" uri="{C3380CC4-5D6E-409C-BE32-E72D297353CC}">
                    <c16:uniqueId val="{00000003-4A01-4D59-8204-1171B6A232F2}"/>
                  </c:ext>
                </c:extLst>
              </c15:ser>
            </c15:filteredBarSeries>
          </c:ext>
        </c:extLst>
      </c:barChart>
      <c:catAx>
        <c:axId val="1455782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783552"/>
        <c:crosses val="autoZero"/>
        <c:auto val="1"/>
        <c:lblAlgn val="ctr"/>
        <c:lblOffset val="100"/>
        <c:tickLblSkip val="1"/>
        <c:noMultiLvlLbl val="0"/>
      </c:catAx>
      <c:valAx>
        <c:axId val="1455783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782592"/>
        <c:crosses val="autoZero"/>
        <c:crossBetween val="between"/>
      </c:valAx>
      <c:spPr>
        <a:noFill/>
        <a:ln>
          <a:noFill/>
        </a:ln>
        <a:effectLst/>
      </c:spPr>
    </c:plotArea>
    <c:legend>
      <c:legendPos val="b"/>
      <c:layout>
        <c:manualLayout>
          <c:xMode val="edge"/>
          <c:yMode val="edge"/>
          <c:x val="0.45717962439161125"/>
          <c:y val="0.90935794187457775"/>
          <c:w val="0.16423529583073959"/>
          <c:h val="6.4066507631876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Transaction Counts of December</a:t>
            </a:r>
            <a:r>
              <a:rPr lang="en-US" b="1" baseline="0"/>
              <a:t> 2023 E</a:t>
            </a:r>
            <a:r>
              <a:rPr lang="en-US" b="1"/>
              <a:t>xpenses </a:t>
            </a:r>
          </a:p>
          <a:p>
            <a:pPr>
              <a:defRPr/>
            </a:pPr>
            <a:r>
              <a:rPr lang="en-US" b="1"/>
              <a:t>by Category</a:t>
            </a:r>
          </a:p>
        </c:rich>
      </c:tx>
      <c:layout>
        <c:manualLayout>
          <c:xMode val="edge"/>
          <c:yMode val="edge"/>
          <c:x val="0.23999092213926884"/>
          <c:y val="2.4098253120751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'Analysis &amp; Diagnostics'!$K$120</c:f>
              <c:strCache>
                <c:ptCount val="1"/>
                <c:pt idx="0">
                  <c:v>count</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Diagnostics'!$G$121:$G$128</c:f>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f>'Analysis &amp; Diagnostics'!$K$121:$K$128</c:f>
              <c:numCache>
                <c:formatCode>General</c:formatCode>
                <c:ptCount val="8"/>
                <c:pt idx="0">
                  <c:v>6</c:v>
                </c:pt>
                <c:pt idx="1">
                  <c:v>4</c:v>
                </c:pt>
                <c:pt idx="2">
                  <c:v>8</c:v>
                </c:pt>
                <c:pt idx="3">
                  <c:v>23</c:v>
                </c:pt>
                <c:pt idx="4">
                  <c:v>1</c:v>
                </c:pt>
                <c:pt idx="5">
                  <c:v>4</c:v>
                </c:pt>
                <c:pt idx="6">
                  <c:v>15</c:v>
                </c:pt>
                <c:pt idx="7">
                  <c:v>6</c:v>
                </c:pt>
              </c:numCache>
            </c:numRef>
          </c:val>
          <c:extLst xmlns:c15="http://schemas.microsoft.com/office/drawing/2012/chart">
            <c:ext xmlns:c16="http://schemas.microsoft.com/office/drawing/2014/chart" uri="{C3380CC4-5D6E-409C-BE32-E72D297353CC}">
              <c16:uniqueId val="{00000000-3DD9-4B24-B0B6-8727DC19E939}"/>
            </c:ext>
          </c:extLst>
        </c:ser>
        <c:dLbls>
          <c:showLegendKey val="0"/>
          <c:showVal val="0"/>
          <c:showCatName val="0"/>
          <c:showSerName val="0"/>
          <c:showPercent val="0"/>
          <c:showBubbleSize val="0"/>
        </c:dLbls>
        <c:gapWidth val="219"/>
        <c:axId val="252885216"/>
        <c:axId val="252890976"/>
        <c:extLst>
          <c:ext xmlns:c15="http://schemas.microsoft.com/office/drawing/2012/chart" uri="{02D57815-91ED-43cb-92C2-25804820EDAC}">
            <c15:filteredBarSeries>
              <c15:ser>
                <c:idx val="0"/>
                <c:order val="0"/>
                <c:tx>
                  <c:strRef>
                    <c:extLst>
                      <c:ext uri="{02D57815-91ED-43cb-92C2-25804820EDAC}">
                        <c15:formulaRef>
                          <c15:sqref>'Analysis &amp; Diagnostics'!$H$120</c15:sqref>
                        </c15:formulaRef>
                      </c:ext>
                    </c:extLst>
                    <c:strCache>
                      <c:ptCount val="1"/>
                      <c:pt idx="0">
                        <c:v>expense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uri="{02D57815-91ED-43cb-92C2-25804820EDAC}">
                        <c15:formulaRef>
                          <c15:sqref>'Analysis &amp; Diagnostics'!$H$121:$H$128</c15:sqref>
                        </c15:formulaRef>
                      </c:ext>
                    </c:extLst>
                    <c:numCache>
                      <c:formatCode>General</c:formatCode>
                      <c:ptCount val="8"/>
                      <c:pt idx="0">
                        <c:v>11699</c:v>
                      </c:pt>
                      <c:pt idx="1">
                        <c:v>11600</c:v>
                      </c:pt>
                      <c:pt idx="2">
                        <c:v>2166</c:v>
                      </c:pt>
                      <c:pt idx="3">
                        <c:v>1747</c:v>
                      </c:pt>
                      <c:pt idx="4">
                        <c:v>1375</c:v>
                      </c:pt>
                      <c:pt idx="5">
                        <c:v>1244</c:v>
                      </c:pt>
                      <c:pt idx="6">
                        <c:v>1120</c:v>
                      </c:pt>
                      <c:pt idx="7">
                        <c:v>1072</c:v>
                      </c:pt>
                    </c:numCache>
                  </c:numRef>
                </c:val>
                <c:extLst>
                  <c:ext xmlns:c16="http://schemas.microsoft.com/office/drawing/2014/chart" uri="{C3380CC4-5D6E-409C-BE32-E72D297353CC}">
                    <c16:uniqueId val="{00000000-8FC0-4BD4-82C4-EF50CDEBE3E3}"/>
                  </c:ext>
                </c:extLst>
              </c15:ser>
            </c15:filteredBarSeries>
            <c15:filteredBarSeries>
              <c15:ser>
                <c:idx val="1"/>
                <c:order val="1"/>
                <c:tx>
                  <c:strRef>
                    <c:extLst>
                      <c:ext xmlns:c15="http://schemas.microsoft.com/office/drawing/2012/chart" uri="{02D57815-91ED-43cb-92C2-25804820EDAC}">
                        <c15:formulaRef>
                          <c15:sqref>'Analysis &amp; Diagnostics'!$I$120</c15:sqref>
                        </c15:formulaRef>
                      </c:ext>
                    </c:extLst>
                    <c:strCache>
                      <c:ptCount val="1"/>
                      <c:pt idx="0">
                        <c:v>expense_propxn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Diagnostics'!$I$121:$I$128</c15:sqref>
                        </c15:formulaRef>
                      </c:ext>
                    </c:extLst>
                    <c:numCache>
                      <c:formatCode>General</c:formatCode>
                      <c:ptCount val="8"/>
                      <c:pt idx="0">
                        <c:v>0.36533116822283984</c:v>
                      </c:pt>
                      <c:pt idx="1">
                        <c:v>0.36223964025856414</c:v>
                      </c:pt>
                      <c:pt idx="2">
                        <c:v>6.7638884551728437E-2</c:v>
                      </c:pt>
                      <c:pt idx="3">
                        <c:v>5.4554538925147542E-2</c:v>
                      </c:pt>
                      <c:pt idx="4">
                        <c:v>4.2937888392717734E-2</c:v>
                      </c:pt>
                      <c:pt idx="5">
                        <c:v>3.8847078662211529E-2</c:v>
                      </c:pt>
                      <c:pt idx="6">
                        <c:v>3.4974861818068262E-2</c:v>
                      </c:pt>
                      <c:pt idx="7">
                        <c:v>3.3475939168722477E-2</c:v>
                      </c:pt>
                    </c:numCache>
                  </c:numRef>
                </c:val>
                <c:extLst xmlns:c15="http://schemas.microsoft.com/office/drawing/2012/chart">
                  <c:ext xmlns:c16="http://schemas.microsoft.com/office/drawing/2014/chart" uri="{C3380CC4-5D6E-409C-BE32-E72D297353CC}">
                    <c16:uniqueId val="{00000001-8FC0-4BD4-82C4-EF50CDEBE3E3}"/>
                  </c:ext>
                </c:extLst>
              </c15:ser>
            </c15:filteredBarSeries>
            <c15:filteredBarSeries>
              <c15:ser>
                <c:idx val="2"/>
                <c:order val="2"/>
                <c:tx>
                  <c:strRef>
                    <c:extLst>
                      <c:ext xmlns:c15="http://schemas.microsoft.com/office/drawing/2012/chart" uri="{02D57815-91ED-43cb-92C2-25804820EDAC}">
                        <c15:formulaRef>
                          <c15:sqref>'Analysis &amp; Diagnostics'!$J$120</c15:sqref>
                        </c15:formulaRef>
                      </c:ext>
                    </c:extLst>
                    <c:strCache>
                      <c:ptCount val="1"/>
                      <c:pt idx="0">
                        <c:v>expense_prcnt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Diagnostics'!$J$121:$J$128</c15:sqref>
                        </c15:formulaRef>
                      </c:ext>
                    </c:extLst>
                    <c:numCache>
                      <c:formatCode>General</c:formatCode>
                      <c:ptCount val="8"/>
                      <c:pt idx="0">
                        <c:v>36.53</c:v>
                      </c:pt>
                      <c:pt idx="1">
                        <c:v>36.22</c:v>
                      </c:pt>
                      <c:pt idx="2">
                        <c:v>6.76</c:v>
                      </c:pt>
                      <c:pt idx="3">
                        <c:v>5.46</c:v>
                      </c:pt>
                      <c:pt idx="4">
                        <c:v>4.29</c:v>
                      </c:pt>
                      <c:pt idx="5">
                        <c:v>3.88</c:v>
                      </c:pt>
                      <c:pt idx="6">
                        <c:v>3.5</c:v>
                      </c:pt>
                      <c:pt idx="7">
                        <c:v>3.35</c:v>
                      </c:pt>
                    </c:numCache>
                  </c:numRef>
                </c:val>
                <c:extLst xmlns:c15="http://schemas.microsoft.com/office/drawing/2012/chart">
                  <c:ext xmlns:c16="http://schemas.microsoft.com/office/drawing/2014/chart" uri="{C3380CC4-5D6E-409C-BE32-E72D297353CC}">
                    <c16:uniqueId val="{00000002-8FC0-4BD4-82C4-EF50CDEBE3E3}"/>
                  </c:ext>
                </c:extLst>
              </c15:ser>
            </c15:filteredBarSeries>
            <c15:filteredBarSeries>
              <c15:ser>
                <c:idx val="5"/>
                <c:order val="4"/>
                <c:tx>
                  <c:strRef>
                    <c:extLst>
                      <c:ext xmlns:c15="http://schemas.microsoft.com/office/drawing/2012/chart" uri="{02D57815-91ED-43cb-92C2-25804820EDAC}">
                        <c15:formulaRef>
                          <c15:sqref>'Analysis &amp; Diagnostics'!$L$120</c15:sqref>
                        </c15:formulaRef>
                      </c:ext>
                    </c:extLst>
                    <c:strCache>
                      <c:ptCount val="1"/>
                      <c:pt idx="0">
                        <c:v>average_rounded</c:v>
                      </c:pt>
                    </c:strCache>
                  </c:strRef>
                </c:tx>
                <c:spPr>
                  <a:solidFill>
                    <a:schemeClr val="accent6"/>
                  </a:solidFill>
                  <a:ln>
                    <a:noFill/>
                  </a:ln>
                  <a:effectLst/>
                </c:spPr>
                <c:invertIfNegative val="0"/>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Diagnostics'!$L$121:$L$128</c15:sqref>
                        </c15:formulaRef>
                      </c:ext>
                    </c:extLst>
                    <c:numCache>
                      <c:formatCode>General</c:formatCode>
                      <c:ptCount val="8"/>
                      <c:pt idx="0">
                        <c:v>1949.83</c:v>
                      </c:pt>
                      <c:pt idx="1">
                        <c:v>2900</c:v>
                      </c:pt>
                      <c:pt idx="2">
                        <c:v>270.75</c:v>
                      </c:pt>
                      <c:pt idx="3">
                        <c:v>75.959999999999994</c:v>
                      </c:pt>
                      <c:pt idx="4">
                        <c:v>1375</c:v>
                      </c:pt>
                      <c:pt idx="5">
                        <c:v>311</c:v>
                      </c:pt>
                      <c:pt idx="6">
                        <c:v>74.67</c:v>
                      </c:pt>
                      <c:pt idx="7">
                        <c:v>178.67</c:v>
                      </c:pt>
                    </c:numCache>
                  </c:numRef>
                </c:val>
                <c:extLst xmlns:c15="http://schemas.microsoft.com/office/drawing/2012/chart">
                  <c:ext xmlns:c16="http://schemas.microsoft.com/office/drawing/2014/chart" uri="{C3380CC4-5D6E-409C-BE32-E72D297353CC}">
                    <c16:uniqueId val="{00000001-0DB8-4FE1-860B-A4A578F68ADB}"/>
                  </c:ext>
                </c:extLst>
              </c15:ser>
            </c15:filteredBarSeries>
          </c:ext>
        </c:extLst>
      </c:barChart>
      <c:catAx>
        <c:axId val="252885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Expenses</a:t>
                </a:r>
                <a:r>
                  <a:rPr lang="en-PH" baseline="0"/>
                  <a:t> Category</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90976"/>
        <c:crosses val="autoZero"/>
        <c:auto val="1"/>
        <c:lblAlgn val="ctr"/>
        <c:lblOffset val="100"/>
        <c:noMultiLvlLbl val="0"/>
      </c:catAx>
      <c:valAx>
        <c:axId val="25289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Count</a:t>
                </a:r>
              </a:p>
            </c:rich>
          </c:tx>
          <c:layout>
            <c:manualLayout>
              <c:xMode val="edge"/>
              <c:yMode val="edge"/>
              <c:x val="1.7004252402018017E-2"/>
              <c:y val="0.403826028303778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8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per Transaction of December</a:t>
            </a:r>
            <a:r>
              <a:rPr lang="en-US" b="1" baseline="0"/>
              <a:t> 2023 E</a:t>
            </a:r>
            <a:r>
              <a:rPr lang="en-US" b="1"/>
              <a:t>xpense </a:t>
            </a:r>
          </a:p>
          <a:p>
            <a:pPr>
              <a:defRPr/>
            </a:pPr>
            <a:r>
              <a:rPr lang="en-US" b="1"/>
              <a:t>by Category</a:t>
            </a:r>
          </a:p>
        </c:rich>
      </c:tx>
      <c:layout>
        <c:manualLayout>
          <c:xMode val="edge"/>
          <c:yMode val="edge"/>
          <c:x val="0.21661003883362229"/>
          <c:y val="2.4098253120751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4"/>
          <c:tx>
            <c:strRef>
              <c:f>'Analysis &amp; Diagnostics'!$L$120</c:f>
              <c:strCache>
                <c:ptCount val="1"/>
                <c:pt idx="0">
                  <c:v>average_rounded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Diagnostics'!$G$121:$G$128</c:f>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f>'Analysis &amp; Diagnostics'!$L$121:$L$128</c:f>
              <c:numCache>
                <c:formatCode>General</c:formatCode>
                <c:ptCount val="8"/>
                <c:pt idx="0">
                  <c:v>1949.83</c:v>
                </c:pt>
                <c:pt idx="1">
                  <c:v>2900</c:v>
                </c:pt>
                <c:pt idx="2">
                  <c:v>270.75</c:v>
                </c:pt>
                <c:pt idx="3">
                  <c:v>75.959999999999994</c:v>
                </c:pt>
                <c:pt idx="4">
                  <c:v>1375</c:v>
                </c:pt>
                <c:pt idx="5">
                  <c:v>311</c:v>
                </c:pt>
                <c:pt idx="6">
                  <c:v>74.67</c:v>
                </c:pt>
                <c:pt idx="7">
                  <c:v>178.67</c:v>
                </c:pt>
              </c:numCache>
            </c:numRef>
          </c:val>
          <c:extLst xmlns:c15="http://schemas.microsoft.com/office/drawing/2012/chart">
            <c:ext xmlns:c16="http://schemas.microsoft.com/office/drawing/2014/chart" uri="{C3380CC4-5D6E-409C-BE32-E72D297353CC}">
              <c16:uniqueId val="{00000000-0DB8-4FE1-860B-A4A578F68ADB}"/>
            </c:ext>
          </c:extLst>
        </c:ser>
        <c:dLbls>
          <c:dLblPos val="outEnd"/>
          <c:showLegendKey val="0"/>
          <c:showVal val="1"/>
          <c:showCatName val="0"/>
          <c:showSerName val="0"/>
          <c:showPercent val="0"/>
          <c:showBubbleSize val="0"/>
        </c:dLbls>
        <c:gapWidth val="219"/>
        <c:axId val="252885216"/>
        <c:axId val="252890976"/>
        <c:extLst>
          <c:ext xmlns:c15="http://schemas.microsoft.com/office/drawing/2012/chart" uri="{02D57815-91ED-43cb-92C2-25804820EDAC}">
            <c15:filteredBarSeries>
              <c15:ser>
                <c:idx val="0"/>
                <c:order val="0"/>
                <c:tx>
                  <c:strRef>
                    <c:extLst>
                      <c:ext uri="{02D57815-91ED-43cb-92C2-25804820EDAC}">
                        <c15:formulaRef>
                          <c15:sqref>'Analysis &amp; Diagnostics'!$H$120</c15:sqref>
                        </c15:formulaRef>
                      </c:ext>
                    </c:extLst>
                    <c:strCache>
                      <c:ptCount val="1"/>
                      <c:pt idx="0">
                        <c:v>expense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uri="{02D57815-91ED-43cb-92C2-25804820EDAC}">
                        <c15:formulaRef>
                          <c15:sqref>'Analysis &amp; Diagnostics'!$H$121:$H$128</c15:sqref>
                        </c15:formulaRef>
                      </c:ext>
                    </c:extLst>
                    <c:numCache>
                      <c:formatCode>General</c:formatCode>
                      <c:ptCount val="8"/>
                      <c:pt idx="0">
                        <c:v>11699</c:v>
                      </c:pt>
                      <c:pt idx="1">
                        <c:v>11600</c:v>
                      </c:pt>
                      <c:pt idx="2">
                        <c:v>2166</c:v>
                      </c:pt>
                      <c:pt idx="3">
                        <c:v>1747</c:v>
                      </c:pt>
                      <c:pt idx="4">
                        <c:v>1375</c:v>
                      </c:pt>
                      <c:pt idx="5">
                        <c:v>1244</c:v>
                      </c:pt>
                      <c:pt idx="6">
                        <c:v>1120</c:v>
                      </c:pt>
                      <c:pt idx="7">
                        <c:v>1072</c:v>
                      </c:pt>
                    </c:numCache>
                  </c:numRef>
                </c:val>
                <c:extLst>
                  <c:ext xmlns:c16="http://schemas.microsoft.com/office/drawing/2014/chart" uri="{C3380CC4-5D6E-409C-BE32-E72D297353CC}">
                    <c16:uniqueId val="{00000000-8FC0-4BD4-82C4-EF50CDEBE3E3}"/>
                  </c:ext>
                </c:extLst>
              </c15:ser>
            </c15:filteredBarSeries>
            <c15:filteredBarSeries>
              <c15:ser>
                <c:idx val="1"/>
                <c:order val="1"/>
                <c:tx>
                  <c:strRef>
                    <c:extLst>
                      <c:ext xmlns:c15="http://schemas.microsoft.com/office/drawing/2012/chart" uri="{02D57815-91ED-43cb-92C2-25804820EDAC}">
                        <c15:formulaRef>
                          <c15:sqref>'Analysis &amp; Diagnostics'!$I$120</c15:sqref>
                        </c15:formulaRef>
                      </c:ext>
                    </c:extLst>
                    <c:strCache>
                      <c:ptCount val="1"/>
                      <c:pt idx="0">
                        <c:v>expense_propxn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Diagnostics'!$I$121:$I$128</c15:sqref>
                        </c15:formulaRef>
                      </c:ext>
                    </c:extLst>
                    <c:numCache>
                      <c:formatCode>General</c:formatCode>
                      <c:ptCount val="8"/>
                      <c:pt idx="0">
                        <c:v>0.36533116822283984</c:v>
                      </c:pt>
                      <c:pt idx="1">
                        <c:v>0.36223964025856414</c:v>
                      </c:pt>
                      <c:pt idx="2">
                        <c:v>6.7638884551728437E-2</c:v>
                      </c:pt>
                      <c:pt idx="3">
                        <c:v>5.4554538925147542E-2</c:v>
                      </c:pt>
                      <c:pt idx="4">
                        <c:v>4.2937888392717734E-2</c:v>
                      </c:pt>
                      <c:pt idx="5">
                        <c:v>3.8847078662211529E-2</c:v>
                      </c:pt>
                      <c:pt idx="6">
                        <c:v>3.4974861818068262E-2</c:v>
                      </c:pt>
                      <c:pt idx="7">
                        <c:v>3.3475939168722477E-2</c:v>
                      </c:pt>
                    </c:numCache>
                  </c:numRef>
                </c:val>
                <c:extLst xmlns:c15="http://schemas.microsoft.com/office/drawing/2012/chart">
                  <c:ext xmlns:c16="http://schemas.microsoft.com/office/drawing/2014/chart" uri="{C3380CC4-5D6E-409C-BE32-E72D297353CC}">
                    <c16:uniqueId val="{00000001-8FC0-4BD4-82C4-EF50CDEBE3E3}"/>
                  </c:ext>
                </c:extLst>
              </c15:ser>
            </c15:filteredBarSeries>
            <c15:filteredBarSeries>
              <c15:ser>
                <c:idx val="2"/>
                <c:order val="2"/>
                <c:tx>
                  <c:strRef>
                    <c:extLst>
                      <c:ext xmlns:c15="http://schemas.microsoft.com/office/drawing/2012/chart" uri="{02D57815-91ED-43cb-92C2-25804820EDAC}">
                        <c15:formulaRef>
                          <c15:sqref>'Analysis &amp; Diagnostics'!$J$120</c15:sqref>
                        </c15:formulaRef>
                      </c:ext>
                    </c:extLst>
                    <c:strCache>
                      <c:ptCount val="1"/>
                      <c:pt idx="0">
                        <c:v>expense_prcnt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Diagnostics'!$J$121:$J$128</c15:sqref>
                        </c15:formulaRef>
                      </c:ext>
                    </c:extLst>
                    <c:numCache>
                      <c:formatCode>General</c:formatCode>
                      <c:ptCount val="8"/>
                      <c:pt idx="0">
                        <c:v>36.53</c:v>
                      </c:pt>
                      <c:pt idx="1">
                        <c:v>36.22</c:v>
                      </c:pt>
                      <c:pt idx="2">
                        <c:v>6.76</c:v>
                      </c:pt>
                      <c:pt idx="3">
                        <c:v>5.46</c:v>
                      </c:pt>
                      <c:pt idx="4">
                        <c:v>4.29</c:v>
                      </c:pt>
                      <c:pt idx="5">
                        <c:v>3.88</c:v>
                      </c:pt>
                      <c:pt idx="6">
                        <c:v>3.5</c:v>
                      </c:pt>
                      <c:pt idx="7">
                        <c:v>3.35</c:v>
                      </c:pt>
                    </c:numCache>
                  </c:numRef>
                </c:val>
                <c:extLst xmlns:c15="http://schemas.microsoft.com/office/drawing/2012/chart">
                  <c:ext xmlns:c16="http://schemas.microsoft.com/office/drawing/2014/chart" uri="{C3380CC4-5D6E-409C-BE32-E72D297353CC}">
                    <c16:uniqueId val="{00000002-8FC0-4BD4-82C4-EF50CDEBE3E3}"/>
                  </c:ext>
                </c:extLst>
              </c15:ser>
            </c15:filteredBarSeries>
            <c15:filteredBarSeries>
              <c15:ser>
                <c:idx val="3"/>
                <c:order val="3"/>
                <c:tx>
                  <c:strRef>
                    <c:extLst>
                      <c:ext xmlns:c15="http://schemas.microsoft.com/office/drawing/2012/chart" uri="{02D57815-91ED-43cb-92C2-25804820EDAC}">
                        <c15:formulaRef>
                          <c15:sqref>'Analysis &amp; Diagnostics'!$K$120</c15:sqref>
                        </c15:formulaRef>
                      </c:ext>
                    </c:extLst>
                    <c:strCache>
                      <c:ptCount val="1"/>
                      <c:pt idx="0">
                        <c:v>count</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Diagnostics'!$K$121:$K$128</c15:sqref>
                        </c15:formulaRef>
                      </c:ext>
                    </c:extLst>
                    <c:numCache>
                      <c:formatCode>General</c:formatCode>
                      <c:ptCount val="8"/>
                      <c:pt idx="0">
                        <c:v>6</c:v>
                      </c:pt>
                      <c:pt idx="1">
                        <c:v>4</c:v>
                      </c:pt>
                      <c:pt idx="2">
                        <c:v>8</c:v>
                      </c:pt>
                      <c:pt idx="3">
                        <c:v>23</c:v>
                      </c:pt>
                      <c:pt idx="4">
                        <c:v>1</c:v>
                      </c:pt>
                      <c:pt idx="5">
                        <c:v>4</c:v>
                      </c:pt>
                      <c:pt idx="6">
                        <c:v>15</c:v>
                      </c:pt>
                      <c:pt idx="7">
                        <c:v>6</c:v>
                      </c:pt>
                    </c:numCache>
                  </c:numRef>
                </c:val>
                <c:extLst xmlns:c15="http://schemas.microsoft.com/office/drawing/2012/chart">
                  <c:ext xmlns:c16="http://schemas.microsoft.com/office/drawing/2014/chart" uri="{C3380CC4-5D6E-409C-BE32-E72D297353CC}">
                    <c16:uniqueId val="{00000000-3DD9-4B24-B0B6-8727DC19E939}"/>
                  </c:ext>
                </c:extLst>
              </c15:ser>
            </c15:filteredBarSeries>
          </c:ext>
        </c:extLst>
      </c:barChart>
      <c:catAx>
        <c:axId val="252885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Expenses</a:t>
                </a:r>
                <a:r>
                  <a:rPr lang="en-PH" baseline="0"/>
                  <a:t> Category</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90976"/>
        <c:crosses val="autoZero"/>
        <c:auto val="1"/>
        <c:lblAlgn val="ctr"/>
        <c:lblOffset val="100"/>
        <c:noMultiLvlLbl val="0"/>
      </c:catAx>
      <c:valAx>
        <c:axId val="25289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700424955610708E-2"/>
              <c:y val="0.344951573442985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8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Expenses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&amp; derived tables'!$I$3</c:f>
              <c:strCache>
                <c:ptCount val="1"/>
                <c:pt idx="0">
                  <c:v>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tables'!$I$4:$I$18</c:f>
              <c:numCache>
                <c:formatCode>General</c:formatCode>
                <c:ptCount val="15"/>
                <c:pt idx="0">
                  <c:v>10181</c:v>
                </c:pt>
                <c:pt idx="1">
                  <c:v>32023</c:v>
                </c:pt>
                <c:pt idx="2">
                  <c:v>9647</c:v>
                </c:pt>
                <c:pt idx="3">
                  <c:v>17583</c:v>
                </c:pt>
                <c:pt idx="4">
                  <c:v>18789</c:v>
                </c:pt>
                <c:pt idx="5">
                  <c:v>16059</c:v>
                </c:pt>
                <c:pt idx="6">
                  <c:v>12242</c:v>
                </c:pt>
                <c:pt idx="7">
                  <c:v>20411</c:v>
                </c:pt>
                <c:pt idx="8">
                  <c:v>21985</c:v>
                </c:pt>
                <c:pt idx="9">
                  <c:v>11107</c:v>
                </c:pt>
                <c:pt idx="10">
                  <c:v>11720</c:v>
                </c:pt>
                <c:pt idx="11">
                  <c:v>25236</c:v>
                </c:pt>
                <c:pt idx="12">
                  <c:v>9721</c:v>
                </c:pt>
                <c:pt idx="13">
                  <c:v>20499</c:v>
                </c:pt>
                <c:pt idx="14">
                  <c:v>19636</c:v>
                </c:pt>
              </c:numCache>
            </c:numRef>
          </c:val>
          <c:extLst>
            <c:ext xmlns:c16="http://schemas.microsoft.com/office/drawing/2014/chart" uri="{C3380CC4-5D6E-409C-BE32-E72D297353CC}">
              <c16:uniqueId val="{00000000-FA87-4FD3-919E-B7B12B609734}"/>
            </c:ext>
          </c:extLst>
        </c:ser>
        <c:dLbls>
          <c:dLblPos val="outEnd"/>
          <c:showLegendKey val="0"/>
          <c:showVal val="1"/>
          <c:showCatName val="0"/>
          <c:showSerName val="0"/>
          <c:showPercent val="0"/>
          <c:showBubbleSize val="0"/>
        </c:dLbls>
        <c:gapWidth val="219"/>
        <c:overlap val="-27"/>
        <c:axId val="1926474591"/>
        <c:axId val="2106387071"/>
        <c:extLst>
          <c:ext xmlns:c15="http://schemas.microsoft.com/office/drawing/2012/chart" uri="{02D57815-91ED-43cb-92C2-25804820EDAC}">
            <c15:filteredBarSeries>
              <c15:ser>
                <c:idx val="1"/>
                <c:order val="1"/>
                <c:tx>
                  <c:strRef>
                    <c:extLst>
                      <c:ext uri="{02D57815-91ED-43cb-92C2-25804820EDAC}">
                        <c15:formulaRef>
                          <c15:sqref>'Pivot &amp; derived tables'!$J$3</c15:sqref>
                        </c15:formulaRef>
                      </c:ext>
                    </c:extLst>
                    <c:strCache>
                      <c:ptCount val="1"/>
                      <c:pt idx="0">
                        <c:v>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uri="{02D57815-91ED-43cb-92C2-25804820EDAC}">
                        <c15:formulaRef>
                          <c15:sqref>'Pivot &amp; derived tables'!$J$4:$J$18</c15:sqref>
                        </c15:formulaRef>
                      </c:ext>
                    </c:extLst>
                    <c:numCache>
                      <c:formatCode>General</c:formatCode>
                      <c:ptCount val="15"/>
                      <c:pt idx="0">
                        <c:v>70026</c:v>
                      </c:pt>
                      <c:pt idx="1">
                        <c:v>43465</c:v>
                      </c:pt>
                      <c:pt idx="2">
                        <c:v>25466</c:v>
                      </c:pt>
                      <c:pt idx="3">
                        <c:v>25195</c:v>
                      </c:pt>
                      <c:pt idx="4">
                        <c:v>25195</c:v>
                      </c:pt>
                      <c:pt idx="5">
                        <c:v>32231</c:v>
                      </c:pt>
                      <c:pt idx="6">
                        <c:v>52230</c:v>
                      </c:pt>
                      <c:pt idx="7">
                        <c:v>25231</c:v>
                      </c:pt>
                      <c:pt idx="8">
                        <c:v>30278</c:v>
                      </c:pt>
                      <c:pt idx="9">
                        <c:v>42632</c:v>
                      </c:pt>
                      <c:pt idx="10">
                        <c:v>38620</c:v>
                      </c:pt>
                      <c:pt idx="11">
                        <c:v>27502</c:v>
                      </c:pt>
                      <c:pt idx="12">
                        <c:v>59992</c:v>
                      </c:pt>
                      <c:pt idx="13">
                        <c:v>51481</c:v>
                      </c:pt>
                      <c:pt idx="14">
                        <c:v>26403</c:v>
                      </c:pt>
                    </c:numCache>
                  </c:numRef>
                </c:val>
                <c:extLst>
                  <c:ext xmlns:c16="http://schemas.microsoft.com/office/drawing/2014/chart" uri="{C3380CC4-5D6E-409C-BE32-E72D297353CC}">
                    <c16:uniqueId val="{00000001-FA87-4FD3-919E-B7B12B609734}"/>
                  </c:ext>
                </c:extLst>
              </c15:ser>
            </c15:filteredBarSeries>
            <c15:filteredBarSeries>
              <c15:ser>
                <c:idx val="2"/>
                <c:order val="2"/>
                <c:tx>
                  <c:strRef>
                    <c:extLst>
                      <c:ext xmlns:c15="http://schemas.microsoft.com/office/drawing/2012/chart" uri="{02D57815-91ED-43cb-92C2-25804820EDAC}">
                        <c15:formulaRef>
                          <c15:sqref>'Pivot &amp; derived tables'!$K$3</c15:sqref>
                        </c15:formulaRef>
                      </c:ext>
                    </c:extLst>
                    <c:strCache>
                      <c:ptCount val="1"/>
                      <c:pt idx="0">
                        <c:v>Net Income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tables'!$K$4:$K$18</c15:sqref>
                        </c15:formulaRef>
                      </c:ext>
                    </c:extLst>
                    <c:numCache>
                      <c:formatCode>General</c:formatCode>
                      <c:ptCount val="15"/>
                      <c:pt idx="0">
                        <c:v>59845</c:v>
                      </c:pt>
                      <c:pt idx="1">
                        <c:v>11442</c:v>
                      </c:pt>
                      <c:pt idx="2">
                        <c:v>15819</c:v>
                      </c:pt>
                      <c:pt idx="3">
                        <c:v>7612</c:v>
                      </c:pt>
                      <c:pt idx="4">
                        <c:v>6406</c:v>
                      </c:pt>
                      <c:pt idx="5">
                        <c:v>16172</c:v>
                      </c:pt>
                      <c:pt idx="6">
                        <c:v>39988</c:v>
                      </c:pt>
                      <c:pt idx="7">
                        <c:v>4820</c:v>
                      </c:pt>
                      <c:pt idx="8">
                        <c:v>8293</c:v>
                      </c:pt>
                      <c:pt idx="9">
                        <c:v>31525</c:v>
                      </c:pt>
                      <c:pt idx="10">
                        <c:v>26900</c:v>
                      </c:pt>
                      <c:pt idx="11">
                        <c:v>2266</c:v>
                      </c:pt>
                      <c:pt idx="12">
                        <c:v>50271</c:v>
                      </c:pt>
                      <c:pt idx="13">
                        <c:v>30982</c:v>
                      </c:pt>
                      <c:pt idx="14">
                        <c:v>6767</c:v>
                      </c:pt>
                    </c:numCache>
                  </c:numRef>
                </c:val>
                <c:extLst xmlns:c15="http://schemas.microsoft.com/office/drawing/2012/chart">
                  <c:ext xmlns:c16="http://schemas.microsoft.com/office/drawing/2014/chart" uri="{C3380CC4-5D6E-409C-BE32-E72D297353CC}">
                    <c16:uniqueId val="{00000002-FA87-4FD3-919E-B7B12B609734}"/>
                  </c:ext>
                </c:extLst>
              </c15:ser>
            </c15:filteredBarSeries>
            <c15:filteredBarSeries>
              <c15:ser>
                <c:idx val="3"/>
                <c:order val="3"/>
                <c:tx>
                  <c:strRef>
                    <c:extLst>
                      <c:ext xmlns:c15="http://schemas.microsoft.com/office/drawing/2012/chart" uri="{02D57815-91ED-43cb-92C2-25804820EDAC}">
                        <c15:formulaRef>
                          <c15:sqref>'Pivot &amp; derived tables'!$L$3</c15:sqref>
                        </c15:formulaRef>
                      </c:ext>
                    </c:extLst>
                    <c:strCache>
                      <c:ptCount val="1"/>
                      <c:pt idx="0">
                        <c:v>Income Growth Rate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tables'!$L$4:$L$18</c15:sqref>
                        </c15:formulaRef>
                      </c:ext>
                    </c:extLst>
                    <c:numCache>
                      <c:formatCode>General</c:formatCode>
                      <c:ptCount val="15"/>
                      <c:pt idx="0">
                        <c:v>0</c:v>
                      </c:pt>
                      <c:pt idx="1">
                        <c:v>-37.93</c:v>
                      </c:pt>
                      <c:pt idx="2">
                        <c:v>-41.41</c:v>
                      </c:pt>
                      <c:pt idx="3">
                        <c:v>-1.06</c:v>
                      </c:pt>
                      <c:pt idx="4">
                        <c:v>0</c:v>
                      </c:pt>
                      <c:pt idx="5">
                        <c:v>27.93</c:v>
                      </c:pt>
                      <c:pt idx="6">
                        <c:v>62.05</c:v>
                      </c:pt>
                      <c:pt idx="7">
                        <c:v>-51.69</c:v>
                      </c:pt>
                      <c:pt idx="8">
                        <c:v>20</c:v>
                      </c:pt>
                      <c:pt idx="9">
                        <c:v>40.799999999999997</c:v>
                      </c:pt>
                      <c:pt idx="10">
                        <c:v>-9.41</c:v>
                      </c:pt>
                      <c:pt idx="11">
                        <c:v>-28.79</c:v>
                      </c:pt>
                      <c:pt idx="12">
                        <c:v>118.14</c:v>
                      </c:pt>
                      <c:pt idx="13">
                        <c:v>-14.19</c:v>
                      </c:pt>
                      <c:pt idx="14">
                        <c:v>-48.71</c:v>
                      </c:pt>
                    </c:numCache>
                  </c:numRef>
                </c:val>
                <c:extLst xmlns:c15="http://schemas.microsoft.com/office/drawing/2012/chart">
                  <c:ext xmlns:c16="http://schemas.microsoft.com/office/drawing/2014/chart" uri="{C3380CC4-5D6E-409C-BE32-E72D297353CC}">
                    <c16:uniqueId val="{00000003-FA87-4FD3-919E-B7B12B609734}"/>
                  </c:ext>
                </c:extLst>
              </c15:ser>
            </c15:filteredBarSeries>
          </c:ext>
        </c:extLst>
      </c:barChart>
      <c:dateAx>
        <c:axId val="1926474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 (month-year)</a:t>
                </a:r>
              </a:p>
            </c:rich>
          </c:tx>
          <c:layout>
            <c:manualLayout>
              <c:xMode val="edge"/>
              <c:yMode val="edge"/>
              <c:x val="0.46721152873359323"/>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387071"/>
        <c:crosses val="autoZero"/>
        <c:auto val="1"/>
        <c:lblOffset val="100"/>
        <c:baseTimeUnit val="months"/>
      </c:dateAx>
      <c:valAx>
        <c:axId val="2106387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5844772495380403E-2"/>
              <c:y val="0.341196048410615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47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Expenses per </a:t>
            </a:r>
            <a:r>
              <a:rPr lang="en-US" b="1"/>
              <a:t>G-cash Transaction Detail</a:t>
            </a:r>
          </a:p>
        </c:rich>
      </c:tx>
      <c:layout>
        <c:manualLayout>
          <c:xMode val="edge"/>
          <c:yMode val="edge"/>
          <c:x val="0.26615600600600597"/>
          <c:y val="2.1230357739886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&amp; derived tables'!$Y$32</c:f>
              <c:strCache>
                <c:ptCount val="1"/>
                <c:pt idx="0">
                  <c:v>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tables'!$X$33:$X$47</c:f>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f>'Pivot &amp; derived tables'!$Y$33:$Y$47</c:f>
              <c:numCache>
                <c:formatCode>General</c:formatCode>
                <c:ptCount val="15"/>
                <c:pt idx="0">
                  <c:v>1000</c:v>
                </c:pt>
                <c:pt idx="1">
                  <c:v>125</c:v>
                </c:pt>
                <c:pt idx="2">
                  <c:v>1960</c:v>
                </c:pt>
                <c:pt idx="3">
                  <c:v>258</c:v>
                </c:pt>
                <c:pt idx="4">
                  <c:v>399</c:v>
                </c:pt>
                <c:pt idx="5">
                  <c:v>500</c:v>
                </c:pt>
                <c:pt idx="6">
                  <c:v>150</c:v>
                </c:pt>
                <c:pt idx="7">
                  <c:v>2823</c:v>
                </c:pt>
                <c:pt idx="8">
                  <c:v>1705</c:v>
                </c:pt>
                <c:pt idx="9">
                  <c:v>6154</c:v>
                </c:pt>
                <c:pt idx="10">
                  <c:v>650</c:v>
                </c:pt>
                <c:pt idx="11">
                  <c:v>3981</c:v>
                </c:pt>
                <c:pt idx="12">
                  <c:v>4494</c:v>
                </c:pt>
                <c:pt idx="13">
                  <c:v>1290</c:v>
                </c:pt>
                <c:pt idx="14">
                  <c:v>15</c:v>
                </c:pt>
              </c:numCache>
            </c:numRef>
          </c:val>
          <c:extLst>
            <c:ext xmlns:c16="http://schemas.microsoft.com/office/drawing/2014/chart" uri="{C3380CC4-5D6E-409C-BE32-E72D297353CC}">
              <c16:uniqueId val="{00000000-DC87-40F8-9ADA-DD8DA3282484}"/>
            </c:ext>
          </c:extLst>
        </c:ser>
        <c:dLbls>
          <c:dLblPos val="outEnd"/>
          <c:showLegendKey val="0"/>
          <c:showVal val="1"/>
          <c:showCatName val="0"/>
          <c:showSerName val="0"/>
          <c:showPercent val="0"/>
          <c:showBubbleSize val="0"/>
        </c:dLbls>
        <c:gapWidth val="219"/>
        <c:overlap val="-27"/>
        <c:axId val="519909024"/>
        <c:axId val="519904704"/>
        <c:extLst>
          <c:ext xmlns:c15="http://schemas.microsoft.com/office/drawing/2012/chart" uri="{02D57815-91ED-43cb-92C2-25804820EDAC}">
            <c15:filteredBarSeries>
              <c15:ser>
                <c:idx val="1"/>
                <c:order val="1"/>
                <c:tx>
                  <c:strRef>
                    <c:extLst>
                      <c:ext uri="{02D57815-91ED-43cb-92C2-25804820EDAC}">
                        <c15:formulaRef>
                          <c15:sqref>'Pivot &amp; derived tables'!$Z$32</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uri="{02D57815-91ED-43cb-92C2-25804820EDAC}">
                        <c15:formulaRef>
                          <c15:sqref>'Pivot &amp; derived tables'!$Z$33:$Z$47</c15:sqref>
                        </c15:formulaRef>
                      </c:ext>
                    </c:extLst>
                    <c:numCache>
                      <c:formatCode>General</c:formatCode>
                      <c:ptCount val="15"/>
                      <c:pt idx="0">
                        <c:v>1</c:v>
                      </c:pt>
                      <c:pt idx="1">
                        <c:v>1</c:v>
                      </c:pt>
                      <c:pt idx="2">
                        <c:v>7</c:v>
                      </c:pt>
                      <c:pt idx="3">
                        <c:v>2</c:v>
                      </c:pt>
                      <c:pt idx="4">
                        <c:v>1</c:v>
                      </c:pt>
                      <c:pt idx="5">
                        <c:v>1</c:v>
                      </c:pt>
                      <c:pt idx="6">
                        <c:v>1</c:v>
                      </c:pt>
                      <c:pt idx="7">
                        <c:v>12</c:v>
                      </c:pt>
                      <c:pt idx="8">
                        <c:v>7</c:v>
                      </c:pt>
                      <c:pt idx="9">
                        <c:v>66</c:v>
                      </c:pt>
                      <c:pt idx="10">
                        <c:v>1</c:v>
                      </c:pt>
                      <c:pt idx="11">
                        <c:v>20</c:v>
                      </c:pt>
                      <c:pt idx="12">
                        <c:v>7</c:v>
                      </c:pt>
                      <c:pt idx="13">
                        <c:v>10</c:v>
                      </c:pt>
                      <c:pt idx="14">
                        <c:v>1</c:v>
                      </c:pt>
                    </c:numCache>
                  </c:numRef>
                </c:val>
                <c:extLst>
                  <c:ext xmlns:c16="http://schemas.microsoft.com/office/drawing/2014/chart" uri="{C3380CC4-5D6E-409C-BE32-E72D297353CC}">
                    <c16:uniqueId val="{00000001-DC87-40F8-9ADA-DD8DA3282484}"/>
                  </c:ext>
                </c:extLst>
              </c15:ser>
            </c15:filteredBarSeries>
            <c15:filteredBarSeries>
              <c15:ser>
                <c:idx val="2"/>
                <c:order val="2"/>
                <c:tx>
                  <c:strRef>
                    <c:extLst>
                      <c:ext xmlns:c15="http://schemas.microsoft.com/office/drawing/2012/chart" uri="{02D57815-91ED-43cb-92C2-25804820EDAC}">
                        <c15:formulaRef>
                          <c15:sqref>'Pivot &amp; derived tables'!$AA$32</c15:sqref>
                        </c15:formulaRef>
                      </c:ext>
                    </c:extLst>
                    <c:strCache>
                      <c:ptCount val="1"/>
                      <c:pt idx="0">
                        <c:v>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tables'!$AA$33:$AA$47</c15:sqref>
                        </c15:formulaRef>
                      </c:ext>
                    </c:extLst>
                    <c:numCache>
                      <c:formatCode>General</c:formatCode>
                      <c:ptCount val="15"/>
                      <c:pt idx="0">
                        <c:v>1000</c:v>
                      </c:pt>
                      <c:pt idx="1">
                        <c:v>125</c:v>
                      </c:pt>
                      <c:pt idx="2">
                        <c:v>280</c:v>
                      </c:pt>
                      <c:pt idx="3">
                        <c:v>129</c:v>
                      </c:pt>
                      <c:pt idx="4">
                        <c:v>399</c:v>
                      </c:pt>
                      <c:pt idx="5">
                        <c:v>500</c:v>
                      </c:pt>
                      <c:pt idx="6">
                        <c:v>150</c:v>
                      </c:pt>
                      <c:pt idx="7">
                        <c:v>235.25</c:v>
                      </c:pt>
                      <c:pt idx="8">
                        <c:v>243.57</c:v>
                      </c:pt>
                      <c:pt idx="9">
                        <c:v>93.24</c:v>
                      </c:pt>
                      <c:pt idx="10">
                        <c:v>650</c:v>
                      </c:pt>
                      <c:pt idx="11">
                        <c:v>199.05</c:v>
                      </c:pt>
                      <c:pt idx="12">
                        <c:v>642</c:v>
                      </c:pt>
                      <c:pt idx="13">
                        <c:v>129</c:v>
                      </c:pt>
                      <c:pt idx="14">
                        <c:v>15</c:v>
                      </c:pt>
                    </c:numCache>
                  </c:numRef>
                </c:val>
                <c:extLst xmlns:c15="http://schemas.microsoft.com/office/drawing/2012/chart">
                  <c:ext xmlns:c16="http://schemas.microsoft.com/office/drawing/2014/chart" uri="{C3380CC4-5D6E-409C-BE32-E72D297353CC}">
                    <c16:uniqueId val="{00000000-BA7E-4F89-A27C-6ECEFF0F7E01}"/>
                  </c:ext>
                </c:extLst>
              </c15:ser>
            </c15:filteredBarSeries>
            <c15:filteredBarSeries>
              <c15:ser>
                <c:idx val="3"/>
                <c:order val="3"/>
                <c:tx>
                  <c:strRef>
                    <c:extLst>
                      <c:ext xmlns:c15="http://schemas.microsoft.com/office/drawing/2012/chart" uri="{02D57815-91ED-43cb-92C2-25804820EDAC}">
                        <c15:formulaRef>
                          <c15:sqref>'Pivot &amp; derived tables'!$AB$32</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tables'!$AB$33:$AB$47</c15:sqref>
                        </c15:formulaRef>
                      </c:ext>
                    </c:extLst>
                    <c:numCache>
                      <c:formatCode>General</c:formatCode>
                      <c:ptCount val="15"/>
                      <c:pt idx="0">
                        <c:v>3.92</c:v>
                      </c:pt>
                      <c:pt idx="1">
                        <c:v>0.49</c:v>
                      </c:pt>
                      <c:pt idx="2">
                        <c:v>7.69</c:v>
                      </c:pt>
                      <c:pt idx="3">
                        <c:v>1.01</c:v>
                      </c:pt>
                      <c:pt idx="4">
                        <c:v>1.56</c:v>
                      </c:pt>
                      <c:pt idx="5">
                        <c:v>1.96</c:v>
                      </c:pt>
                      <c:pt idx="6">
                        <c:v>0.59</c:v>
                      </c:pt>
                      <c:pt idx="7">
                        <c:v>11.07</c:v>
                      </c:pt>
                      <c:pt idx="8">
                        <c:v>6.69</c:v>
                      </c:pt>
                      <c:pt idx="9">
                        <c:v>24.13</c:v>
                      </c:pt>
                      <c:pt idx="10">
                        <c:v>2.5499999999999998</c:v>
                      </c:pt>
                      <c:pt idx="11">
                        <c:v>15.61</c:v>
                      </c:pt>
                      <c:pt idx="12">
                        <c:v>17.62</c:v>
                      </c:pt>
                      <c:pt idx="13">
                        <c:v>5.0599999999999996</c:v>
                      </c:pt>
                      <c:pt idx="14">
                        <c:v>0.06</c:v>
                      </c:pt>
                    </c:numCache>
                  </c:numRef>
                </c:val>
                <c:extLst xmlns:c15="http://schemas.microsoft.com/office/drawing/2012/chart">
                  <c:ext xmlns:c16="http://schemas.microsoft.com/office/drawing/2014/chart" uri="{C3380CC4-5D6E-409C-BE32-E72D297353CC}">
                    <c16:uniqueId val="{00000001-BA7E-4F89-A27C-6ECEFF0F7E01}"/>
                  </c:ext>
                </c:extLst>
              </c15:ser>
            </c15:filteredBarSeries>
          </c:ext>
        </c:extLst>
      </c:barChart>
      <c:catAx>
        <c:axId val="51990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a:t>
                </a:r>
                <a:endParaRPr lang="en-PH"/>
              </a:p>
            </c:rich>
          </c:tx>
          <c:layout>
            <c:manualLayout>
              <c:xMode val="edge"/>
              <c:yMode val="edge"/>
              <c:x val="0.43179864864864864"/>
              <c:y val="0.90727627326423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4704"/>
        <c:crosses val="autoZero"/>
        <c:auto val="1"/>
        <c:lblAlgn val="ctr"/>
        <c:lblOffset val="100"/>
        <c:noMultiLvlLbl val="0"/>
      </c:catAx>
      <c:valAx>
        <c:axId val="51990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7162162162162164E-2"/>
              <c:y val="0.258881366321185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Transaction per </a:t>
            </a:r>
            <a:r>
              <a:rPr lang="en-US" b="1"/>
              <a:t>G-cash Transaction Detail</a:t>
            </a:r>
          </a:p>
        </c:rich>
      </c:tx>
      <c:layout>
        <c:manualLayout>
          <c:xMode val="edge"/>
          <c:yMode val="edge"/>
          <c:x val="0.22611096096096095"/>
          <c:y val="2.1230357739886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'Pivot &amp; derived tables'!$Z$32</c:f>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tables'!$X$33:$X$47</c:f>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f>'Pivot &amp; derived tables'!$Z$33:$Z$47</c:f>
              <c:numCache>
                <c:formatCode>General</c:formatCode>
                <c:ptCount val="15"/>
                <c:pt idx="0">
                  <c:v>1</c:v>
                </c:pt>
                <c:pt idx="1">
                  <c:v>1</c:v>
                </c:pt>
                <c:pt idx="2">
                  <c:v>7</c:v>
                </c:pt>
                <c:pt idx="3">
                  <c:v>2</c:v>
                </c:pt>
                <c:pt idx="4">
                  <c:v>1</c:v>
                </c:pt>
                <c:pt idx="5">
                  <c:v>1</c:v>
                </c:pt>
                <c:pt idx="6">
                  <c:v>1</c:v>
                </c:pt>
                <c:pt idx="7">
                  <c:v>12</c:v>
                </c:pt>
                <c:pt idx="8">
                  <c:v>7</c:v>
                </c:pt>
                <c:pt idx="9">
                  <c:v>66</c:v>
                </c:pt>
                <c:pt idx="10">
                  <c:v>1</c:v>
                </c:pt>
                <c:pt idx="11">
                  <c:v>20</c:v>
                </c:pt>
                <c:pt idx="12">
                  <c:v>7</c:v>
                </c:pt>
                <c:pt idx="13">
                  <c:v>10</c:v>
                </c:pt>
                <c:pt idx="14">
                  <c:v>1</c:v>
                </c:pt>
              </c:numCache>
            </c:numRef>
          </c:val>
          <c:extLst xmlns:c15="http://schemas.microsoft.com/office/drawing/2012/chart">
            <c:ext xmlns:c16="http://schemas.microsoft.com/office/drawing/2014/chart" uri="{C3380CC4-5D6E-409C-BE32-E72D297353CC}">
              <c16:uniqueId val="{00000001-DC87-40F8-9ADA-DD8DA3282484}"/>
            </c:ext>
          </c:extLst>
        </c:ser>
        <c:dLbls>
          <c:dLblPos val="outEnd"/>
          <c:showLegendKey val="0"/>
          <c:showVal val="1"/>
          <c:showCatName val="0"/>
          <c:showSerName val="0"/>
          <c:showPercent val="0"/>
          <c:showBubbleSize val="0"/>
        </c:dLbls>
        <c:gapWidth val="219"/>
        <c:overlap val="-27"/>
        <c:axId val="519909024"/>
        <c:axId val="519904704"/>
        <c:extLst>
          <c:ext xmlns:c15="http://schemas.microsoft.com/office/drawing/2012/chart" uri="{02D57815-91ED-43cb-92C2-25804820EDAC}">
            <c15:filteredBarSeries>
              <c15:ser>
                <c:idx val="0"/>
                <c:order val="0"/>
                <c:tx>
                  <c:strRef>
                    <c:extLst>
                      <c:ext uri="{02D57815-91ED-43cb-92C2-25804820EDAC}">
                        <c15:formulaRef>
                          <c15:sqref>'Pivot &amp; derived tables'!$Y$32</c15:sqref>
                        </c15:formulaRef>
                      </c:ext>
                    </c:extLst>
                    <c:strCache>
                      <c:ptCount val="1"/>
                      <c:pt idx="0">
                        <c:v>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uri="{02D57815-91ED-43cb-92C2-25804820EDAC}">
                        <c15:formulaRef>
                          <c15:sqref>'Pivot &amp; derived tables'!$Y$33:$Y$47</c15:sqref>
                        </c15:formulaRef>
                      </c:ext>
                    </c:extLst>
                    <c:numCache>
                      <c:formatCode>General</c:formatCode>
                      <c:ptCount val="15"/>
                      <c:pt idx="0">
                        <c:v>1000</c:v>
                      </c:pt>
                      <c:pt idx="1">
                        <c:v>125</c:v>
                      </c:pt>
                      <c:pt idx="2">
                        <c:v>1960</c:v>
                      </c:pt>
                      <c:pt idx="3">
                        <c:v>258</c:v>
                      </c:pt>
                      <c:pt idx="4">
                        <c:v>399</c:v>
                      </c:pt>
                      <c:pt idx="5">
                        <c:v>500</c:v>
                      </c:pt>
                      <c:pt idx="6">
                        <c:v>150</c:v>
                      </c:pt>
                      <c:pt idx="7">
                        <c:v>2823</c:v>
                      </c:pt>
                      <c:pt idx="8">
                        <c:v>1705</c:v>
                      </c:pt>
                      <c:pt idx="9">
                        <c:v>6154</c:v>
                      </c:pt>
                      <c:pt idx="10">
                        <c:v>650</c:v>
                      </c:pt>
                      <c:pt idx="11">
                        <c:v>3981</c:v>
                      </c:pt>
                      <c:pt idx="12">
                        <c:v>4494</c:v>
                      </c:pt>
                      <c:pt idx="13">
                        <c:v>1290</c:v>
                      </c:pt>
                      <c:pt idx="14">
                        <c:v>15</c:v>
                      </c:pt>
                    </c:numCache>
                  </c:numRef>
                </c:val>
                <c:extLst>
                  <c:ext xmlns:c16="http://schemas.microsoft.com/office/drawing/2014/chart" uri="{C3380CC4-5D6E-409C-BE32-E72D297353CC}">
                    <c16:uniqueId val="{00000000-DC87-40F8-9ADA-DD8DA3282484}"/>
                  </c:ext>
                </c:extLst>
              </c15:ser>
            </c15:filteredBarSeries>
            <c15:filteredBarSeries>
              <c15:ser>
                <c:idx val="2"/>
                <c:order val="2"/>
                <c:tx>
                  <c:strRef>
                    <c:extLst>
                      <c:ext xmlns:c15="http://schemas.microsoft.com/office/drawing/2012/chart" uri="{02D57815-91ED-43cb-92C2-25804820EDAC}">
                        <c15:formulaRef>
                          <c15:sqref>'Pivot &amp; derived tables'!$AA$32</c15:sqref>
                        </c15:formulaRef>
                      </c:ext>
                    </c:extLst>
                    <c:strCache>
                      <c:ptCount val="1"/>
                      <c:pt idx="0">
                        <c:v>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tables'!$AA$33:$AA$47</c15:sqref>
                        </c15:formulaRef>
                      </c:ext>
                    </c:extLst>
                    <c:numCache>
                      <c:formatCode>General</c:formatCode>
                      <c:ptCount val="15"/>
                      <c:pt idx="0">
                        <c:v>1000</c:v>
                      </c:pt>
                      <c:pt idx="1">
                        <c:v>125</c:v>
                      </c:pt>
                      <c:pt idx="2">
                        <c:v>280</c:v>
                      </c:pt>
                      <c:pt idx="3">
                        <c:v>129</c:v>
                      </c:pt>
                      <c:pt idx="4">
                        <c:v>399</c:v>
                      </c:pt>
                      <c:pt idx="5">
                        <c:v>500</c:v>
                      </c:pt>
                      <c:pt idx="6">
                        <c:v>150</c:v>
                      </c:pt>
                      <c:pt idx="7">
                        <c:v>235.25</c:v>
                      </c:pt>
                      <c:pt idx="8">
                        <c:v>243.57</c:v>
                      </c:pt>
                      <c:pt idx="9">
                        <c:v>93.24</c:v>
                      </c:pt>
                      <c:pt idx="10">
                        <c:v>650</c:v>
                      </c:pt>
                      <c:pt idx="11">
                        <c:v>199.05</c:v>
                      </c:pt>
                      <c:pt idx="12">
                        <c:v>642</c:v>
                      </c:pt>
                      <c:pt idx="13">
                        <c:v>129</c:v>
                      </c:pt>
                      <c:pt idx="14">
                        <c:v>15</c:v>
                      </c:pt>
                    </c:numCache>
                  </c:numRef>
                </c:val>
                <c:extLst xmlns:c15="http://schemas.microsoft.com/office/drawing/2012/chart">
                  <c:ext xmlns:c16="http://schemas.microsoft.com/office/drawing/2014/chart" uri="{C3380CC4-5D6E-409C-BE32-E72D297353CC}">
                    <c16:uniqueId val="{00000000-EFF8-4690-A879-5E4980D9D5BD}"/>
                  </c:ext>
                </c:extLst>
              </c15:ser>
            </c15:filteredBarSeries>
            <c15:filteredBarSeries>
              <c15:ser>
                <c:idx val="3"/>
                <c:order val="3"/>
                <c:tx>
                  <c:strRef>
                    <c:extLst>
                      <c:ext xmlns:c15="http://schemas.microsoft.com/office/drawing/2012/chart" uri="{02D57815-91ED-43cb-92C2-25804820EDAC}">
                        <c15:formulaRef>
                          <c15:sqref>'Pivot &amp; derived tables'!$AB$32</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tables'!$AB$33:$AB$47</c15:sqref>
                        </c15:formulaRef>
                      </c:ext>
                    </c:extLst>
                    <c:numCache>
                      <c:formatCode>General</c:formatCode>
                      <c:ptCount val="15"/>
                      <c:pt idx="0">
                        <c:v>3.92</c:v>
                      </c:pt>
                      <c:pt idx="1">
                        <c:v>0.49</c:v>
                      </c:pt>
                      <c:pt idx="2">
                        <c:v>7.69</c:v>
                      </c:pt>
                      <c:pt idx="3">
                        <c:v>1.01</c:v>
                      </c:pt>
                      <c:pt idx="4">
                        <c:v>1.56</c:v>
                      </c:pt>
                      <c:pt idx="5">
                        <c:v>1.96</c:v>
                      </c:pt>
                      <c:pt idx="6">
                        <c:v>0.59</c:v>
                      </c:pt>
                      <c:pt idx="7">
                        <c:v>11.07</c:v>
                      </c:pt>
                      <c:pt idx="8">
                        <c:v>6.69</c:v>
                      </c:pt>
                      <c:pt idx="9">
                        <c:v>24.13</c:v>
                      </c:pt>
                      <c:pt idx="10">
                        <c:v>2.5499999999999998</c:v>
                      </c:pt>
                      <c:pt idx="11">
                        <c:v>15.61</c:v>
                      </c:pt>
                      <c:pt idx="12">
                        <c:v>17.62</c:v>
                      </c:pt>
                      <c:pt idx="13">
                        <c:v>5.0599999999999996</c:v>
                      </c:pt>
                      <c:pt idx="14">
                        <c:v>0.06</c:v>
                      </c:pt>
                    </c:numCache>
                  </c:numRef>
                </c:val>
                <c:extLst xmlns:c15="http://schemas.microsoft.com/office/drawing/2012/chart">
                  <c:ext xmlns:c16="http://schemas.microsoft.com/office/drawing/2014/chart" uri="{C3380CC4-5D6E-409C-BE32-E72D297353CC}">
                    <c16:uniqueId val="{00000001-EFF8-4690-A879-5E4980D9D5BD}"/>
                  </c:ext>
                </c:extLst>
              </c15:ser>
            </c15:filteredBarSeries>
          </c:ext>
        </c:extLst>
      </c:barChart>
      <c:catAx>
        <c:axId val="51990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a:t>
                </a:r>
                <a:endParaRPr lang="en-PH"/>
              </a:p>
            </c:rich>
          </c:tx>
          <c:layout>
            <c:manualLayout>
              <c:xMode val="edge"/>
              <c:yMode val="edge"/>
              <c:x val="0.43179864864864864"/>
              <c:y val="0.90727627326423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4704"/>
        <c:crosses val="autoZero"/>
        <c:auto val="1"/>
        <c:lblAlgn val="ctr"/>
        <c:lblOffset val="100"/>
        <c:noMultiLvlLbl val="0"/>
      </c:catAx>
      <c:valAx>
        <c:axId val="51990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Count</a:t>
                </a:r>
              </a:p>
            </c:rich>
          </c:tx>
          <c:layout>
            <c:manualLayout>
              <c:xMode val="edge"/>
              <c:yMode val="edge"/>
              <c:x val="1.5255255255255255E-2"/>
              <c:y val="0.304880474757606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of Transaction per </a:t>
            </a:r>
            <a:r>
              <a:rPr lang="en-US" b="1"/>
              <a:t>G-cash Transaction Detail</a:t>
            </a:r>
          </a:p>
        </c:rich>
      </c:tx>
      <c:layout>
        <c:manualLayout>
          <c:xMode val="edge"/>
          <c:yMode val="edge"/>
          <c:x val="0.22611096096096095"/>
          <c:y val="2.1230357739886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'Pivot &amp; derived tables'!$AA$32</c:f>
              <c:strCache>
                <c:ptCount val="1"/>
                <c:pt idx="0">
                  <c:v>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tables'!$X$33:$X$47</c:f>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f>'Pivot &amp; derived tables'!$AA$33:$AA$47</c:f>
              <c:numCache>
                <c:formatCode>General</c:formatCode>
                <c:ptCount val="15"/>
                <c:pt idx="0">
                  <c:v>1000</c:v>
                </c:pt>
                <c:pt idx="1">
                  <c:v>125</c:v>
                </c:pt>
                <c:pt idx="2">
                  <c:v>280</c:v>
                </c:pt>
                <c:pt idx="3">
                  <c:v>129</c:v>
                </c:pt>
                <c:pt idx="4">
                  <c:v>399</c:v>
                </c:pt>
                <c:pt idx="5">
                  <c:v>500</c:v>
                </c:pt>
                <c:pt idx="6">
                  <c:v>150</c:v>
                </c:pt>
                <c:pt idx="7">
                  <c:v>235.25</c:v>
                </c:pt>
                <c:pt idx="8">
                  <c:v>243.57</c:v>
                </c:pt>
                <c:pt idx="9">
                  <c:v>93.24</c:v>
                </c:pt>
                <c:pt idx="10">
                  <c:v>650</c:v>
                </c:pt>
                <c:pt idx="11">
                  <c:v>199.05</c:v>
                </c:pt>
                <c:pt idx="12">
                  <c:v>642</c:v>
                </c:pt>
                <c:pt idx="13">
                  <c:v>129</c:v>
                </c:pt>
                <c:pt idx="14">
                  <c:v>15</c:v>
                </c:pt>
              </c:numCache>
            </c:numRef>
          </c:val>
          <c:extLst xmlns:c15="http://schemas.microsoft.com/office/drawing/2012/chart">
            <c:ext xmlns:c16="http://schemas.microsoft.com/office/drawing/2014/chart" uri="{C3380CC4-5D6E-409C-BE32-E72D297353CC}">
              <c16:uniqueId val="{00000000-EFF8-4690-A879-5E4980D9D5BD}"/>
            </c:ext>
          </c:extLst>
        </c:ser>
        <c:dLbls>
          <c:dLblPos val="outEnd"/>
          <c:showLegendKey val="0"/>
          <c:showVal val="1"/>
          <c:showCatName val="0"/>
          <c:showSerName val="0"/>
          <c:showPercent val="0"/>
          <c:showBubbleSize val="0"/>
        </c:dLbls>
        <c:gapWidth val="219"/>
        <c:overlap val="-27"/>
        <c:axId val="519909024"/>
        <c:axId val="519904704"/>
        <c:extLst>
          <c:ext xmlns:c15="http://schemas.microsoft.com/office/drawing/2012/chart" uri="{02D57815-91ED-43cb-92C2-25804820EDAC}">
            <c15:filteredBarSeries>
              <c15:ser>
                <c:idx val="0"/>
                <c:order val="0"/>
                <c:tx>
                  <c:strRef>
                    <c:extLst>
                      <c:ext uri="{02D57815-91ED-43cb-92C2-25804820EDAC}">
                        <c15:formulaRef>
                          <c15:sqref>'Pivot &amp; derived tables'!$Y$32</c15:sqref>
                        </c15:formulaRef>
                      </c:ext>
                    </c:extLst>
                    <c:strCache>
                      <c:ptCount val="1"/>
                      <c:pt idx="0">
                        <c:v>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uri="{02D57815-91ED-43cb-92C2-25804820EDAC}">
                        <c15:formulaRef>
                          <c15:sqref>'Pivot &amp; derived tables'!$Y$33:$Y$47</c15:sqref>
                        </c15:formulaRef>
                      </c:ext>
                    </c:extLst>
                    <c:numCache>
                      <c:formatCode>General</c:formatCode>
                      <c:ptCount val="15"/>
                      <c:pt idx="0">
                        <c:v>1000</c:v>
                      </c:pt>
                      <c:pt idx="1">
                        <c:v>125</c:v>
                      </c:pt>
                      <c:pt idx="2">
                        <c:v>1960</c:v>
                      </c:pt>
                      <c:pt idx="3">
                        <c:v>258</c:v>
                      </c:pt>
                      <c:pt idx="4">
                        <c:v>399</c:v>
                      </c:pt>
                      <c:pt idx="5">
                        <c:v>500</c:v>
                      </c:pt>
                      <c:pt idx="6">
                        <c:v>150</c:v>
                      </c:pt>
                      <c:pt idx="7">
                        <c:v>2823</c:v>
                      </c:pt>
                      <c:pt idx="8">
                        <c:v>1705</c:v>
                      </c:pt>
                      <c:pt idx="9">
                        <c:v>6154</c:v>
                      </c:pt>
                      <c:pt idx="10">
                        <c:v>650</c:v>
                      </c:pt>
                      <c:pt idx="11">
                        <c:v>3981</c:v>
                      </c:pt>
                      <c:pt idx="12">
                        <c:v>4494</c:v>
                      </c:pt>
                      <c:pt idx="13">
                        <c:v>1290</c:v>
                      </c:pt>
                      <c:pt idx="14">
                        <c:v>15</c:v>
                      </c:pt>
                    </c:numCache>
                  </c:numRef>
                </c:val>
                <c:extLst>
                  <c:ext xmlns:c16="http://schemas.microsoft.com/office/drawing/2014/chart" uri="{C3380CC4-5D6E-409C-BE32-E72D297353CC}">
                    <c16:uniqueId val="{00000000-DC87-40F8-9ADA-DD8DA3282484}"/>
                  </c:ext>
                </c:extLst>
              </c15:ser>
            </c15:filteredBarSeries>
            <c15:filteredBarSeries>
              <c15:ser>
                <c:idx val="1"/>
                <c:order val="1"/>
                <c:tx>
                  <c:strRef>
                    <c:extLst>
                      <c:ext xmlns:c15="http://schemas.microsoft.com/office/drawing/2012/chart" uri="{02D57815-91ED-43cb-92C2-25804820EDAC}">
                        <c15:formulaRef>
                          <c15:sqref>'Pivot &amp; derived tables'!$Z$32</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tables'!$Z$33:$Z$47</c15:sqref>
                        </c15:formulaRef>
                      </c:ext>
                    </c:extLst>
                    <c:numCache>
                      <c:formatCode>General</c:formatCode>
                      <c:ptCount val="15"/>
                      <c:pt idx="0">
                        <c:v>1</c:v>
                      </c:pt>
                      <c:pt idx="1">
                        <c:v>1</c:v>
                      </c:pt>
                      <c:pt idx="2">
                        <c:v>7</c:v>
                      </c:pt>
                      <c:pt idx="3">
                        <c:v>2</c:v>
                      </c:pt>
                      <c:pt idx="4">
                        <c:v>1</c:v>
                      </c:pt>
                      <c:pt idx="5">
                        <c:v>1</c:v>
                      </c:pt>
                      <c:pt idx="6">
                        <c:v>1</c:v>
                      </c:pt>
                      <c:pt idx="7">
                        <c:v>12</c:v>
                      </c:pt>
                      <c:pt idx="8">
                        <c:v>7</c:v>
                      </c:pt>
                      <c:pt idx="9">
                        <c:v>66</c:v>
                      </c:pt>
                      <c:pt idx="10">
                        <c:v>1</c:v>
                      </c:pt>
                      <c:pt idx="11">
                        <c:v>20</c:v>
                      </c:pt>
                      <c:pt idx="12">
                        <c:v>7</c:v>
                      </c:pt>
                      <c:pt idx="13">
                        <c:v>10</c:v>
                      </c:pt>
                      <c:pt idx="14">
                        <c:v>1</c:v>
                      </c:pt>
                    </c:numCache>
                  </c:numRef>
                </c:val>
                <c:extLst xmlns:c15="http://schemas.microsoft.com/office/drawing/2012/chart">
                  <c:ext xmlns:c16="http://schemas.microsoft.com/office/drawing/2014/chart" uri="{C3380CC4-5D6E-409C-BE32-E72D297353CC}">
                    <c16:uniqueId val="{00000001-DC87-40F8-9ADA-DD8DA3282484}"/>
                  </c:ext>
                </c:extLst>
              </c15:ser>
            </c15:filteredBarSeries>
            <c15:filteredBarSeries>
              <c15:ser>
                <c:idx val="3"/>
                <c:order val="3"/>
                <c:tx>
                  <c:strRef>
                    <c:extLst>
                      <c:ext xmlns:c15="http://schemas.microsoft.com/office/drawing/2012/chart" uri="{02D57815-91ED-43cb-92C2-25804820EDAC}">
                        <c15:formulaRef>
                          <c15:sqref>'Pivot &amp; derived tables'!$AB$32</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tables'!$AB$33:$AB$47</c15:sqref>
                        </c15:formulaRef>
                      </c:ext>
                    </c:extLst>
                    <c:numCache>
                      <c:formatCode>General</c:formatCode>
                      <c:ptCount val="15"/>
                      <c:pt idx="0">
                        <c:v>3.92</c:v>
                      </c:pt>
                      <c:pt idx="1">
                        <c:v>0.49</c:v>
                      </c:pt>
                      <c:pt idx="2">
                        <c:v>7.69</c:v>
                      </c:pt>
                      <c:pt idx="3">
                        <c:v>1.01</c:v>
                      </c:pt>
                      <c:pt idx="4">
                        <c:v>1.56</c:v>
                      </c:pt>
                      <c:pt idx="5">
                        <c:v>1.96</c:v>
                      </c:pt>
                      <c:pt idx="6">
                        <c:v>0.59</c:v>
                      </c:pt>
                      <c:pt idx="7">
                        <c:v>11.07</c:v>
                      </c:pt>
                      <c:pt idx="8">
                        <c:v>6.69</c:v>
                      </c:pt>
                      <c:pt idx="9">
                        <c:v>24.13</c:v>
                      </c:pt>
                      <c:pt idx="10">
                        <c:v>2.5499999999999998</c:v>
                      </c:pt>
                      <c:pt idx="11">
                        <c:v>15.61</c:v>
                      </c:pt>
                      <c:pt idx="12">
                        <c:v>17.62</c:v>
                      </c:pt>
                      <c:pt idx="13">
                        <c:v>5.0599999999999996</c:v>
                      </c:pt>
                      <c:pt idx="14">
                        <c:v>0.06</c:v>
                      </c:pt>
                    </c:numCache>
                  </c:numRef>
                </c:val>
                <c:extLst xmlns:c15="http://schemas.microsoft.com/office/drawing/2012/chart">
                  <c:ext xmlns:c16="http://schemas.microsoft.com/office/drawing/2014/chart" uri="{C3380CC4-5D6E-409C-BE32-E72D297353CC}">
                    <c16:uniqueId val="{00000000-0CBF-4EAD-9BBD-DE8ED2DCE551}"/>
                  </c:ext>
                </c:extLst>
              </c15:ser>
            </c15:filteredBarSeries>
          </c:ext>
        </c:extLst>
      </c:barChart>
      <c:catAx>
        <c:axId val="51990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a:t>
                </a:r>
                <a:endParaRPr lang="en-PH"/>
              </a:p>
            </c:rich>
          </c:tx>
          <c:layout>
            <c:manualLayout>
              <c:xMode val="edge"/>
              <c:yMode val="edge"/>
              <c:x val="0.43179864864864864"/>
              <c:y val="0.90727627326423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4704"/>
        <c:crosses val="autoZero"/>
        <c:auto val="1"/>
        <c:lblAlgn val="ctr"/>
        <c:lblOffset val="100"/>
        <c:noMultiLvlLbl val="0"/>
      </c:catAx>
      <c:valAx>
        <c:axId val="51990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5255255255255255E-2"/>
              <c:y val="0.304880474757606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Expense Percentage per </a:t>
            </a:r>
            <a:r>
              <a:rPr lang="en-US" b="1"/>
              <a:t>G-cash Transaction Detail</a:t>
            </a:r>
          </a:p>
        </c:rich>
      </c:tx>
      <c:layout>
        <c:manualLayout>
          <c:xMode val="edge"/>
          <c:yMode val="edge"/>
          <c:x val="0.26615600600600597"/>
          <c:y val="2.1230357739886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'Pivot &amp; derived tables'!$AB$32</c:f>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tables'!$X$33:$X$47</c:f>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f>'Pivot &amp; derived tables'!$AB$33:$AB$47</c:f>
              <c:numCache>
                <c:formatCode>General</c:formatCode>
                <c:ptCount val="15"/>
                <c:pt idx="0">
                  <c:v>3.92</c:v>
                </c:pt>
                <c:pt idx="1">
                  <c:v>0.49</c:v>
                </c:pt>
                <c:pt idx="2">
                  <c:v>7.69</c:v>
                </c:pt>
                <c:pt idx="3">
                  <c:v>1.01</c:v>
                </c:pt>
                <c:pt idx="4">
                  <c:v>1.56</c:v>
                </c:pt>
                <c:pt idx="5">
                  <c:v>1.96</c:v>
                </c:pt>
                <c:pt idx="6">
                  <c:v>0.59</c:v>
                </c:pt>
                <c:pt idx="7">
                  <c:v>11.07</c:v>
                </c:pt>
                <c:pt idx="8">
                  <c:v>6.69</c:v>
                </c:pt>
                <c:pt idx="9">
                  <c:v>24.13</c:v>
                </c:pt>
                <c:pt idx="10">
                  <c:v>2.5499999999999998</c:v>
                </c:pt>
                <c:pt idx="11">
                  <c:v>15.61</c:v>
                </c:pt>
                <c:pt idx="12">
                  <c:v>17.62</c:v>
                </c:pt>
                <c:pt idx="13">
                  <c:v>5.0599999999999996</c:v>
                </c:pt>
                <c:pt idx="14">
                  <c:v>0.06</c:v>
                </c:pt>
              </c:numCache>
            </c:numRef>
          </c:val>
          <c:extLst xmlns:c15="http://schemas.microsoft.com/office/drawing/2012/chart">
            <c:ext xmlns:c16="http://schemas.microsoft.com/office/drawing/2014/chart" uri="{C3380CC4-5D6E-409C-BE32-E72D297353CC}">
              <c16:uniqueId val="{00000001-BA7E-4F89-A27C-6ECEFF0F7E01}"/>
            </c:ext>
          </c:extLst>
        </c:ser>
        <c:dLbls>
          <c:dLblPos val="outEnd"/>
          <c:showLegendKey val="0"/>
          <c:showVal val="1"/>
          <c:showCatName val="0"/>
          <c:showSerName val="0"/>
          <c:showPercent val="0"/>
          <c:showBubbleSize val="0"/>
        </c:dLbls>
        <c:gapWidth val="219"/>
        <c:overlap val="-27"/>
        <c:axId val="519909024"/>
        <c:axId val="519904704"/>
        <c:extLst>
          <c:ext xmlns:c15="http://schemas.microsoft.com/office/drawing/2012/chart" uri="{02D57815-91ED-43cb-92C2-25804820EDAC}">
            <c15:filteredBarSeries>
              <c15:ser>
                <c:idx val="0"/>
                <c:order val="0"/>
                <c:tx>
                  <c:strRef>
                    <c:extLst>
                      <c:ext uri="{02D57815-91ED-43cb-92C2-25804820EDAC}">
                        <c15:formulaRef>
                          <c15:sqref>'Pivot &amp; derived tables'!$Y$32</c15:sqref>
                        </c15:formulaRef>
                      </c:ext>
                    </c:extLst>
                    <c:strCache>
                      <c:ptCount val="1"/>
                      <c:pt idx="0">
                        <c:v>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uri="{02D57815-91ED-43cb-92C2-25804820EDAC}">
                        <c15:formulaRef>
                          <c15:sqref>'Pivot &amp; derived tables'!$Y$33:$Y$47</c15:sqref>
                        </c15:formulaRef>
                      </c:ext>
                    </c:extLst>
                    <c:numCache>
                      <c:formatCode>General</c:formatCode>
                      <c:ptCount val="15"/>
                      <c:pt idx="0">
                        <c:v>1000</c:v>
                      </c:pt>
                      <c:pt idx="1">
                        <c:v>125</c:v>
                      </c:pt>
                      <c:pt idx="2">
                        <c:v>1960</c:v>
                      </c:pt>
                      <c:pt idx="3">
                        <c:v>258</c:v>
                      </c:pt>
                      <c:pt idx="4">
                        <c:v>399</c:v>
                      </c:pt>
                      <c:pt idx="5">
                        <c:v>500</c:v>
                      </c:pt>
                      <c:pt idx="6">
                        <c:v>150</c:v>
                      </c:pt>
                      <c:pt idx="7">
                        <c:v>2823</c:v>
                      </c:pt>
                      <c:pt idx="8">
                        <c:v>1705</c:v>
                      </c:pt>
                      <c:pt idx="9">
                        <c:v>6154</c:v>
                      </c:pt>
                      <c:pt idx="10">
                        <c:v>650</c:v>
                      </c:pt>
                      <c:pt idx="11">
                        <c:v>3981</c:v>
                      </c:pt>
                      <c:pt idx="12">
                        <c:v>4494</c:v>
                      </c:pt>
                      <c:pt idx="13">
                        <c:v>1290</c:v>
                      </c:pt>
                      <c:pt idx="14">
                        <c:v>15</c:v>
                      </c:pt>
                    </c:numCache>
                  </c:numRef>
                </c:val>
                <c:extLst>
                  <c:ext xmlns:c16="http://schemas.microsoft.com/office/drawing/2014/chart" uri="{C3380CC4-5D6E-409C-BE32-E72D297353CC}">
                    <c16:uniqueId val="{00000000-DC87-40F8-9ADA-DD8DA3282484}"/>
                  </c:ext>
                </c:extLst>
              </c15:ser>
            </c15:filteredBarSeries>
            <c15:filteredBarSeries>
              <c15:ser>
                <c:idx val="1"/>
                <c:order val="1"/>
                <c:tx>
                  <c:strRef>
                    <c:extLst>
                      <c:ext xmlns:c15="http://schemas.microsoft.com/office/drawing/2012/chart" uri="{02D57815-91ED-43cb-92C2-25804820EDAC}">
                        <c15:formulaRef>
                          <c15:sqref>'Pivot &amp; derived tables'!$Z$32</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tables'!$Z$33:$Z$47</c15:sqref>
                        </c15:formulaRef>
                      </c:ext>
                    </c:extLst>
                    <c:numCache>
                      <c:formatCode>General</c:formatCode>
                      <c:ptCount val="15"/>
                      <c:pt idx="0">
                        <c:v>1</c:v>
                      </c:pt>
                      <c:pt idx="1">
                        <c:v>1</c:v>
                      </c:pt>
                      <c:pt idx="2">
                        <c:v>7</c:v>
                      </c:pt>
                      <c:pt idx="3">
                        <c:v>2</c:v>
                      </c:pt>
                      <c:pt idx="4">
                        <c:v>1</c:v>
                      </c:pt>
                      <c:pt idx="5">
                        <c:v>1</c:v>
                      </c:pt>
                      <c:pt idx="6">
                        <c:v>1</c:v>
                      </c:pt>
                      <c:pt idx="7">
                        <c:v>12</c:v>
                      </c:pt>
                      <c:pt idx="8">
                        <c:v>7</c:v>
                      </c:pt>
                      <c:pt idx="9">
                        <c:v>66</c:v>
                      </c:pt>
                      <c:pt idx="10">
                        <c:v>1</c:v>
                      </c:pt>
                      <c:pt idx="11">
                        <c:v>20</c:v>
                      </c:pt>
                      <c:pt idx="12">
                        <c:v>7</c:v>
                      </c:pt>
                      <c:pt idx="13">
                        <c:v>10</c:v>
                      </c:pt>
                      <c:pt idx="14">
                        <c:v>1</c:v>
                      </c:pt>
                    </c:numCache>
                  </c:numRef>
                </c:val>
                <c:extLst xmlns:c15="http://schemas.microsoft.com/office/drawing/2012/chart">
                  <c:ext xmlns:c16="http://schemas.microsoft.com/office/drawing/2014/chart" uri="{C3380CC4-5D6E-409C-BE32-E72D297353CC}">
                    <c16:uniqueId val="{00000001-DC87-40F8-9ADA-DD8DA3282484}"/>
                  </c:ext>
                </c:extLst>
              </c15:ser>
            </c15:filteredBarSeries>
            <c15:filteredBarSeries>
              <c15:ser>
                <c:idx val="2"/>
                <c:order val="2"/>
                <c:tx>
                  <c:strRef>
                    <c:extLst>
                      <c:ext xmlns:c15="http://schemas.microsoft.com/office/drawing/2012/chart" uri="{02D57815-91ED-43cb-92C2-25804820EDAC}">
                        <c15:formulaRef>
                          <c15:sqref>'Pivot &amp; derived tables'!$AA$32</c15:sqref>
                        </c15:formulaRef>
                      </c:ext>
                    </c:extLst>
                    <c:strCache>
                      <c:ptCount val="1"/>
                      <c:pt idx="0">
                        <c:v>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tables'!$AA$33:$AA$47</c15:sqref>
                        </c15:formulaRef>
                      </c:ext>
                    </c:extLst>
                    <c:numCache>
                      <c:formatCode>General</c:formatCode>
                      <c:ptCount val="15"/>
                      <c:pt idx="0">
                        <c:v>1000</c:v>
                      </c:pt>
                      <c:pt idx="1">
                        <c:v>125</c:v>
                      </c:pt>
                      <c:pt idx="2">
                        <c:v>280</c:v>
                      </c:pt>
                      <c:pt idx="3">
                        <c:v>129</c:v>
                      </c:pt>
                      <c:pt idx="4">
                        <c:v>399</c:v>
                      </c:pt>
                      <c:pt idx="5">
                        <c:v>500</c:v>
                      </c:pt>
                      <c:pt idx="6">
                        <c:v>150</c:v>
                      </c:pt>
                      <c:pt idx="7">
                        <c:v>235.25</c:v>
                      </c:pt>
                      <c:pt idx="8">
                        <c:v>243.57</c:v>
                      </c:pt>
                      <c:pt idx="9">
                        <c:v>93.24</c:v>
                      </c:pt>
                      <c:pt idx="10">
                        <c:v>650</c:v>
                      </c:pt>
                      <c:pt idx="11">
                        <c:v>199.05</c:v>
                      </c:pt>
                      <c:pt idx="12">
                        <c:v>642</c:v>
                      </c:pt>
                      <c:pt idx="13">
                        <c:v>129</c:v>
                      </c:pt>
                      <c:pt idx="14">
                        <c:v>15</c:v>
                      </c:pt>
                    </c:numCache>
                  </c:numRef>
                </c:val>
                <c:extLst xmlns:c15="http://schemas.microsoft.com/office/drawing/2012/chart">
                  <c:ext xmlns:c16="http://schemas.microsoft.com/office/drawing/2014/chart" uri="{C3380CC4-5D6E-409C-BE32-E72D297353CC}">
                    <c16:uniqueId val="{00000000-BA7E-4F89-A27C-6ECEFF0F7E01}"/>
                  </c:ext>
                </c:extLst>
              </c15:ser>
            </c15:filteredBarSeries>
          </c:ext>
        </c:extLst>
      </c:barChart>
      <c:catAx>
        <c:axId val="51990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a:t>
                </a:r>
                <a:endParaRPr lang="en-PH"/>
              </a:p>
            </c:rich>
          </c:tx>
          <c:layout>
            <c:manualLayout>
              <c:xMode val="edge"/>
              <c:yMode val="edge"/>
              <c:x val="0.43179864864864864"/>
              <c:y val="0.90727627326423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4704"/>
        <c:crosses val="autoZero"/>
        <c:auto val="1"/>
        <c:lblAlgn val="ctr"/>
        <c:lblOffset val="100"/>
        <c:noMultiLvlLbl val="0"/>
      </c:catAx>
      <c:valAx>
        <c:axId val="51990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7162162162162164E-2"/>
              <c:y val="0.258881366321185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Percentage of December</a:t>
            </a:r>
            <a:r>
              <a:rPr lang="en-US" b="1" baseline="0"/>
              <a:t> 2023 E</a:t>
            </a:r>
            <a:r>
              <a:rPr lang="en-US" b="1"/>
              <a:t>xpenses </a:t>
            </a:r>
          </a:p>
          <a:p>
            <a:pPr>
              <a:defRPr/>
            </a:pPr>
            <a:r>
              <a:rPr lang="en-US" b="1"/>
              <a:t>by Category</a:t>
            </a:r>
          </a:p>
        </c:rich>
      </c:tx>
      <c:layout>
        <c:manualLayout>
          <c:xMode val="edge"/>
          <c:yMode val="edge"/>
          <c:x val="0.23999092213926884"/>
          <c:y val="2.4098253120751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'Analysis &amp; Diagnostics'!$J$120</c:f>
              <c:strCache>
                <c:ptCount val="1"/>
                <c:pt idx="0">
                  <c:v>expense_prcnt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Diagnostics'!$G$121:$G$128</c:f>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f>'Analysis &amp; Diagnostics'!$J$121:$J$128</c:f>
              <c:numCache>
                <c:formatCode>General</c:formatCode>
                <c:ptCount val="8"/>
                <c:pt idx="0">
                  <c:v>36.53</c:v>
                </c:pt>
                <c:pt idx="1">
                  <c:v>36.22</c:v>
                </c:pt>
                <c:pt idx="2">
                  <c:v>6.76</c:v>
                </c:pt>
                <c:pt idx="3">
                  <c:v>5.46</c:v>
                </c:pt>
                <c:pt idx="4">
                  <c:v>4.29</c:v>
                </c:pt>
                <c:pt idx="5">
                  <c:v>3.88</c:v>
                </c:pt>
                <c:pt idx="6">
                  <c:v>3.5</c:v>
                </c:pt>
                <c:pt idx="7">
                  <c:v>3.35</c:v>
                </c:pt>
              </c:numCache>
            </c:numRef>
          </c:val>
          <c:extLst xmlns:c15="http://schemas.microsoft.com/office/drawing/2012/chart">
            <c:ext xmlns:c16="http://schemas.microsoft.com/office/drawing/2014/chart" uri="{C3380CC4-5D6E-409C-BE32-E72D297353CC}">
              <c16:uniqueId val="{00000002-8FC0-4BD4-82C4-EF50CDEBE3E3}"/>
            </c:ext>
          </c:extLst>
        </c:ser>
        <c:dLbls>
          <c:showLegendKey val="0"/>
          <c:showVal val="0"/>
          <c:showCatName val="0"/>
          <c:showSerName val="0"/>
          <c:showPercent val="0"/>
          <c:showBubbleSize val="0"/>
        </c:dLbls>
        <c:gapWidth val="219"/>
        <c:axId val="252885216"/>
        <c:axId val="252890976"/>
        <c:extLst>
          <c:ext xmlns:c15="http://schemas.microsoft.com/office/drawing/2012/chart" uri="{02D57815-91ED-43cb-92C2-25804820EDAC}">
            <c15:filteredBarSeries>
              <c15:ser>
                <c:idx val="0"/>
                <c:order val="0"/>
                <c:tx>
                  <c:strRef>
                    <c:extLst>
                      <c:ext uri="{02D57815-91ED-43cb-92C2-25804820EDAC}">
                        <c15:formulaRef>
                          <c15:sqref>'Analysis &amp; Diagnostics'!$H$120</c15:sqref>
                        </c15:formulaRef>
                      </c:ext>
                    </c:extLst>
                    <c:strCache>
                      <c:ptCount val="1"/>
                      <c:pt idx="0">
                        <c:v>expense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uri="{02D57815-91ED-43cb-92C2-25804820EDAC}">
                        <c15:formulaRef>
                          <c15:sqref>'Analysis &amp; Diagnostics'!$H$121:$H$128</c15:sqref>
                        </c15:formulaRef>
                      </c:ext>
                    </c:extLst>
                    <c:numCache>
                      <c:formatCode>General</c:formatCode>
                      <c:ptCount val="8"/>
                      <c:pt idx="0">
                        <c:v>11699</c:v>
                      </c:pt>
                      <c:pt idx="1">
                        <c:v>11600</c:v>
                      </c:pt>
                      <c:pt idx="2">
                        <c:v>2166</c:v>
                      </c:pt>
                      <c:pt idx="3">
                        <c:v>1747</c:v>
                      </c:pt>
                      <c:pt idx="4">
                        <c:v>1375</c:v>
                      </c:pt>
                      <c:pt idx="5">
                        <c:v>1244</c:v>
                      </c:pt>
                      <c:pt idx="6">
                        <c:v>1120</c:v>
                      </c:pt>
                      <c:pt idx="7">
                        <c:v>1072</c:v>
                      </c:pt>
                    </c:numCache>
                  </c:numRef>
                </c:val>
                <c:extLst>
                  <c:ext xmlns:c16="http://schemas.microsoft.com/office/drawing/2014/chart" uri="{C3380CC4-5D6E-409C-BE32-E72D297353CC}">
                    <c16:uniqueId val="{00000000-8FC0-4BD4-82C4-EF50CDEBE3E3}"/>
                  </c:ext>
                </c:extLst>
              </c15:ser>
            </c15:filteredBarSeries>
            <c15:filteredBarSeries>
              <c15:ser>
                <c:idx val="1"/>
                <c:order val="1"/>
                <c:tx>
                  <c:strRef>
                    <c:extLst>
                      <c:ext xmlns:c15="http://schemas.microsoft.com/office/drawing/2012/chart" uri="{02D57815-91ED-43cb-92C2-25804820EDAC}">
                        <c15:formulaRef>
                          <c15:sqref>'Analysis &amp; Diagnostics'!$I$120</c15:sqref>
                        </c15:formulaRef>
                      </c:ext>
                    </c:extLst>
                    <c:strCache>
                      <c:ptCount val="1"/>
                      <c:pt idx="0">
                        <c:v>expense_propxn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Diagnostics'!$I$121:$I$128</c15:sqref>
                        </c15:formulaRef>
                      </c:ext>
                    </c:extLst>
                    <c:numCache>
                      <c:formatCode>General</c:formatCode>
                      <c:ptCount val="8"/>
                      <c:pt idx="0">
                        <c:v>0.36533116822283984</c:v>
                      </c:pt>
                      <c:pt idx="1">
                        <c:v>0.36223964025856414</c:v>
                      </c:pt>
                      <c:pt idx="2">
                        <c:v>6.7638884551728437E-2</c:v>
                      </c:pt>
                      <c:pt idx="3">
                        <c:v>5.4554538925147542E-2</c:v>
                      </c:pt>
                      <c:pt idx="4">
                        <c:v>4.2937888392717734E-2</c:v>
                      </c:pt>
                      <c:pt idx="5">
                        <c:v>3.8847078662211529E-2</c:v>
                      </c:pt>
                      <c:pt idx="6">
                        <c:v>3.4974861818068262E-2</c:v>
                      </c:pt>
                      <c:pt idx="7">
                        <c:v>3.3475939168722477E-2</c:v>
                      </c:pt>
                    </c:numCache>
                  </c:numRef>
                </c:val>
                <c:extLst xmlns:c15="http://schemas.microsoft.com/office/drawing/2012/chart">
                  <c:ext xmlns:c16="http://schemas.microsoft.com/office/drawing/2014/chart" uri="{C3380CC4-5D6E-409C-BE32-E72D297353CC}">
                    <c16:uniqueId val="{00000001-8FC0-4BD4-82C4-EF50CDEBE3E3}"/>
                  </c:ext>
                </c:extLst>
              </c15:ser>
            </c15:filteredBarSeries>
            <c15:filteredBarSeries>
              <c15:ser>
                <c:idx val="3"/>
                <c:order val="3"/>
                <c:tx>
                  <c:strRef>
                    <c:extLst>
                      <c:ext xmlns:c15="http://schemas.microsoft.com/office/drawing/2012/chart" uri="{02D57815-91ED-43cb-92C2-25804820EDAC}">
                        <c15:formulaRef>
                          <c15:sqref>'Analysis &amp; Diagnostics'!$K$120</c15:sqref>
                        </c15:formulaRef>
                      </c:ext>
                    </c:extLst>
                    <c:strCache>
                      <c:ptCount val="1"/>
                      <c:pt idx="0">
                        <c:v>count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Diagnostics'!$K$121:$K$128</c15:sqref>
                        </c15:formulaRef>
                      </c:ext>
                    </c:extLst>
                    <c:numCache>
                      <c:formatCode>General</c:formatCode>
                      <c:ptCount val="8"/>
                      <c:pt idx="0">
                        <c:v>6</c:v>
                      </c:pt>
                      <c:pt idx="1">
                        <c:v>4</c:v>
                      </c:pt>
                      <c:pt idx="2">
                        <c:v>8</c:v>
                      </c:pt>
                      <c:pt idx="3">
                        <c:v>23</c:v>
                      </c:pt>
                      <c:pt idx="4">
                        <c:v>1</c:v>
                      </c:pt>
                      <c:pt idx="5">
                        <c:v>4</c:v>
                      </c:pt>
                      <c:pt idx="6">
                        <c:v>15</c:v>
                      </c:pt>
                      <c:pt idx="7">
                        <c:v>6</c:v>
                      </c:pt>
                    </c:numCache>
                  </c:numRef>
                </c:val>
                <c:extLst xmlns:c15="http://schemas.microsoft.com/office/drawing/2012/chart">
                  <c:ext xmlns:c16="http://schemas.microsoft.com/office/drawing/2014/chart" uri="{C3380CC4-5D6E-409C-BE32-E72D297353CC}">
                    <c16:uniqueId val="{00000000-3DD9-4B24-B0B6-8727DC19E939}"/>
                  </c:ext>
                </c:extLst>
              </c15:ser>
            </c15:filteredBarSeries>
            <c15:filteredBarSeries>
              <c15:ser>
                <c:idx val="5"/>
                <c:order val="4"/>
                <c:tx>
                  <c:strRef>
                    <c:extLst>
                      <c:ext xmlns:c15="http://schemas.microsoft.com/office/drawing/2012/chart" uri="{02D57815-91ED-43cb-92C2-25804820EDAC}">
                        <c15:formulaRef>
                          <c15:sqref>'Analysis &amp; Diagnostics'!$L$120</c15:sqref>
                        </c15:formulaRef>
                      </c:ext>
                    </c:extLst>
                    <c:strCache>
                      <c:ptCount val="1"/>
                      <c:pt idx="0">
                        <c:v>average_rounded</c:v>
                      </c:pt>
                    </c:strCache>
                  </c:strRef>
                </c:tx>
                <c:spPr>
                  <a:solidFill>
                    <a:schemeClr val="accent6"/>
                  </a:solidFill>
                  <a:ln>
                    <a:noFill/>
                  </a:ln>
                  <a:effectLst/>
                </c:spPr>
                <c:invertIfNegative val="0"/>
                <c:cat>
                  <c:strRef>
                    <c:extLst>
                      <c:ext xmlns:c15="http://schemas.microsoft.com/office/drawing/2012/chart" uri="{02D57815-91ED-43cb-92C2-25804820EDAC}">
                        <c15:formulaRef>
                          <c15:sqref>'Analysis &amp; Diagnostics'!$G$121:$G$128</c15:sqref>
                        </c15:formulaRef>
                      </c:ext>
                    </c:extLst>
                    <c:strCache>
                      <c:ptCount val="8"/>
                      <c:pt idx="0">
                        <c:v>laptop-related</c:v>
                      </c:pt>
                      <c:pt idx="1">
                        <c:v>bills</c:v>
                      </c:pt>
                      <c:pt idx="2">
                        <c:v>entertainment</c:v>
                      </c:pt>
                      <c:pt idx="3">
                        <c:v>food</c:v>
                      </c:pt>
                      <c:pt idx="4">
                        <c:v>medicine</c:v>
                      </c:pt>
                      <c:pt idx="5">
                        <c:v>job-related</c:v>
                      </c:pt>
                      <c:pt idx="6">
                        <c:v>transportation</c:v>
                      </c:pt>
                      <c:pt idx="7">
                        <c:v>personal necessity</c:v>
                      </c:pt>
                    </c:strCache>
                  </c:strRef>
                </c:cat>
                <c:val>
                  <c:numRef>
                    <c:extLst>
                      <c:ext xmlns:c15="http://schemas.microsoft.com/office/drawing/2012/chart" uri="{02D57815-91ED-43cb-92C2-25804820EDAC}">
                        <c15:formulaRef>
                          <c15:sqref>'Analysis &amp; Diagnostics'!$L$121:$L$128</c15:sqref>
                        </c15:formulaRef>
                      </c:ext>
                    </c:extLst>
                    <c:numCache>
                      <c:formatCode>General</c:formatCode>
                      <c:ptCount val="8"/>
                      <c:pt idx="0">
                        <c:v>1949.83</c:v>
                      </c:pt>
                      <c:pt idx="1">
                        <c:v>2900</c:v>
                      </c:pt>
                      <c:pt idx="2">
                        <c:v>270.75</c:v>
                      </c:pt>
                      <c:pt idx="3">
                        <c:v>75.959999999999994</c:v>
                      </c:pt>
                      <c:pt idx="4">
                        <c:v>1375</c:v>
                      </c:pt>
                      <c:pt idx="5">
                        <c:v>311</c:v>
                      </c:pt>
                      <c:pt idx="6">
                        <c:v>74.67</c:v>
                      </c:pt>
                      <c:pt idx="7">
                        <c:v>178.67</c:v>
                      </c:pt>
                    </c:numCache>
                  </c:numRef>
                </c:val>
                <c:extLst xmlns:c15="http://schemas.microsoft.com/office/drawing/2012/chart">
                  <c:ext xmlns:c16="http://schemas.microsoft.com/office/drawing/2014/chart" uri="{C3380CC4-5D6E-409C-BE32-E72D297353CC}">
                    <c16:uniqueId val="{00000002-3DD9-4B24-B0B6-8727DC19E939}"/>
                  </c:ext>
                </c:extLst>
              </c15:ser>
            </c15:filteredBarSeries>
          </c:ext>
        </c:extLst>
      </c:barChart>
      <c:catAx>
        <c:axId val="252885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Expenses</a:t>
                </a:r>
                <a:r>
                  <a:rPr lang="en-PH" baseline="0"/>
                  <a:t> Category</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90976"/>
        <c:crosses val="autoZero"/>
        <c:auto val="1"/>
        <c:lblAlgn val="ctr"/>
        <c:lblOffset val="100"/>
        <c:noMultiLvlLbl val="0"/>
      </c:catAx>
      <c:valAx>
        <c:axId val="25289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Percentage</a:t>
                </a:r>
              </a:p>
            </c:rich>
          </c:tx>
          <c:layout>
            <c:manualLayout>
              <c:xMode val="edge"/>
              <c:yMode val="edge"/>
              <c:x val="1.700416956196053E-2"/>
              <c:y val="0.355990533729383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8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Monthly Income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'Pivot &amp; derived tables'!$J$3</c:f>
              <c:strCache>
                <c:ptCount val="1"/>
                <c:pt idx="0">
                  <c:v>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tables'!$J$4:$J$18</c:f>
              <c:numCache>
                <c:formatCode>General</c:formatCode>
                <c:ptCount val="15"/>
                <c:pt idx="0">
                  <c:v>70026</c:v>
                </c:pt>
                <c:pt idx="1">
                  <c:v>43465</c:v>
                </c:pt>
                <c:pt idx="2">
                  <c:v>25466</c:v>
                </c:pt>
                <c:pt idx="3">
                  <c:v>25195</c:v>
                </c:pt>
                <c:pt idx="4">
                  <c:v>25195</c:v>
                </c:pt>
                <c:pt idx="5">
                  <c:v>32231</c:v>
                </c:pt>
                <c:pt idx="6">
                  <c:v>52230</c:v>
                </c:pt>
                <c:pt idx="7">
                  <c:v>25231</c:v>
                </c:pt>
                <c:pt idx="8">
                  <c:v>30278</c:v>
                </c:pt>
                <c:pt idx="9">
                  <c:v>42632</c:v>
                </c:pt>
                <c:pt idx="10">
                  <c:v>38620</c:v>
                </c:pt>
                <c:pt idx="11">
                  <c:v>27502</c:v>
                </c:pt>
                <c:pt idx="12">
                  <c:v>59992</c:v>
                </c:pt>
                <c:pt idx="13">
                  <c:v>51481</c:v>
                </c:pt>
                <c:pt idx="14">
                  <c:v>26403</c:v>
                </c:pt>
              </c:numCache>
            </c:numRef>
          </c:val>
          <c:extLst>
            <c:ext xmlns:c16="http://schemas.microsoft.com/office/drawing/2014/chart" uri="{C3380CC4-5D6E-409C-BE32-E72D297353CC}">
              <c16:uniqueId val="{00000003-AB03-4A6A-933A-4DC13F9423FC}"/>
            </c:ext>
          </c:extLst>
        </c:ser>
        <c:dLbls>
          <c:dLblPos val="outEnd"/>
          <c:showLegendKey val="0"/>
          <c:showVal val="1"/>
          <c:showCatName val="0"/>
          <c:showSerName val="0"/>
          <c:showPercent val="0"/>
          <c:showBubbleSize val="0"/>
        </c:dLbls>
        <c:gapWidth val="219"/>
        <c:overlap val="-27"/>
        <c:axId val="1891859008"/>
        <c:axId val="1891853728"/>
        <c:extLst>
          <c:ext xmlns:c15="http://schemas.microsoft.com/office/drawing/2012/chart" uri="{02D57815-91ED-43cb-92C2-25804820EDAC}">
            <c15:filteredBarSeries>
              <c15:ser>
                <c:idx val="0"/>
                <c:order val="0"/>
                <c:tx>
                  <c:strRef>
                    <c:extLst>
                      <c:ext uri="{02D57815-91ED-43cb-92C2-25804820EDAC}">
                        <c15:formulaRef>
                          <c15:sqref>'Pivot &amp; derived tables'!$I$3</c15:sqref>
                        </c15:formulaRef>
                      </c:ext>
                    </c:extLst>
                    <c:strCache>
                      <c:ptCount val="1"/>
                      <c:pt idx="0">
                        <c:v>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uri="{02D57815-91ED-43cb-92C2-25804820EDAC}">
                        <c15:formulaRef>
                          <c15:sqref>'Pivot &amp; derived tables'!$I$4:$I$18</c15:sqref>
                        </c15:formulaRef>
                      </c:ext>
                    </c:extLst>
                    <c:numCache>
                      <c:formatCode>General</c:formatCode>
                      <c:ptCount val="15"/>
                      <c:pt idx="0">
                        <c:v>10181</c:v>
                      </c:pt>
                      <c:pt idx="1">
                        <c:v>32023</c:v>
                      </c:pt>
                      <c:pt idx="2">
                        <c:v>9647</c:v>
                      </c:pt>
                      <c:pt idx="3">
                        <c:v>17583</c:v>
                      </c:pt>
                      <c:pt idx="4">
                        <c:v>18789</c:v>
                      </c:pt>
                      <c:pt idx="5">
                        <c:v>16059</c:v>
                      </c:pt>
                      <c:pt idx="6">
                        <c:v>12242</c:v>
                      </c:pt>
                      <c:pt idx="7">
                        <c:v>20411</c:v>
                      </c:pt>
                      <c:pt idx="8">
                        <c:v>21985</c:v>
                      </c:pt>
                      <c:pt idx="9">
                        <c:v>11107</c:v>
                      </c:pt>
                      <c:pt idx="10">
                        <c:v>11720</c:v>
                      </c:pt>
                      <c:pt idx="11">
                        <c:v>25236</c:v>
                      </c:pt>
                      <c:pt idx="12">
                        <c:v>9721</c:v>
                      </c:pt>
                      <c:pt idx="13">
                        <c:v>20499</c:v>
                      </c:pt>
                      <c:pt idx="14">
                        <c:v>19636</c:v>
                      </c:pt>
                    </c:numCache>
                  </c:numRef>
                </c:val>
                <c:extLst>
                  <c:ext xmlns:c16="http://schemas.microsoft.com/office/drawing/2014/chart" uri="{C3380CC4-5D6E-409C-BE32-E72D297353CC}">
                    <c16:uniqueId val="{00000002-AB03-4A6A-933A-4DC13F9423FC}"/>
                  </c:ext>
                </c:extLst>
              </c15:ser>
            </c15:filteredBarSeries>
            <c15:filteredBarSeries>
              <c15:ser>
                <c:idx val="2"/>
                <c:order val="2"/>
                <c:tx>
                  <c:strRef>
                    <c:extLst>
                      <c:ext xmlns:c15="http://schemas.microsoft.com/office/drawing/2012/chart" uri="{02D57815-91ED-43cb-92C2-25804820EDAC}">
                        <c15:formulaRef>
                          <c15:sqref>'Pivot &amp; derived tables'!$K$3</c15:sqref>
                        </c15:formulaRef>
                      </c:ext>
                    </c:extLst>
                    <c:strCache>
                      <c:ptCount val="1"/>
                      <c:pt idx="0">
                        <c:v>Net Income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tables'!$K$4:$K$18</c15:sqref>
                        </c15:formulaRef>
                      </c:ext>
                    </c:extLst>
                    <c:numCache>
                      <c:formatCode>General</c:formatCode>
                      <c:ptCount val="15"/>
                      <c:pt idx="0">
                        <c:v>59845</c:v>
                      </c:pt>
                      <c:pt idx="1">
                        <c:v>11442</c:v>
                      </c:pt>
                      <c:pt idx="2">
                        <c:v>15819</c:v>
                      </c:pt>
                      <c:pt idx="3">
                        <c:v>7612</c:v>
                      </c:pt>
                      <c:pt idx="4">
                        <c:v>6406</c:v>
                      </c:pt>
                      <c:pt idx="5">
                        <c:v>16172</c:v>
                      </c:pt>
                      <c:pt idx="6">
                        <c:v>39988</c:v>
                      </c:pt>
                      <c:pt idx="7">
                        <c:v>4820</c:v>
                      </c:pt>
                      <c:pt idx="8">
                        <c:v>8293</c:v>
                      </c:pt>
                      <c:pt idx="9">
                        <c:v>31525</c:v>
                      </c:pt>
                      <c:pt idx="10">
                        <c:v>26900</c:v>
                      </c:pt>
                      <c:pt idx="11">
                        <c:v>2266</c:v>
                      </c:pt>
                      <c:pt idx="12">
                        <c:v>50271</c:v>
                      </c:pt>
                      <c:pt idx="13">
                        <c:v>30982</c:v>
                      </c:pt>
                      <c:pt idx="14">
                        <c:v>6767</c:v>
                      </c:pt>
                    </c:numCache>
                  </c:numRef>
                </c:val>
                <c:extLst xmlns:c15="http://schemas.microsoft.com/office/drawing/2012/chart">
                  <c:ext xmlns:c16="http://schemas.microsoft.com/office/drawing/2014/chart" uri="{C3380CC4-5D6E-409C-BE32-E72D297353CC}">
                    <c16:uniqueId val="{00000004-AB03-4A6A-933A-4DC13F9423FC}"/>
                  </c:ext>
                </c:extLst>
              </c15:ser>
            </c15:filteredBarSeries>
            <c15:filteredBarSeries>
              <c15:ser>
                <c:idx val="3"/>
                <c:order val="3"/>
                <c:tx>
                  <c:strRef>
                    <c:extLst>
                      <c:ext xmlns:c15="http://schemas.microsoft.com/office/drawing/2012/chart" uri="{02D57815-91ED-43cb-92C2-25804820EDAC}">
                        <c15:formulaRef>
                          <c15:sqref>'Pivot &amp; derived tables'!$L$3</c15:sqref>
                        </c15:formulaRef>
                      </c:ext>
                    </c:extLst>
                    <c:strCache>
                      <c:ptCount val="1"/>
                      <c:pt idx="0">
                        <c:v>Income Growth Rate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tables'!$L$4:$L$18</c15:sqref>
                        </c15:formulaRef>
                      </c:ext>
                    </c:extLst>
                    <c:numCache>
                      <c:formatCode>General</c:formatCode>
                      <c:ptCount val="15"/>
                      <c:pt idx="0">
                        <c:v>0</c:v>
                      </c:pt>
                      <c:pt idx="1">
                        <c:v>-37.93</c:v>
                      </c:pt>
                      <c:pt idx="2">
                        <c:v>-41.41</c:v>
                      </c:pt>
                      <c:pt idx="3">
                        <c:v>-1.06</c:v>
                      </c:pt>
                      <c:pt idx="4">
                        <c:v>0</c:v>
                      </c:pt>
                      <c:pt idx="5">
                        <c:v>27.93</c:v>
                      </c:pt>
                      <c:pt idx="6">
                        <c:v>62.05</c:v>
                      </c:pt>
                      <c:pt idx="7">
                        <c:v>-51.69</c:v>
                      </c:pt>
                      <c:pt idx="8">
                        <c:v>20</c:v>
                      </c:pt>
                      <c:pt idx="9">
                        <c:v>40.799999999999997</c:v>
                      </c:pt>
                      <c:pt idx="10">
                        <c:v>-9.41</c:v>
                      </c:pt>
                      <c:pt idx="11">
                        <c:v>-28.79</c:v>
                      </c:pt>
                      <c:pt idx="12">
                        <c:v>118.14</c:v>
                      </c:pt>
                      <c:pt idx="13">
                        <c:v>-14.19</c:v>
                      </c:pt>
                      <c:pt idx="14">
                        <c:v>-48.71</c:v>
                      </c:pt>
                    </c:numCache>
                  </c:numRef>
                </c:val>
                <c:extLst xmlns:c15="http://schemas.microsoft.com/office/drawing/2012/chart">
                  <c:ext xmlns:c16="http://schemas.microsoft.com/office/drawing/2014/chart" uri="{C3380CC4-5D6E-409C-BE32-E72D297353CC}">
                    <c16:uniqueId val="{00000005-AB03-4A6A-933A-4DC13F9423FC}"/>
                  </c:ext>
                </c:extLst>
              </c15:ser>
            </c15:filteredBarSeries>
          </c:ext>
        </c:extLst>
      </c:barChart>
      <c:dateAx>
        <c:axId val="1891859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 (month-year)</a:t>
                </a:r>
              </a:p>
            </c:rich>
          </c:tx>
          <c:layout>
            <c:manualLayout>
              <c:xMode val="edge"/>
              <c:yMode val="edge"/>
              <c:x val="0.44031824146981624"/>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53728"/>
        <c:crosses val="autoZero"/>
        <c:auto val="1"/>
        <c:lblOffset val="100"/>
        <c:baseTimeUnit val="months"/>
      </c:dateAx>
      <c:valAx>
        <c:axId val="189185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59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[personal_finance_analysis.xlsx]Analysis &amp; Diagnostics!PivotTable8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November</a:t>
            </a:r>
            <a:r>
              <a:rPr lang="en-US" b="1" baseline="0"/>
              <a:t> 2023 Income</a:t>
            </a:r>
            <a:endParaRPr lang="en-US" b="1"/>
          </a:p>
        </c:rich>
      </c:tx>
      <c:layout>
        <c:manualLayout>
          <c:xMode val="edge"/>
          <c:yMode val="edge"/>
          <c:x val="0.37534493373513494"/>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Diagnostics'!$K$528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 &amp; Diagnostics'!$J$529:$J$534</c:f>
              <c:multiLvlStrCache>
                <c:ptCount val="4"/>
                <c:lvl>
                  <c:pt idx="0">
                    <c:v>salary</c:v>
                  </c:pt>
                  <c:pt idx="1">
                    <c:v>salary (other half)</c:v>
                  </c:pt>
                  <c:pt idx="2">
                    <c:v>Tahong harvest</c:v>
                  </c:pt>
                  <c:pt idx="3">
                    <c:v>Unlabeled Income (bonus?)</c:v>
                  </c:pt>
                </c:lvl>
                <c:lvl>
                  <c:pt idx="0">
                    <c:v>Nov</c:v>
                  </c:pt>
                </c:lvl>
              </c:multiLvlStrCache>
            </c:multiLvlStrRef>
          </c:cat>
          <c:val>
            <c:numRef>
              <c:f>'Analysis &amp; Diagnostics'!$K$529:$K$534</c:f>
              <c:numCache>
                <c:formatCode>General</c:formatCode>
                <c:ptCount val="4"/>
                <c:pt idx="0">
                  <c:v>12734</c:v>
                </c:pt>
                <c:pt idx="1">
                  <c:v>12766</c:v>
                </c:pt>
                <c:pt idx="2">
                  <c:v>12560</c:v>
                </c:pt>
                <c:pt idx="3">
                  <c:v>31966</c:v>
                </c:pt>
              </c:numCache>
            </c:numRef>
          </c:val>
          <c:extLst>
            <c:ext xmlns:c16="http://schemas.microsoft.com/office/drawing/2014/chart" uri="{C3380CC4-5D6E-409C-BE32-E72D297353CC}">
              <c16:uniqueId val="{00000000-D6F4-4151-A3D2-113DD57DE990}"/>
            </c:ext>
          </c:extLst>
        </c:ser>
        <c:dLbls>
          <c:dLblPos val="outEnd"/>
          <c:showLegendKey val="0"/>
          <c:showVal val="1"/>
          <c:showCatName val="0"/>
          <c:showSerName val="0"/>
          <c:showPercent val="0"/>
          <c:showBubbleSize val="0"/>
        </c:dLbls>
        <c:gapWidth val="219"/>
        <c:overlap val="-27"/>
        <c:axId val="2033087296"/>
        <c:axId val="2033109856"/>
      </c:barChart>
      <c:catAx>
        <c:axId val="203308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 Source</a:t>
                </a:r>
              </a:p>
            </c:rich>
          </c:tx>
          <c:layout>
            <c:manualLayout>
              <c:xMode val="edge"/>
              <c:yMode val="edge"/>
              <c:x val="0.47718009785813803"/>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09856"/>
        <c:crosses val="autoZero"/>
        <c:auto val="1"/>
        <c:lblAlgn val="ctr"/>
        <c:lblOffset val="100"/>
        <c:noMultiLvlLbl val="0"/>
      </c:catAx>
      <c:valAx>
        <c:axId val="2033109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2.2325102880658435E-2"/>
              <c:y val="0.323595800524934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8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Income</a:t>
            </a:r>
          </a:p>
        </c:rich>
      </c:tx>
      <c:layout>
        <c:manualLayout>
          <c:xMode val="edge"/>
          <c:yMode val="edge"/>
          <c:x val="0.4499575492065340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'Pivot &amp; derived tables'!$J$3</c:f>
              <c:strCache>
                <c:ptCount val="1"/>
                <c:pt idx="0">
                  <c:v>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tables'!$J$4:$J$18</c:f>
              <c:numCache>
                <c:formatCode>General</c:formatCode>
                <c:ptCount val="15"/>
                <c:pt idx="0">
                  <c:v>70026</c:v>
                </c:pt>
                <c:pt idx="1">
                  <c:v>43465</c:v>
                </c:pt>
                <c:pt idx="2">
                  <c:v>25466</c:v>
                </c:pt>
                <c:pt idx="3">
                  <c:v>25195</c:v>
                </c:pt>
                <c:pt idx="4">
                  <c:v>25195</c:v>
                </c:pt>
                <c:pt idx="5">
                  <c:v>32231</c:v>
                </c:pt>
                <c:pt idx="6">
                  <c:v>52230</c:v>
                </c:pt>
                <c:pt idx="7">
                  <c:v>25231</c:v>
                </c:pt>
                <c:pt idx="8">
                  <c:v>30278</c:v>
                </c:pt>
                <c:pt idx="9">
                  <c:v>42632</c:v>
                </c:pt>
                <c:pt idx="10">
                  <c:v>38620</c:v>
                </c:pt>
                <c:pt idx="11">
                  <c:v>27502</c:v>
                </c:pt>
                <c:pt idx="12">
                  <c:v>59992</c:v>
                </c:pt>
                <c:pt idx="13">
                  <c:v>51481</c:v>
                </c:pt>
                <c:pt idx="14">
                  <c:v>26403</c:v>
                </c:pt>
              </c:numCache>
            </c:numRef>
          </c:val>
          <c:extLst>
            <c:ext xmlns:c16="http://schemas.microsoft.com/office/drawing/2014/chart" uri="{C3380CC4-5D6E-409C-BE32-E72D297353CC}">
              <c16:uniqueId val="{00000002-D360-42A3-9468-65AB8E0B40C8}"/>
            </c:ext>
          </c:extLst>
        </c:ser>
        <c:dLbls>
          <c:dLblPos val="outEnd"/>
          <c:showLegendKey val="0"/>
          <c:showVal val="1"/>
          <c:showCatName val="0"/>
          <c:showSerName val="0"/>
          <c:showPercent val="0"/>
          <c:showBubbleSize val="0"/>
        </c:dLbls>
        <c:gapWidth val="219"/>
        <c:overlap val="-27"/>
        <c:axId val="468134112"/>
        <c:axId val="468125952"/>
        <c:extLst>
          <c:ext xmlns:c15="http://schemas.microsoft.com/office/drawing/2012/chart" uri="{02D57815-91ED-43cb-92C2-25804820EDAC}">
            <c15:filteredBarSeries>
              <c15:ser>
                <c:idx val="0"/>
                <c:order val="0"/>
                <c:tx>
                  <c:strRef>
                    <c:extLst>
                      <c:ext uri="{02D57815-91ED-43cb-92C2-25804820EDAC}">
                        <c15:formulaRef>
                          <c15:sqref>'Pivot &amp; derived tables'!$I$3</c15:sqref>
                        </c15:formulaRef>
                      </c:ext>
                    </c:extLst>
                    <c:strCache>
                      <c:ptCount val="1"/>
                      <c:pt idx="0">
                        <c:v>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uri="{02D57815-91ED-43cb-92C2-25804820EDAC}">
                        <c15:formulaRef>
                          <c15:sqref>'Pivot &amp; derived tables'!$I$4:$I$18</c15:sqref>
                        </c15:formulaRef>
                      </c:ext>
                    </c:extLst>
                    <c:numCache>
                      <c:formatCode>General</c:formatCode>
                      <c:ptCount val="15"/>
                      <c:pt idx="0">
                        <c:v>10181</c:v>
                      </c:pt>
                      <c:pt idx="1">
                        <c:v>32023</c:v>
                      </c:pt>
                      <c:pt idx="2">
                        <c:v>9647</c:v>
                      </c:pt>
                      <c:pt idx="3">
                        <c:v>17583</c:v>
                      </c:pt>
                      <c:pt idx="4">
                        <c:v>18789</c:v>
                      </c:pt>
                      <c:pt idx="5">
                        <c:v>16059</c:v>
                      </c:pt>
                      <c:pt idx="6">
                        <c:v>12242</c:v>
                      </c:pt>
                      <c:pt idx="7">
                        <c:v>20411</c:v>
                      </c:pt>
                      <c:pt idx="8">
                        <c:v>21985</c:v>
                      </c:pt>
                      <c:pt idx="9">
                        <c:v>11107</c:v>
                      </c:pt>
                      <c:pt idx="10">
                        <c:v>11720</c:v>
                      </c:pt>
                      <c:pt idx="11">
                        <c:v>25236</c:v>
                      </c:pt>
                      <c:pt idx="12">
                        <c:v>9721</c:v>
                      </c:pt>
                      <c:pt idx="13">
                        <c:v>20499</c:v>
                      </c:pt>
                      <c:pt idx="14">
                        <c:v>19636</c:v>
                      </c:pt>
                    </c:numCache>
                  </c:numRef>
                </c:val>
                <c:extLst>
                  <c:ext xmlns:c16="http://schemas.microsoft.com/office/drawing/2014/chart" uri="{C3380CC4-5D6E-409C-BE32-E72D297353CC}">
                    <c16:uniqueId val="{00000001-D360-42A3-9468-65AB8E0B40C8}"/>
                  </c:ext>
                </c:extLst>
              </c15:ser>
            </c15:filteredBarSeries>
            <c15:filteredBarSeries>
              <c15:ser>
                <c:idx val="2"/>
                <c:order val="2"/>
                <c:tx>
                  <c:strRef>
                    <c:extLst>
                      <c:ext xmlns:c15="http://schemas.microsoft.com/office/drawing/2012/chart" uri="{02D57815-91ED-43cb-92C2-25804820EDAC}">
                        <c15:formulaRef>
                          <c15:sqref>'Pivot &amp; derived tables'!$K$3</c15:sqref>
                        </c15:formulaRef>
                      </c:ext>
                    </c:extLst>
                    <c:strCache>
                      <c:ptCount val="1"/>
                      <c:pt idx="0">
                        <c:v>Net Income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tables'!$K$4:$K$18</c15:sqref>
                        </c15:formulaRef>
                      </c:ext>
                    </c:extLst>
                    <c:numCache>
                      <c:formatCode>General</c:formatCode>
                      <c:ptCount val="15"/>
                      <c:pt idx="0">
                        <c:v>59845</c:v>
                      </c:pt>
                      <c:pt idx="1">
                        <c:v>11442</c:v>
                      </c:pt>
                      <c:pt idx="2">
                        <c:v>15819</c:v>
                      </c:pt>
                      <c:pt idx="3">
                        <c:v>7612</c:v>
                      </c:pt>
                      <c:pt idx="4">
                        <c:v>6406</c:v>
                      </c:pt>
                      <c:pt idx="5">
                        <c:v>16172</c:v>
                      </c:pt>
                      <c:pt idx="6">
                        <c:v>39988</c:v>
                      </c:pt>
                      <c:pt idx="7">
                        <c:v>4820</c:v>
                      </c:pt>
                      <c:pt idx="8">
                        <c:v>8293</c:v>
                      </c:pt>
                      <c:pt idx="9">
                        <c:v>31525</c:v>
                      </c:pt>
                      <c:pt idx="10">
                        <c:v>26900</c:v>
                      </c:pt>
                      <c:pt idx="11">
                        <c:v>2266</c:v>
                      </c:pt>
                      <c:pt idx="12">
                        <c:v>50271</c:v>
                      </c:pt>
                      <c:pt idx="13">
                        <c:v>30982</c:v>
                      </c:pt>
                      <c:pt idx="14">
                        <c:v>6767</c:v>
                      </c:pt>
                    </c:numCache>
                  </c:numRef>
                </c:val>
                <c:extLst xmlns:c15="http://schemas.microsoft.com/office/drawing/2012/chart">
                  <c:ext xmlns:c16="http://schemas.microsoft.com/office/drawing/2014/chart" uri="{C3380CC4-5D6E-409C-BE32-E72D297353CC}">
                    <c16:uniqueId val="{00000003-D360-42A3-9468-65AB8E0B40C8}"/>
                  </c:ext>
                </c:extLst>
              </c15:ser>
            </c15:filteredBarSeries>
            <c15:filteredBarSeries>
              <c15:ser>
                <c:idx val="3"/>
                <c:order val="3"/>
                <c:tx>
                  <c:strRef>
                    <c:extLst>
                      <c:ext xmlns:c15="http://schemas.microsoft.com/office/drawing/2012/chart" uri="{02D57815-91ED-43cb-92C2-25804820EDAC}">
                        <c15:formulaRef>
                          <c15:sqref>'Pivot &amp; derived tables'!$L$3</c15:sqref>
                        </c15:formulaRef>
                      </c:ext>
                    </c:extLst>
                    <c:strCache>
                      <c:ptCount val="1"/>
                      <c:pt idx="0">
                        <c:v>Income Growth Rate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tables'!$L$4:$L$18</c15:sqref>
                        </c15:formulaRef>
                      </c:ext>
                    </c:extLst>
                    <c:numCache>
                      <c:formatCode>General</c:formatCode>
                      <c:ptCount val="15"/>
                      <c:pt idx="0">
                        <c:v>0</c:v>
                      </c:pt>
                      <c:pt idx="1">
                        <c:v>-37.93</c:v>
                      </c:pt>
                      <c:pt idx="2">
                        <c:v>-41.41</c:v>
                      </c:pt>
                      <c:pt idx="3">
                        <c:v>-1.06</c:v>
                      </c:pt>
                      <c:pt idx="4">
                        <c:v>0</c:v>
                      </c:pt>
                      <c:pt idx="5">
                        <c:v>27.93</c:v>
                      </c:pt>
                      <c:pt idx="6">
                        <c:v>62.05</c:v>
                      </c:pt>
                      <c:pt idx="7">
                        <c:v>-51.69</c:v>
                      </c:pt>
                      <c:pt idx="8">
                        <c:v>20</c:v>
                      </c:pt>
                      <c:pt idx="9">
                        <c:v>40.799999999999997</c:v>
                      </c:pt>
                      <c:pt idx="10">
                        <c:v>-9.41</c:v>
                      </c:pt>
                      <c:pt idx="11">
                        <c:v>-28.79</c:v>
                      </c:pt>
                      <c:pt idx="12">
                        <c:v>118.14</c:v>
                      </c:pt>
                      <c:pt idx="13">
                        <c:v>-14.19</c:v>
                      </c:pt>
                      <c:pt idx="14">
                        <c:v>-48.71</c:v>
                      </c:pt>
                    </c:numCache>
                  </c:numRef>
                </c:val>
                <c:extLst xmlns:c15="http://schemas.microsoft.com/office/drawing/2012/chart">
                  <c:ext xmlns:c16="http://schemas.microsoft.com/office/drawing/2014/chart" uri="{C3380CC4-5D6E-409C-BE32-E72D297353CC}">
                    <c16:uniqueId val="{00000004-D360-42A3-9468-65AB8E0B40C8}"/>
                  </c:ext>
                </c:extLst>
              </c15:ser>
            </c15:filteredBarSeries>
          </c:ext>
        </c:extLst>
      </c:barChart>
      <c:dateAx>
        <c:axId val="46813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a:t>
                </a:r>
                <a:r>
                  <a:rPr lang="en-PH" baseline="0"/>
                  <a:t> (month-year)</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125952"/>
        <c:crosses val="autoZero"/>
        <c:auto val="1"/>
        <c:lblOffset val="100"/>
        <c:baseTimeUnit val="months"/>
      </c:dateAx>
      <c:valAx>
        <c:axId val="46812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3863216266173753E-2"/>
              <c:y val="0.341196048410615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134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[personal_finance_analysis.xlsx]Analysis &amp; Diagnostics!PivotTable1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Every Income Transaction</a:t>
            </a:r>
            <a:r>
              <a:rPr lang="en-US" b="1" baseline="0"/>
              <a:t> (excluding "Salary")</a:t>
            </a:r>
            <a:endParaRPr lang="en-US" b="1"/>
          </a:p>
        </c:rich>
      </c:tx>
      <c:layout>
        <c:manualLayout>
          <c:xMode val="edge"/>
          <c:yMode val="edge"/>
          <c:x val="0.22703030303030303"/>
          <c:y val="5.65681427120535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Diagnostics'!$K$614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 &amp; Diagnostics'!$J$615:$J$636</c:f>
              <c:multiLvlStrCache>
                <c:ptCount val="12"/>
                <c:lvl>
                  <c:pt idx="0">
                    <c:v>Income (with bonus?)</c:v>
                  </c:pt>
                  <c:pt idx="1">
                    <c:v>Tahong harvest</c:v>
                  </c:pt>
                  <c:pt idx="2">
                    <c:v>SRI</c:v>
                  </c:pt>
                  <c:pt idx="3">
                    <c:v>clothing allowance</c:v>
                  </c:pt>
                  <c:pt idx="4">
                    <c:v>Bonus salary</c:v>
                  </c:pt>
                  <c:pt idx="5">
                    <c:v>cash allowance</c:v>
                  </c:pt>
                  <c:pt idx="6">
                    <c:v>chalk allowance</c:v>
                  </c:pt>
                  <c:pt idx="7">
                    <c:v>PBB</c:v>
                  </c:pt>
                  <c:pt idx="8">
                    <c:v>???</c:v>
                  </c:pt>
                  <c:pt idx="9">
                    <c:v>cash gift</c:v>
                  </c:pt>
                  <c:pt idx="10">
                    <c:v>year-end bonus</c:v>
                  </c:pt>
                  <c:pt idx="11">
                    <c:v>13th month pay</c:v>
                  </c:pt>
                </c:lvl>
                <c:lvl>
                  <c:pt idx="0">
                    <c:v>Nov-23</c:v>
                  </c:pt>
                  <c:pt idx="2">
                    <c:v>Dec-23</c:v>
                  </c:pt>
                  <c:pt idx="3">
                    <c:v>Apr-24</c:v>
                  </c:pt>
                  <c:pt idx="4">
                    <c:v>May-24</c:v>
                  </c:pt>
                  <c:pt idx="5">
                    <c:v>Jul-24</c:v>
                  </c:pt>
                  <c:pt idx="6">
                    <c:v>Aug-24</c:v>
                  </c:pt>
                  <c:pt idx="8">
                    <c:v>Oct-24</c:v>
                  </c:pt>
                  <c:pt idx="9">
                    <c:v>Nov-24</c:v>
                  </c:pt>
                  <c:pt idx="11">
                    <c:v>Dec-24</c:v>
                  </c:pt>
                </c:lvl>
              </c:multiLvlStrCache>
            </c:multiLvlStrRef>
          </c:cat>
          <c:val>
            <c:numRef>
              <c:f>'Analysis &amp; Diagnostics'!$K$615:$K$636</c:f>
              <c:numCache>
                <c:formatCode>General</c:formatCode>
                <c:ptCount val="12"/>
                <c:pt idx="0">
                  <c:v>44732</c:v>
                </c:pt>
                <c:pt idx="1">
                  <c:v>12560</c:v>
                </c:pt>
                <c:pt idx="2">
                  <c:v>18000</c:v>
                </c:pt>
                <c:pt idx="3">
                  <c:v>6000</c:v>
                </c:pt>
                <c:pt idx="4">
                  <c:v>27000</c:v>
                </c:pt>
                <c:pt idx="5">
                  <c:v>5000</c:v>
                </c:pt>
                <c:pt idx="6">
                  <c:v>5000</c:v>
                </c:pt>
                <c:pt idx="7">
                  <c:v>12400</c:v>
                </c:pt>
                <c:pt idx="8">
                  <c:v>1021</c:v>
                </c:pt>
                <c:pt idx="9">
                  <c:v>5000</c:v>
                </c:pt>
                <c:pt idx="10">
                  <c:v>27000</c:v>
                </c:pt>
                <c:pt idx="11">
                  <c:v>25000</c:v>
                </c:pt>
              </c:numCache>
            </c:numRef>
          </c:val>
          <c:extLst>
            <c:ext xmlns:c16="http://schemas.microsoft.com/office/drawing/2014/chart" uri="{C3380CC4-5D6E-409C-BE32-E72D297353CC}">
              <c16:uniqueId val="{00000000-7F61-4D98-8950-AC70AB269466}"/>
            </c:ext>
          </c:extLst>
        </c:ser>
        <c:dLbls>
          <c:dLblPos val="outEnd"/>
          <c:showLegendKey val="0"/>
          <c:showVal val="1"/>
          <c:showCatName val="0"/>
          <c:showSerName val="0"/>
          <c:showPercent val="0"/>
          <c:showBubbleSize val="0"/>
        </c:dLbls>
        <c:gapWidth val="219"/>
        <c:overlap val="-27"/>
        <c:axId val="1522831520"/>
        <c:axId val="1522827200"/>
      </c:barChart>
      <c:catAx>
        <c:axId val="1522831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 Transaction</a:t>
                </a:r>
              </a:p>
            </c:rich>
          </c:tx>
          <c:layout>
            <c:manualLayout>
              <c:xMode val="edge"/>
              <c:yMode val="edge"/>
              <c:x val="0.46559341445955621"/>
              <c:y val="0.885429203814673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27200"/>
        <c:crosses val="autoZero"/>
        <c:auto val="1"/>
        <c:lblAlgn val="ctr"/>
        <c:lblOffset val="100"/>
        <c:noMultiLvlLbl val="0"/>
      </c:catAx>
      <c:valAx>
        <c:axId val="1522827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2.2222222222222223E-2"/>
              <c:y val="0.241842480949728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3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Expenses of </a:t>
            </a:r>
            <a:r>
              <a:rPr lang="en-US" b="1" i="1" baseline="0"/>
              <a:t>"Supa"</a:t>
            </a:r>
            <a:endParaRPr lang="en-US" b="1" i="1"/>
          </a:p>
        </c:rich>
      </c:tx>
      <c:layout>
        <c:manualLayout>
          <c:xMode val="edge"/>
          <c:yMode val="edge"/>
          <c:x val="0.32527676828857932"/>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&amp; Diagnostics'!$G$401</c:f>
              <c:strCache>
                <c:ptCount val="1"/>
                <c:pt idx="0">
                  <c:v>Monthly 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&amp; Diagnostics'!$F$402:$F$413</c:f>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f>'Analysis &amp; Diagnostics'!$G$402:$G$413</c:f>
              <c:numCache>
                <c:formatCode>General</c:formatCode>
                <c:ptCount val="12"/>
                <c:pt idx="0">
                  <c:v>400</c:v>
                </c:pt>
                <c:pt idx="1">
                  <c:v>250</c:v>
                </c:pt>
                <c:pt idx="2">
                  <c:v>1275</c:v>
                </c:pt>
                <c:pt idx="3">
                  <c:v>354</c:v>
                </c:pt>
                <c:pt idx="4">
                  <c:v>300</c:v>
                </c:pt>
                <c:pt idx="5">
                  <c:v>300</c:v>
                </c:pt>
                <c:pt idx="6">
                  <c:v>525</c:v>
                </c:pt>
                <c:pt idx="7">
                  <c:v>1125</c:v>
                </c:pt>
                <c:pt idx="8">
                  <c:v>475</c:v>
                </c:pt>
                <c:pt idx="9">
                  <c:v>125</c:v>
                </c:pt>
                <c:pt idx="10">
                  <c:v>325</c:v>
                </c:pt>
                <c:pt idx="11">
                  <c:v>700</c:v>
                </c:pt>
              </c:numCache>
            </c:numRef>
          </c:val>
          <c:extLst>
            <c:ext xmlns:c16="http://schemas.microsoft.com/office/drawing/2014/chart" uri="{C3380CC4-5D6E-409C-BE32-E72D297353CC}">
              <c16:uniqueId val="{00000000-ACC9-4D9B-8BB1-414484D2F524}"/>
            </c:ext>
          </c:extLst>
        </c:ser>
        <c:dLbls>
          <c:dLblPos val="outEnd"/>
          <c:showLegendKey val="0"/>
          <c:showVal val="1"/>
          <c:showCatName val="0"/>
          <c:showSerName val="0"/>
          <c:showPercent val="0"/>
          <c:showBubbleSize val="0"/>
        </c:dLbls>
        <c:gapWidth val="219"/>
        <c:overlap val="-27"/>
        <c:axId val="958914160"/>
        <c:axId val="958905520"/>
        <c:extLst>
          <c:ext xmlns:c15="http://schemas.microsoft.com/office/drawing/2012/chart" uri="{02D57815-91ED-43cb-92C2-25804820EDAC}">
            <c15:filteredBarSeries>
              <c15:ser>
                <c:idx val="1"/>
                <c:order val="1"/>
                <c:tx>
                  <c:strRef>
                    <c:extLst>
                      <c:ext uri="{02D57815-91ED-43cb-92C2-25804820EDAC}">
                        <c15:formulaRef>
                          <c15:sqref>'Analysis &amp; Diagnostics'!$H$401</c15:sqref>
                        </c15:formulaRef>
                      </c:ext>
                    </c:extLst>
                    <c:strCache>
                      <c:ptCount val="1"/>
                      <c:pt idx="0">
                        <c:v>Purchase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 &amp; Diagnostics'!$F$402:$F$413</c15:sqref>
                        </c15:formulaRef>
                      </c:ext>
                    </c:extLst>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extLst>
                      <c:ext uri="{02D57815-91ED-43cb-92C2-25804820EDAC}">
                        <c15:formulaRef>
                          <c15:sqref>'Analysis &amp; Diagnostics'!$H$402:$H$413</c15:sqref>
                        </c15:formulaRef>
                      </c:ext>
                    </c:extLst>
                    <c:numCache>
                      <c:formatCode>General</c:formatCode>
                      <c:ptCount val="12"/>
                      <c:pt idx="0">
                        <c:v>4</c:v>
                      </c:pt>
                      <c:pt idx="1">
                        <c:v>2</c:v>
                      </c:pt>
                      <c:pt idx="2">
                        <c:v>13</c:v>
                      </c:pt>
                      <c:pt idx="3">
                        <c:v>4</c:v>
                      </c:pt>
                      <c:pt idx="4">
                        <c:v>3</c:v>
                      </c:pt>
                      <c:pt idx="5">
                        <c:v>3</c:v>
                      </c:pt>
                      <c:pt idx="6">
                        <c:v>6</c:v>
                      </c:pt>
                      <c:pt idx="7">
                        <c:v>14</c:v>
                      </c:pt>
                      <c:pt idx="8">
                        <c:v>5</c:v>
                      </c:pt>
                      <c:pt idx="9">
                        <c:v>1</c:v>
                      </c:pt>
                      <c:pt idx="10">
                        <c:v>4</c:v>
                      </c:pt>
                      <c:pt idx="11">
                        <c:v>7</c:v>
                      </c:pt>
                    </c:numCache>
                  </c:numRef>
                </c:val>
                <c:extLst>
                  <c:ext xmlns:c16="http://schemas.microsoft.com/office/drawing/2014/chart" uri="{C3380CC4-5D6E-409C-BE32-E72D297353CC}">
                    <c16:uniqueId val="{00000001-ACC9-4D9B-8BB1-414484D2F524}"/>
                  </c:ext>
                </c:extLst>
              </c15:ser>
            </c15:filteredBarSeries>
            <c15:filteredBarSeries>
              <c15:ser>
                <c:idx val="2"/>
                <c:order val="2"/>
                <c:tx>
                  <c:strRef>
                    <c:extLst>
                      <c:ext xmlns:c15="http://schemas.microsoft.com/office/drawing/2012/chart" uri="{02D57815-91ED-43cb-92C2-25804820EDAC}">
                        <c15:formulaRef>
                          <c15:sqref>'Analysis &amp; Diagnostics'!$I$401</c15:sqref>
                        </c15:formulaRef>
                      </c:ext>
                    </c:extLst>
                    <c:strCache>
                      <c:ptCount val="1"/>
                      <c:pt idx="0">
                        <c:v>per Purchase 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'Analysis &amp; Diagnostics'!$F$402:$F$413</c15:sqref>
                        </c15:formulaRef>
                      </c:ext>
                    </c:extLst>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extLst>
                      <c:ext xmlns:c15="http://schemas.microsoft.com/office/drawing/2012/chart" uri="{02D57815-91ED-43cb-92C2-25804820EDAC}">
                        <c15:formulaRef>
                          <c15:sqref>'Analysis &amp; Diagnostics'!$I$402:$I$413</c15:sqref>
                        </c15:formulaRef>
                      </c:ext>
                    </c:extLst>
                    <c:numCache>
                      <c:formatCode>General</c:formatCode>
                      <c:ptCount val="12"/>
                      <c:pt idx="0">
                        <c:v>100</c:v>
                      </c:pt>
                      <c:pt idx="1">
                        <c:v>125</c:v>
                      </c:pt>
                      <c:pt idx="2">
                        <c:v>98.08</c:v>
                      </c:pt>
                      <c:pt idx="3">
                        <c:v>88.5</c:v>
                      </c:pt>
                      <c:pt idx="4">
                        <c:v>100</c:v>
                      </c:pt>
                      <c:pt idx="5">
                        <c:v>100</c:v>
                      </c:pt>
                      <c:pt idx="6">
                        <c:v>87.5</c:v>
                      </c:pt>
                      <c:pt idx="7">
                        <c:v>80.36</c:v>
                      </c:pt>
                      <c:pt idx="8">
                        <c:v>95</c:v>
                      </c:pt>
                      <c:pt idx="9">
                        <c:v>125</c:v>
                      </c:pt>
                      <c:pt idx="10">
                        <c:v>81.25</c:v>
                      </c:pt>
                      <c:pt idx="11">
                        <c:v>100</c:v>
                      </c:pt>
                    </c:numCache>
                  </c:numRef>
                </c:val>
                <c:extLst xmlns:c15="http://schemas.microsoft.com/office/drawing/2012/chart">
                  <c:ext xmlns:c16="http://schemas.microsoft.com/office/drawing/2014/chart" uri="{C3380CC4-5D6E-409C-BE32-E72D297353CC}">
                    <c16:uniqueId val="{00000002-ACC9-4D9B-8BB1-414484D2F524}"/>
                  </c:ext>
                </c:extLst>
              </c15:ser>
            </c15:filteredBarSeries>
          </c:ext>
        </c:extLst>
      </c:barChart>
      <c:dateAx>
        <c:axId val="95891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 (month-year)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05520"/>
        <c:crosses val="autoZero"/>
        <c:auto val="1"/>
        <c:lblOffset val="100"/>
        <c:baseTimeUnit val="months"/>
      </c:dateAx>
      <c:valAx>
        <c:axId val="95890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3546839959932598E-2"/>
              <c:y val="0.348313283756197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1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per Puchase</a:t>
            </a:r>
            <a:r>
              <a:rPr lang="en-US" b="1" baseline="0"/>
              <a:t> Amount of </a:t>
            </a:r>
            <a:r>
              <a:rPr lang="en-US" b="1" i="1" baseline="0"/>
              <a:t>"Supa"</a:t>
            </a:r>
            <a:r>
              <a:rPr lang="en-US" b="1" baseline="0"/>
              <a:t> Each</a:t>
            </a:r>
            <a:r>
              <a:rPr lang="en-US" b="1"/>
              <a:t> Month</a:t>
            </a:r>
            <a:endParaRPr lang="en-US" b="1" baseline="0"/>
          </a:p>
        </c:rich>
      </c:tx>
      <c:layout>
        <c:manualLayout>
          <c:xMode val="edge"/>
          <c:yMode val="edge"/>
          <c:x val="0.20403846153846153"/>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'Analysis &amp; Diagnostics'!$I$401</c:f>
              <c:strCache>
                <c:ptCount val="1"/>
                <c:pt idx="0">
                  <c:v>per Purchase 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&amp; Diagnostics'!$F$402:$F$413</c:f>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f>'Analysis &amp; Diagnostics'!$I$402:$I$413</c:f>
              <c:numCache>
                <c:formatCode>General</c:formatCode>
                <c:ptCount val="12"/>
                <c:pt idx="0">
                  <c:v>100</c:v>
                </c:pt>
                <c:pt idx="1">
                  <c:v>125</c:v>
                </c:pt>
                <c:pt idx="2">
                  <c:v>98.08</c:v>
                </c:pt>
                <c:pt idx="3">
                  <c:v>88.5</c:v>
                </c:pt>
                <c:pt idx="4">
                  <c:v>100</c:v>
                </c:pt>
                <c:pt idx="5">
                  <c:v>100</c:v>
                </c:pt>
                <c:pt idx="6">
                  <c:v>87.5</c:v>
                </c:pt>
                <c:pt idx="7">
                  <c:v>80.36</c:v>
                </c:pt>
                <c:pt idx="8">
                  <c:v>95</c:v>
                </c:pt>
                <c:pt idx="9">
                  <c:v>125</c:v>
                </c:pt>
                <c:pt idx="10">
                  <c:v>81.25</c:v>
                </c:pt>
                <c:pt idx="11">
                  <c:v>100</c:v>
                </c:pt>
              </c:numCache>
            </c:numRef>
          </c:val>
          <c:extLst xmlns:c15="http://schemas.microsoft.com/office/drawing/2012/chart">
            <c:ext xmlns:c16="http://schemas.microsoft.com/office/drawing/2014/chart" uri="{C3380CC4-5D6E-409C-BE32-E72D297353CC}">
              <c16:uniqueId val="{00000002-ACC9-4D9B-8BB1-414484D2F524}"/>
            </c:ext>
          </c:extLst>
        </c:ser>
        <c:dLbls>
          <c:dLblPos val="outEnd"/>
          <c:showLegendKey val="0"/>
          <c:showVal val="1"/>
          <c:showCatName val="0"/>
          <c:showSerName val="0"/>
          <c:showPercent val="0"/>
          <c:showBubbleSize val="0"/>
        </c:dLbls>
        <c:gapWidth val="219"/>
        <c:overlap val="-27"/>
        <c:axId val="958914160"/>
        <c:axId val="958905520"/>
        <c:extLst>
          <c:ext xmlns:c15="http://schemas.microsoft.com/office/drawing/2012/chart" uri="{02D57815-91ED-43cb-92C2-25804820EDAC}">
            <c15:filteredBarSeries>
              <c15:ser>
                <c:idx val="0"/>
                <c:order val="0"/>
                <c:tx>
                  <c:strRef>
                    <c:extLst>
                      <c:ext uri="{02D57815-91ED-43cb-92C2-25804820EDAC}">
                        <c15:formulaRef>
                          <c15:sqref>'Analysis &amp; Diagnostics'!$G$401</c15:sqref>
                        </c15:formulaRef>
                      </c:ext>
                    </c:extLst>
                    <c:strCache>
                      <c:ptCount val="1"/>
                      <c:pt idx="0">
                        <c:v>Monthly 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 &amp; Diagnostics'!$F$402:$F$413</c15:sqref>
                        </c15:formulaRef>
                      </c:ext>
                    </c:extLst>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extLst>
                      <c:ext uri="{02D57815-91ED-43cb-92C2-25804820EDAC}">
                        <c15:formulaRef>
                          <c15:sqref>'Analysis &amp; Diagnostics'!$G$402:$G$413</c15:sqref>
                        </c15:formulaRef>
                      </c:ext>
                    </c:extLst>
                    <c:numCache>
                      <c:formatCode>General</c:formatCode>
                      <c:ptCount val="12"/>
                      <c:pt idx="0">
                        <c:v>400</c:v>
                      </c:pt>
                      <c:pt idx="1">
                        <c:v>250</c:v>
                      </c:pt>
                      <c:pt idx="2">
                        <c:v>1275</c:v>
                      </c:pt>
                      <c:pt idx="3">
                        <c:v>354</c:v>
                      </c:pt>
                      <c:pt idx="4">
                        <c:v>300</c:v>
                      </c:pt>
                      <c:pt idx="5">
                        <c:v>300</c:v>
                      </c:pt>
                      <c:pt idx="6">
                        <c:v>525</c:v>
                      </c:pt>
                      <c:pt idx="7">
                        <c:v>1125</c:v>
                      </c:pt>
                      <c:pt idx="8">
                        <c:v>475</c:v>
                      </c:pt>
                      <c:pt idx="9">
                        <c:v>125</c:v>
                      </c:pt>
                      <c:pt idx="10">
                        <c:v>325</c:v>
                      </c:pt>
                      <c:pt idx="11">
                        <c:v>700</c:v>
                      </c:pt>
                    </c:numCache>
                  </c:numRef>
                </c:val>
                <c:extLst>
                  <c:ext xmlns:c16="http://schemas.microsoft.com/office/drawing/2014/chart" uri="{C3380CC4-5D6E-409C-BE32-E72D297353CC}">
                    <c16:uniqueId val="{00000000-ACC9-4D9B-8BB1-414484D2F524}"/>
                  </c:ext>
                </c:extLst>
              </c15:ser>
            </c15:filteredBarSeries>
            <c15:filteredBarSeries>
              <c15:ser>
                <c:idx val="1"/>
                <c:order val="1"/>
                <c:tx>
                  <c:strRef>
                    <c:extLst>
                      <c:ext xmlns:c15="http://schemas.microsoft.com/office/drawing/2012/chart" uri="{02D57815-91ED-43cb-92C2-25804820EDAC}">
                        <c15:formulaRef>
                          <c15:sqref>'Analysis &amp; Diagnostics'!$H$401</c15:sqref>
                        </c15:formulaRef>
                      </c:ext>
                    </c:extLst>
                    <c:strCache>
                      <c:ptCount val="1"/>
                      <c:pt idx="0">
                        <c:v>Purchase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'Analysis &amp; Diagnostics'!$F$402:$F$413</c15:sqref>
                        </c15:formulaRef>
                      </c:ext>
                    </c:extLst>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extLst>
                      <c:ext xmlns:c15="http://schemas.microsoft.com/office/drawing/2012/chart" uri="{02D57815-91ED-43cb-92C2-25804820EDAC}">
                        <c15:formulaRef>
                          <c15:sqref>'Analysis &amp; Diagnostics'!$H$402:$H$413</c15:sqref>
                        </c15:formulaRef>
                      </c:ext>
                    </c:extLst>
                    <c:numCache>
                      <c:formatCode>General</c:formatCode>
                      <c:ptCount val="12"/>
                      <c:pt idx="0">
                        <c:v>4</c:v>
                      </c:pt>
                      <c:pt idx="1">
                        <c:v>2</c:v>
                      </c:pt>
                      <c:pt idx="2">
                        <c:v>13</c:v>
                      </c:pt>
                      <c:pt idx="3">
                        <c:v>4</c:v>
                      </c:pt>
                      <c:pt idx="4">
                        <c:v>3</c:v>
                      </c:pt>
                      <c:pt idx="5">
                        <c:v>3</c:v>
                      </c:pt>
                      <c:pt idx="6">
                        <c:v>6</c:v>
                      </c:pt>
                      <c:pt idx="7">
                        <c:v>14</c:v>
                      </c:pt>
                      <c:pt idx="8">
                        <c:v>5</c:v>
                      </c:pt>
                      <c:pt idx="9">
                        <c:v>1</c:v>
                      </c:pt>
                      <c:pt idx="10">
                        <c:v>4</c:v>
                      </c:pt>
                      <c:pt idx="11">
                        <c:v>7</c:v>
                      </c:pt>
                    </c:numCache>
                  </c:numRef>
                </c:val>
                <c:extLst xmlns:c15="http://schemas.microsoft.com/office/drawing/2012/chart">
                  <c:ext xmlns:c16="http://schemas.microsoft.com/office/drawing/2014/chart" uri="{C3380CC4-5D6E-409C-BE32-E72D297353CC}">
                    <c16:uniqueId val="{00000001-ACC9-4D9B-8BB1-414484D2F524}"/>
                  </c:ext>
                </c:extLst>
              </c15:ser>
            </c15:filteredBarSeries>
          </c:ext>
        </c:extLst>
      </c:barChart>
      <c:dateAx>
        <c:axId val="95891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 (month-year)</a:t>
                </a:r>
              </a:p>
            </c:rich>
          </c:tx>
          <c:layout>
            <c:manualLayout>
              <c:xMode val="edge"/>
              <c:yMode val="edge"/>
              <c:x val="0.40315616797900261"/>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05520"/>
        <c:crosses val="autoZero"/>
        <c:auto val="1"/>
        <c:lblOffset val="100"/>
        <c:baseTimeUnit val="months"/>
      </c:dateAx>
      <c:valAx>
        <c:axId val="95890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0926763022955557E-2"/>
              <c:y val="0.385350320793234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1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Count of</a:t>
            </a:r>
            <a:r>
              <a:rPr lang="en-US" b="1" baseline="0"/>
              <a:t> </a:t>
            </a:r>
            <a:r>
              <a:rPr lang="en-US" b="1" i="1" baseline="0"/>
              <a:t>"Supa" </a:t>
            </a:r>
            <a:r>
              <a:rPr lang="en-US" b="1" i="0" baseline="0"/>
              <a:t>Purchase</a:t>
            </a:r>
            <a:endParaRPr lang="en-US" b="1" i="1"/>
          </a:p>
        </c:rich>
      </c:tx>
      <c:layout>
        <c:manualLayout>
          <c:xMode val="edge"/>
          <c:yMode val="edge"/>
          <c:x val="0.25232368547251827"/>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'Analysis &amp; Diagnostics'!$H$401</c:f>
              <c:strCache>
                <c:ptCount val="1"/>
                <c:pt idx="0">
                  <c:v>Purchase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&amp; Diagnostics'!$F$402:$F$413</c:f>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f>'Analysis &amp; Diagnostics'!$H$402:$H$413</c:f>
              <c:numCache>
                <c:formatCode>General</c:formatCode>
                <c:ptCount val="12"/>
                <c:pt idx="0">
                  <c:v>4</c:v>
                </c:pt>
                <c:pt idx="1">
                  <c:v>2</c:v>
                </c:pt>
                <c:pt idx="2">
                  <c:v>13</c:v>
                </c:pt>
                <c:pt idx="3">
                  <c:v>4</c:v>
                </c:pt>
                <c:pt idx="4">
                  <c:v>3</c:v>
                </c:pt>
                <c:pt idx="5">
                  <c:v>3</c:v>
                </c:pt>
                <c:pt idx="6">
                  <c:v>6</c:v>
                </c:pt>
                <c:pt idx="7">
                  <c:v>14</c:v>
                </c:pt>
                <c:pt idx="8">
                  <c:v>5</c:v>
                </c:pt>
                <c:pt idx="9">
                  <c:v>1</c:v>
                </c:pt>
                <c:pt idx="10">
                  <c:v>4</c:v>
                </c:pt>
                <c:pt idx="11">
                  <c:v>7</c:v>
                </c:pt>
              </c:numCache>
            </c:numRef>
          </c:val>
          <c:extLst xmlns:c15="http://schemas.microsoft.com/office/drawing/2012/chart">
            <c:ext xmlns:c16="http://schemas.microsoft.com/office/drawing/2014/chart" uri="{C3380CC4-5D6E-409C-BE32-E72D297353CC}">
              <c16:uniqueId val="{00000001-ACC9-4D9B-8BB1-414484D2F524}"/>
            </c:ext>
          </c:extLst>
        </c:ser>
        <c:dLbls>
          <c:dLblPos val="outEnd"/>
          <c:showLegendKey val="0"/>
          <c:showVal val="1"/>
          <c:showCatName val="0"/>
          <c:showSerName val="0"/>
          <c:showPercent val="0"/>
          <c:showBubbleSize val="0"/>
        </c:dLbls>
        <c:gapWidth val="219"/>
        <c:overlap val="-27"/>
        <c:axId val="958914160"/>
        <c:axId val="958905520"/>
        <c:extLst>
          <c:ext xmlns:c15="http://schemas.microsoft.com/office/drawing/2012/chart" uri="{02D57815-91ED-43cb-92C2-25804820EDAC}">
            <c15:filteredBarSeries>
              <c15:ser>
                <c:idx val="0"/>
                <c:order val="0"/>
                <c:tx>
                  <c:strRef>
                    <c:extLst>
                      <c:ext uri="{02D57815-91ED-43cb-92C2-25804820EDAC}">
                        <c15:formulaRef>
                          <c15:sqref>'Analysis &amp; Diagnostics'!$G$401</c15:sqref>
                        </c15:formulaRef>
                      </c:ext>
                    </c:extLst>
                    <c:strCache>
                      <c:ptCount val="1"/>
                      <c:pt idx="0">
                        <c:v>Monthly 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 &amp; Diagnostics'!$F$402:$F$413</c15:sqref>
                        </c15:formulaRef>
                      </c:ext>
                    </c:extLst>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extLst>
                      <c:ext uri="{02D57815-91ED-43cb-92C2-25804820EDAC}">
                        <c15:formulaRef>
                          <c15:sqref>'Analysis &amp; Diagnostics'!$G$402:$G$413</c15:sqref>
                        </c15:formulaRef>
                      </c:ext>
                    </c:extLst>
                    <c:numCache>
                      <c:formatCode>General</c:formatCode>
                      <c:ptCount val="12"/>
                      <c:pt idx="0">
                        <c:v>400</c:v>
                      </c:pt>
                      <c:pt idx="1">
                        <c:v>250</c:v>
                      </c:pt>
                      <c:pt idx="2">
                        <c:v>1275</c:v>
                      </c:pt>
                      <c:pt idx="3">
                        <c:v>354</c:v>
                      </c:pt>
                      <c:pt idx="4">
                        <c:v>300</c:v>
                      </c:pt>
                      <c:pt idx="5">
                        <c:v>300</c:v>
                      </c:pt>
                      <c:pt idx="6">
                        <c:v>525</c:v>
                      </c:pt>
                      <c:pt idx="7">
                        <c:v>1125</c:v>
                      </c:pt>
                      <c:pt idx="8">
                        <c:v>475</c:v>
                      </c:pt>
                      <c:pt idx="9">
                        <c:v>125</c:v>
                      </c:pt>
                      <c:pt idx="10">
                        <c:v>325</c:v>
                      </c:pt>
                      <c:pt idx="11">
                        <c:v>700</c:v>
                      </c:pt>
                    </c:numCache>
                  </c:numRef>
                </c:val>
                <c:extLst>
                  <c:ext xmlns:c16="http://schemas.microsoft.com/office/drawing/2014/chart" uri="{C3380CC4-5D6E-409C-BE32-E72D297353CC}">
                    <c16:uniqueId val="{00000000-ACC9-4D9B-8BB1-414484D2F524}"/>
                  </c:ext>
                </c:extLst>
              </c15:ser>
            </c15:filteredBarSeries>
            <c15:filteredBarSeries>
              <c15:ser>
                <c:idx val="2"/>
                <c:order val="2"/>
                <c:tx>
                  <c:strRef>
                    <c:extLst>
                      <c:ext xmlns:c15="http://schemas.microsoft.com/office/drawing/2012/chart" uri="{02D57815-91ED-43cb-92C2-25804820EDAC}">
                        <c15:formulaRef>
                          <c15:sqref>'Analysis &amp; Diagnostics'!$I$401</c15:sqref>
                        </c15:formulaRef>
                      </c:ext>
                    </c:extLst>
                    <c:strCache>
                      <c:ptCount val="1"/>
                      <c:pt idx="0">
                        <c:v>per Purchase 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'Analysis &amp; Diagnostics'!$F$402:$F$413</c15:sqref>
                        </c15:formulaRef>
                      </c:ext>
                    </c:extLst>
                    <c:numCache>
                      <c:formatCode>mmm\-yy</c:formatCode>
                      <c:ptCount val="12"/>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numCache>
                  </c:numRef>
                </c:cat>
                <c:val>
                  <c:numRef>
                    <c:extLst>
                      <c:ext xmlns:c15="http://schemas.microsoft.com/office/drawing/2012/chart" uri="{02D57815-91ED-43cb-92C2-25804820EDAC}">
                        <c15:formulaRef>
                          <c15:sqref>'Analysis &amp; Diagnostics'!$I$402:$I$413</c15:sqref>
                        </c15:formulaRef>
                      </c:ext>
                    </c:extLst>
                    <c:numCache>
                      <c:formatCode>General</c:formatCode>
                      <c:ptCount val="12"/>
                      <c:pt idx="0">
                        <c:v>100</c:v>
                      </c:pt>
                      <c:pt idx="1">
                        <c:v>125</c:v>
                      </c:pt>
                      <c:pt idx="2">
                        <c:v>98.08</c:v>
                      </c:pt>
                      <c:pt idx="3">
                        <c:v>88.5</c:v>
                      </c:pt>
                      <c:pt idx="4">
                        <c:v>100</c:v>
                      </c:pt>
                      <c:pt idx="5">
                        <c:v>100</c:v>
                      </c:pt>
                      <c:pt idx="6">
                        <c:v>87.5</c:v>
                      </c:pt>
                      <c:pt idx="7">
                        <c:v>80.36</c:v>
                      </c:pt>
                      <c:pt idx="8">
                        <c:v>95</c:v>
                      </c:pt>
                      <c:pt idx="9">
                        <c:v>125</c:v>
                      </c:pt>
                      <c:pt idx="10">
                        <c:v>81.25</c:v>
                      </c:pt>
                      <c:pt idx="11">
                        <c:v>100</c:v>
                      </c:pt>
                    </c:numCache>
                  </c:numRef>
                </c:val>
                <c:extLst xmlns:c15="http://schemas.microsoft.com/office/drawing/2012/chart">
                  <c:ext xmlns:c16="http://schemas.microsoft.com/office/drawing/2014/chart" uri="{C3380CC4-5D6E-409C-BE32-E72D297353CC}">
                    <c16:uniqueId val="{00000002-ACC9-4D9B-8BB1-414484D2F524}"/>
                  </c:ext>
                </c:extLst>
              </c15:ser>
            </c15:filteredBarSeries>
          </c:ext>
        </c:extLst>
      </c:barChart>
      <c:dateAx>
        <c:axId val="95891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 (month-year)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05520"/>
        <c:crosses val="autoZero"/>
        <c:auto val="1"/>
        <c:lblOffset val="100"/>
        <c:baseTimeUnit val="months"/>
      </c:dateAx>
      <c:valAx>
        <c:axId val="95890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2.5467050587480725E-2"/>
              <c:y val="0.385350320793234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1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The G-cash Expenses in</a:t>
            </a:r>
            <a:r>
              <a:rPr lang="en-US" b="1" baseline="0"/>
              <a:t> Top 20 Expenses</a:t>
            </a:r>
            <a:endParaRPr lang="en-US" b="1"/>
          </a:p>
        </c:rich>
      </c:tx>
      <c:layout>
        <c:manualLayout>
          <c:xMode val="edge"/>
          <c:yMode val="edge"/>
          <c:x val="0.2717833188436840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'Analysis &amp; Diagnostics'!$P$260</c:f>
              <c:strCache>
                <c:ptCount val="1"/>
                <c:pt idx="0">
                  <c:v>Sum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Diagnostics'!$N$261:$N$265</c:f>
              <c:strCache>
                <c:ptCount val="5"/>
                <c:pt idx="0">
                  <c:v>Supa</c:v>
                </c:pt>
                <c:pt idx="1">
                  <c:v>wifi load (magic data)</c:v>
                </c:pt>
                <c:pt idx="2">
                  <c:v>wifi load (family access)</c:v>
                </c:pt>
                <c:pt idx="3">
                  <c:v>Spotify</c:v>
                </c:pt>
                <c:pt idx="4">
                  <c:v>sheena-related</c:v>
                </c:pt>
              </c:strCache>
            </c:strRef>
          </c:cat>
          <c:val>
            <c:numRef>
              <c:f>'Analysis &amp; Diagnostics'!$P$261:$P$265</c:f>
              <c:numCache>
                <c:formatCode>General</c:formatCode>
                <c:ptCount val="5"/>
                <c:pt idx="0">
                  <c:v>6154</c:v>
                </c:pt>
                <c:pt idx="1">
                  <c:v>4494</c:v>
                </c:pt>
                <c:pt idx="2">
                  <c:v>3981</c:v>
                </c:pt>
                <c:pt idx="3">
                  <c:v>2823</c:v>
                </c:pt>
                <c:pt idx="4">
                  <c:v>150</c:v>
                </c:pt>
              </c:numCache>
            </c:numRef>
          </c:val>
          <c:extLst>
            <c:ext xmlns:c16="http://schemas.microsoft.com/office/drawing/2014/chart" uri="{C3380CC4-5D6E-409C-BE32-E72D297353CC}">
              <c16:uniqueId val="{00000002-D7DA-4969-B22D-F69F8ADEE3E3}"/>
            </c:ext>
          </c:extLst>
        </c:ser>
        <c:dLbls>
          <c:dLblPos val="outEnd"/>
          <c:showLegendKey val="0"/>
          <c:showVal val="1"/>
          <c:showCatName val="0"/>
          <c:showSerName val="0"/>
          <c:showPercent val="0"/>
          <c:showBubbleSize val="0"/>
        </c:dLbls>
        <c:gapWidth val="219"/>
        <c:overlap val="-27"/>
        <c:axId val="958908880"/>
        <c:axId val="958924240"/>
        <c:extLst>
          <c:ext xmlns:c15="http://schemas.microsoft.com/office/drawing/2012/chart" uri="{02D57815-91ED-43cb-92C2-25804820EDAC}">
            <c15:filteredBarSeries>
              <c15:ser>
                <c:idx val="0"/>
                <c:order val="0"/>
                <c:tx>
                  <c:strRef>
                    <c:extLst>
                      <c:ext uri="{02D57815-91ED-43cb-92C2-25804820EDAC}">
                        <c15:formulaRef>
                          <c15:sqref>'Analysis &amp; Diagnostics'!$O$260</c15:sqref>
                        </c15:formulaRef>
                      </c:ext>
                    </c:extLst>
                    <c:strCache>
                      <c:ptCount val="1"/>
                      <c:pt idx="0">
                        <c:v>Rank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Diagnostics'!$N$261:$N$265</c15:sqref>
                        </c15:formulaRef>
                      </c:ext>
                    </c:extLst>
                    <c:strCache>
                      <c:ptCount val="5"/>
                      <c:pt idx="0">
                        <c:v>Supa</c:v>
                      </c:pt>
                      <c:pt idx="1">
                        <c:v>wifi load (magic data)</c:v>
                      </c:pt>
                      <c:pt idx="2">
                        <c:v>wifi load (family access)</c:v>
                      </c:pt>
                      <c:pt idx="3">
                        <c:v>Spotify</c:v>
                      </c:pt>
                      <c:pt idx="4">
                        <c:v>sheena-related</c:v>
                      </c:pt>
                    </c:strCache>
                  </c:strRef>
                </c:cat>
                <c:val>
                  <c:numRef>
                    <c:extLst>
                      <c:ext uri="{02D57815-91ED-43cb-92C2-25804820EDAC}">
                        <c15:formulaRef>
                          <c15:sqref>'Analysis &amp; Diagnostics'!$O$261:$O$265</c15:sqref>
                        </c15:formulaRef>
                      </c:ext>
                    </c:extLst>
                    <c:numCache>
                      <c:formatCode>General</c:formatCode>
                      <c:ptCount val="5"/>
                      <c:pt idx="0">
                        <c:v>8</c:v>
                      </c:pt>
                      <c:pt idx="1">
                        <c:v>10</c:v>
                      </c:pt>
                      <c:pt idx="2">
                        <c:v>12</c:v>
                      </c:pt>
                      <c:pt idx="3">
                        <c:v>19</c:v>
                      </c:pt>
                      <c:pt idx="4">
                        <c:v>5</c:v>
                      </c:pt>
                    </c:numCache>
                  </c:numRef>
                </c:val>
                <c:extLst>
                  <c:ext xmlns:c16="http://schemas.microsoft.com/office/drawing/2014/chart" uri="{C3380CC4-5D6E-409C-BE32-E72D297353CC}">
                    <c16:uniqueId val="{00000001-D7DA-4969-B22D-F69F8ADEE3E3}"/>
                  </c:ext>
                </c:extLst>
              </c15:ser>
            </c15:filteredBarSeries>
            <c15:filteredBarSeries>
              <c15:ser>
                <c:idx val="2"/>
                <c:order val="2"/>
                <c:tx>
                  <c:strRef>
                    <c:extLst>
                      <c:ext xmlns:c15="http://schemas.microsoft.com/office/drawing/2012/chart" uri="{02D57815-91ED-43cb-92C2-25804820EDAC}">
                        <c15:formulaRef>
                          <c15:sqref>'Analysis &amp; Diagnostics'!$Q$260</c15:sqref>
                        </c15:formulaRef>
                      </c:ext>
                    </c:extLst>
                    <c:strCache>
                      <c:ptCount val="1"/>
                      <c:pt idx="0">
                        <c:v>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Diagnostics'!$N$261:$N$265</c15:sqref>
                        </c15:formulaRef>
                      </c:ext>
                    </c:extLst>
                    <c:strCache>
                      <c:ptCount val="5"/>
                      <c:pt idx="0">
                        <c:v>Supa</c:v>
                      </c:pt>
                      <c:pt idx="1">
                        <c:v>wifi load (magic data)</c:v>
                      </c:pt>
                      <c:pt idx="2">
                        <c:v>wifi load (family access)</c:v>
                      </c:pt>
                      <c:pt idx="3">
                        <c:v>Spotify</c:v>
                      </c:pt>
                      <c:pt idx="4">
                        <c:v>sheena-related</c:v>
                      </c:pt>
                    </c:strCache>
                  </c:strRef>
                </c:cat>
                <c:val>
                  <c:numRef>
                    <c:extLst>
                      <c:ext xmlns:c15="http://schemas.microsoft.com/office/drawing/2012/chart" uri="{02D57815-91ED-43cb-92C2-25804820EDAC}">
                        <c15:formulaRef>
                          <c15:sqref>'Analysis &amp; Diagnostics'!$Q$261:$Q$265</c15:sqref>
                        </c15:formulaRef>
                      </c:ext>
                    </c:extLst>
                    <c:numCache>
                      <c:formatCode>General</c:formatCode>
                      <c:ptCount val="5"/>
                      <c:pt idx="0">
                        <c:v>66</c:v>
                      </c:pt>
                      <c:pt idx="1">
                        <c:v>7</c:v>
                      </c:pt>
                      <c:pt idx="2">
                        <c:v>20</c:v>
                      </c:pt>
                      <c:pt idx="3">
                        <c:v>12</c:v>
                      </c:pt>
                      <c:pt idx="4">
                        <c:v>1</c:v>
                      </c:pt>
                    </c:numCache>
                  </c:numRef>
                </c:val>
                <c:extLst xmlns:c15="http://schemas.microsoft.com/office/drawing/2012/chart">
                  <c:ext xmlns:c16="http://schemas.microsoft.com/office/drawing/2014/chart" uri="{C3380CC4-5D6E-409C-BE32-E72D297353CC}">
                    <c16:uniqueId val="{00000000-91B1-4E01-ADC8-36D37473B920}"/>
                  </c:ext>
                </c:extLst>
              </c15:ser>
            </c15:filteredBarSeries>
          </c:ext>
        </c:extLst>
      </c:barChart>
      <c:catAx>
        <c:axId val="95890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 Detail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24240"/>
        <c:crosses val="autoZero"/>
        <c:auto val="1"/>
        <c:lblAlgn val="ctr"/>
        <c:lblOffset val="100"/>
        <c:noMultiLvlLbl val="0"/>
      </c:catAx>
      <c:valAx>
        <c:axId val="958924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0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Transaction Counts of G-cash Expenses in</a:t>
            </a:r>
            <a:r>
              <a:rPr lang="en-US" b="1" baseline="0"/>
              <a:t> </a:t>
            </a:r>
          </a:p>
          <a:p>
            <a:pPr>
              <a:defRPr/>
            </a:pPr>
            <a:r>
              <a:rPr lang="en-US" b="1" baseline="0"/>
              <a:t>Top 20 Expenses</a:t>
            </a:r>
            <a:endParaRPr lang="en-US" b="1"/>
          </a:p>
        </c:rich>
      </c:tx>
      <c:layout>
        <c:manualLayout>
          <c:xMode val="edge"/>
          <c:yMode val="edge"/>
          <c:x val="0.2227117614793919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'Analysis &amp; Diagnostics'!$Q$260</c:f>
              <c:strCache>
                <c:ptCount val="1"/>
                <c:pt idx="0">
                  <c:v>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Diagnostics'!$N$261:$N$265</c:f>
              <c:strCache>
                <c:ptCount val="5"/>
                <c:pt idx="0">
                  <c:v>Supa</c:v>
                </c:pt>
                <c:pt idx="1">
                  <c:v>wifi load (magic data)</c:v>
                </c:pt>
                <c:pt idx="2">
                  <c:v>wifi load (family access)</c:v>
                </c:pt>
                <c:pt idx="3">
                  <c:v>Spotify</c:v>
                </c:pt>
                <c:pt idx="4">
                  <c:v>sheena-related</c:v>
                </c:pt>
              </c:strCache>
            </c:strRef>
          </c:cat>
          <c:val>
            <c:numRef>
              <c:f>'Analysis &amp; Diagnostics'!$Q$261:$Q$265</c:f>
              <c:numCache>
                <c:formatCode>General</c:formatCode>
                <c:ptCount val="5"/>
                <c:pt idx="0">
                  <c:v>66</c:v>
                </c:pt>
                <c:pt idx="1">
                  <c:v>7</c:v>
                </c:pt>
                <c:pt idx="2">
                  <c:v>20</c:v>
                </c:pt>
                <c:pt idx="3">
                  <c:v>12</c:v>
                </c:pt>
                <c:pt idx="4">
                  <c:v>1</c:v>
                </c:pt>
              </c:numCache>
            </c:numRef>
          </c:val>
          <c:extLst xmlns:c15="http://schemas.microsoft.com/office/drawing/2012/chart">
            <c:ext xmlns:c16="http://schemas.microsoft.com/office/drawing/2014/chart" uri="{C3380CC4-5D6E-409C-BE32-E72D297353CC}">
              <c16:uniqueId val="{00000000-91B1-4E01-ADC8-36D37473B920}"/>
            </c:ext>
          </c:extLst>
        </c:ser>
        <c:dLbls>
          <c:dLblPos val="outEnd"/>
          <c:showLegendKey val="0"/>
          <c:showVal val="1"/>
          <c:showCatName val="0"/>
          <c:showSerName val="0"/>
          <c:showPercent val="0"/>
          <c:showBubbleSize val="0"/>
        </c:dLbls>
        <c:gapWidth val="219"/>
        <c:overlap val="-27"/>
        <c:axId val="958908880"/>
        <c:axId val="958924240"/>
        <c:extLst>
          <c:ext xmlns:c15="http://schemas.microsoft.com/office/drawing/2012/chart" uri="{02D57815-91ED-43cb-92C2-25804820EDAC}">
            <c15:filteredBarSeries>
              <c15:ser>
                <c:idx val="0"/>
                <c:order val="0"/>
                <c:tx>
                  <c:strRef>
                    <c:extLst>
                      <c:ext uri="{02D57815-91ED-43cb-92C2-25804820EDAC}">
                        <c15:formulaRef>
                          <c15:sqref>'Analysis &amp; Diagnostics'!$O$260</c15:sqref>
                        </c15:formulaRef>
                      </c:ext>
                    </c:extLst>
                    <c:strCache>
                      <c:ptCount val="1"/>
                      <c:pt idx="0">
                        <c:v>Rank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Diagnostics'!$N$261:$N$265</c15:sqref>
                        </c15:formulaRef>
                      </c:ext>
                    </c:extLst>
                    <c:strCache>
                      <c:ptCount val="5"/>
                      <c:pt idx="0">
                        <c:v>Supa</c:v>
                      </c:pt>
                      <c:pt idx="1">
                        <c:v>wifi load (magic data)</c:v>
                      </c:pt>
                      <c:pt idx="2">
                        <c:v>wifi load (family access)</c:v>
                      </c:pt>
                      <c:pt idx="3">
                        <c:v>Spotify</c:v>
                      </c:pt>
                      <c:pt idx="4">
                        <c:v>sheena-related</c:v>
                      </c:pt>
                    </c:strCache>
                  </c:strRef>
                </c:cat>
                <c:val>
                  <c:numRef>
                    <c:extLst>
                      <c:ext uri="{02D57815-91ED-43cb-92C2-25804820EDAC}">
                        <c15:formulaRef>
                          <c15:sqref>'Analysis &amp; Diagnostics'!$O$261:$O$265</c15:sqref>
                        </c15:formulaRef>
                      </c:ext>
                    </c:extLst>
                    <c:numCache>
                      <c:formatCode>General</c:formatCode>
                      <c:ptCount val="5"/>
                      <c:pt idx="0">
                        <c:v>8</c:v>
                      </c:pt>
                      <c:pt idx="1">
                        <c:v>10</c:v>
                      </c:pt>
                      <c:pt idx="2">
                        <c:v>12</c:v>
                      </c:pt>
                      <c:pt idx="3">
                        <c:v>19</c:v>
                      </c:pt>
                      <c:pt idx="4">
                        <c:v>5</c:v>
                      </c:pt>
                    </c:numCache>
                  </c:numRef>
                </c:val>
                <c:extLst>
                  <c:ext xmlns:c16="http://schemas.microsoft.com/office/drawing/2014/chart" uri="{C3380CC4-5D6E-409C-BE32-E72D297353CC}">
                    <c16:uniqueId val="{00000001-D7DA-4969-B22D-F69F8ADEE3E3}"/>
                  </c:ext>
                </c:extLst>
              </c15:ser>
            </c15:filteredBarSeries>
            <c15:filteredBarSeries>
              <c15:ser>
                <c:idx val="1"/>
                <c:order val="1"/>
                <c:tx>
                  <c:strRef>
                    <c:extLst>
                      <c:ext xmlns:c15="http://schemas.microsoft.com/office/drawing/2012/chart" uri="{02D57815-91ED-43cb-92C2-25804820EDAC}">
                        <c15:formulaRef>
                          <c15:sqref>'Analysis &amp; Diagnostics'!$P$260</c15:sqref>
                        </c15:formulaRef>
                      </c:ext>
                    </c:extLst>
                    <c:strCache>
                      <c:ptCount val="1"/>
                      <c:pt idx="0">
                        <c:v>Sum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Diagnostics'!$N$261:$N$265</c15:sqref>
                        </c15:formulaRef>
                      </c:ext>
                    </c:extLst>
                    <c:strCache>
                      <c:ptCount val="5"/>
                      <c:pt idx="0">
                        <c:v>Supa</c:v>
                      </c:pt>
                      <c:pt idx="1">
                        <c:v>wifi load (magic data)</c:v>
                      </c:pt>
                      <c:pt idx="2">
                        <c:v>wifi load (family access)</c:v>
                      </c:pt>
                      <c:pt idx="3">
                        <c:v>Spotify</c:v>
                      </c:pt>
                      <c:pt idx="4">
                        <c:v>sheena-related</c:v>
                      </c:pt>
                    </c:strCache>
                  </c:strRef>
                </c:cat>
                <c:val>
                  <c:numRef>
                    <c:extLst>
                      <c:ext xmlns:c15="http://schemas.microsoft.com/office/drawing/2012/chart" uri="{02D57815-91ED-43cb-92C2-25804820EDAC}">
                        <c15:formulaRef>
                          <c15:sqref>'Analysis &amp; Diagnostics'!$P$261:$P$265</c15:sqref>
                        </c15:formulaRef>
                      </c:ext>
                    </c:extLst>
                    <c:numCache>
                      <c:formatCode>General</c:formatCode>
                      <c:ptCount val="5"/>
                      <c:pt idx="0">
                        <c:v>6154</c:v>
                      </c:pt>
                      <c:pt idx="1">
                        <c:v>4494</c:v>
                      </c:pt>
                      <c:pt idx="2">
                        <c:v>3981</c:v>
                      </c:pt>
                      <c:pt idx="3">
                        <c:v>2823</c:v>
                      </c:pt>
                      <c:pt idx="4">
                        <c:v>150</c:v>
                      </c:pt>
                    </c:numCache>
                  </c:numRef>
                </c:val>
                <c:extLst xmlns:c15="http://schemas.microsoft.com/office/drawing/2012/chart">
                  <c:ext xmlns:c16="http://schemas.microsoft.com/office/drawing/2014/chart" uri="{C3380CC4-5D6E-409C-BE32-E72D297353CC}">
                    <c16:uniqueId val="{00000002-D7DA-4969-B22D-F69F8ADEE3E3}"/>
                  </c:ext>
                </c:extLst>
              </c15:ser>
            </c15:filteredBarSeries>
          </c:ext>
        </c:extLst>
      </c:barChart>
      <c:catAx>
        <c:axId val="95890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 Detail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24240"/>
        <c:crosses val="autoZero"/>
        <c:auto val="1"/>
        <c:lblAlgn val="ctr"/>
        <c:lblOffset val="100"/>
        <c:noMultiLvlLbl val="0"/>
      </c:catAx>
      <c:valAx>
        <c:axId val="958924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0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20</a:t>
            </a:r>
            <a:r>
              <a:rPr lang="en-US" b="1" baseline="0"/>
              <a:t> Expenditure: </a:t>
            </a:r>
            <a:r>
              <a:rPr lang="en-US" b="0" baseline="0"/>
              <a:t>Total Expenses Percentage</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tx>
            <c:strRef>
              <c:f>'Analysis &amp; Diagnostics'!$P$236</c:f>
              <c:strCache>
                <c:ptCount val="1"/>
                <c:pt idx="0">
                  <c:v>Total Percentage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Diagnostics'!$I$237:$I$256</c:f>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f>'Analysis &amp; Diagnostics'!$P$237:$P$256</c:f>
              <c:numCache>
                <c:formatCode>General</c:formatCode>
                <c:ptCount val="20"/>
                <c:pt idx="0">
                  <c:v>28.42</c:v>
                </c:pt>
                <c:pt idx="1">
                  <c:v>12.17</c:v>
                </c:pt>
                <c:pt idx="2">
                  <c:v>3.89</c:v>
                </c:pt>
                <c:pt idx="3">
                  <c:v>3.58</c:v>
                </c:pt>
                <c:pt idx="4">
                  <c:v>2.8</c:v>
                </c:pt>
                <c:pt idx="5">
                  <c:v>2.73</c:v>
                </c:pt>
                <c:pt idx="6">
                  <c:v>2.56</c:v>
                </c:pt>
                <c:pt idx="7">
                  <c:v>2.4</c:v>
                </c:pt>
                <c:pt idx="8">
                  <c:v>2.14</c:v>
                </c:pt>
                <c:pt idx="9">
                  <c:v>1.75</c:v>
                </c:pt>
                <c:pt idx="10">
                  <c:v>1.56</c:v>
                </c:pt>
                <c:pt idx="11">
                  <c:v>1.55</c:v>
                </c:pt>
                <c:pt idx="12">
                  <c:v>1.48</c:v>
                </c:pt>
                <c:pt idx="13">
                  <c:v>1.4</c:v>
                </c:pt>
                <c:pt idx="14">
                  <c:v>1.3</c:v>
                </c:pt>
                <c:pt idx="15">
                  <c:v>1.17</c:v>
                </c:pt>
                <c:pt idx="16">
                  <c:v>1.1599999999999999</c:v>
                </c:pt>
                <c:pt idx="17">
                  <c:v>1.1299999999999999</c:v>
                </c:pt>
                <c:pt idx="18">
                  <c:v>1.1000000000000001</c:v>
                </c:pt>
                <c:pt idx="19">
                  <c:v>1.01</c:v>
                </c:pt>
              </c:numCache>
            </c:numRef>
          </c:val>
          <c:extLst>
            <c:ext xmlns:c16="http://schemas.microsoft.com/office/drawing/2014/chart" uri="{C3380CC4-5D6E-409C-BE32-E72D297353CC}">
              <c16:uniqueId val="{00000006-7AE2-4F30-BB45-809916744752}"/>
            </c:ext>
          </c:extLst>
        </c:ser>
        <c:dLbls>
          <c:dLblPos val="outEnd"/>
          <c:showLegendKey val="0"/>
          <c:showVal val="1"/>
          <c:showCatName val="0"/>
          <c:showSerName val="0"/>
          <c:showPercent val="0"/>
          <c:showBubbleSize val="0"/>
        </c:dLbls>
        <c:gapWidth val="219"/>
        <c:overlap val="-27"/>
        <c:axId val="1143035967"/>
        <c:axId val="1143029727"/>
        <c:extLst>
          <c:ext xmlns:c15="http://schemas.microsoft.com/office/drawing/2012/chart" uri="{02D57815-91ED-43cb-92C2-25804820EDAC}">
            <c15:filteredBarSeries>
              <c15:ser>
                <c:idx val="0"/>
                <c:order val="0"/>
                <c:tx>
                  <c:strRef>
                    <c:extLst>
                      <c:ext uri="{02D57815-91ED-43cb-92C2-25804820EDAC}">
                        <c15:formulaRef>
                          <c15:sqref>'Analysis &amp; Diagnostics'!$J$236</c15:sqref>
                        </c15:formulaRef>
                      </c:ext>
                    </c:extLst>
                    <c:strCache>
                      <c:ptCount val="1"/>
                      <c:pt idx="0">
                        <c:v>Sum of G-cash 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uri="{02D57815-91ED-43cb-92C2-25804820EDAC}">
                        <c15:formulaRef>
                          <c15:sqref>'Analysis &amp; Diagnostics'!$J$237:$J$256</c15:sqref>
                        </c15:formulaRef>
                      </c:ext>
                    </c:extLst>
                    <c:numCache>
                      <c:formatCode>General</c:formatCode>
                      <c:ptCount val="20"/>
                      <c:pt idx="4">
                        <c:v>150</c:v>
                      </c:pt>
                      <c:pt idx="7">
                        <c:v>6154</c:v>
                      </c:pt>
                      <c:pt idx="9">
                        <c:v>4494</c:v>
                      </c:pt>
                      <c:pt idx="11">
                        <c:v>3981</c:v>
                      </c:pt>
                      <c:pt idx="18">
                        <c:v>2823</c:v>
                      </c:pt>
                    </c:numCache>
                  </c:numRef>
                </c:val>
                <c:extLst>
                  <c:ext xmlns:c16="http://schemas.microsoft.com/office/drawing/2014/chart" uri="{C3380CC4-5D6E-409C-BE32-E72D297353CC}">
                    <c16:uniqueId val="{00000000-7AE2-4F30-BB45-809916744752}"/>
                  </c:ext>
                </c:extLst>
              </c15:ser>
            </c15:filteredBarSeries>
            <c15:filteredBarSeries>
              <c15:ser>
                <c:idx val="1"/>
                <c:order val="1"/>
                <c:tx>
                  <c:strRef>
                    <c:extLst>
                      <c:ext xmlns:c15="http://schemas.microsoft.com/office/drawing/2012/chart" uri="{02D57815-91ED-43cb-92C2-25804820EDAC}">
                        <c15:formulaRef>
                          <c15:sqref>'Analysis &amp; Diagnostics'!$K$236</c15:sqref>
                        </c15:formulaRef>
                      </c:ext>
                    </c:extLst>
                    <c:strCache>
                      <c:ptCount val="1"/>
                      <c:pt idx="0">
                        <c:v>Count of G-cash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Diagnostics'!$K$237:$K$256</c15:sqref>
                        </c15:formulaRef>
                      </c:ext>
                    </c:extLst>
                    <c:numCache>
                      <c:formatCode>General</c:formatCode>
                      <c:ptCount val="20"/>
                      <c:pt idx="4">
                        <c:v>1</c:v>
                      </c:pt>
                      <c:pt idx="7">
                        <c:v>66</c:v>
                      </c:pt>
                      <c:pt idx="9">
                        <c:v>7</c:v>
                      </c:pt>
                      <c:pt idx="11">
                        <c:v>20</c:v>
                      </c:pt>
                      <c:pt idx="18">
                        <c:v>12</c:v>
                      </c:pt>
                    </c:numCache>
                  </c:numRef>
                </c:val>
                <c:extLst xmlns:c15="http://schemas.microsoft.com/office/drawing/2012/chart">
                  <c:ext xmlns:c16="http://schemas.microsoft.com/office/drawing/2014/chart" uri="{C3380CC4-5D6E-409C-BE32-E72D297353CC}">
                    <c16:uniqueId val="{00000001-7AE2-4F30-BB45-809916744752}"/>
                  </c:ext>
                </c:extLst>
              </c15:ser>
            </c15:filteredBarSeries>
            <c15:filteredBarSeries>
              <c15:ser>
                <c:idx val="2"/>
                <c:order val="2"/>
                <c:tx>
                  <c:strRef>
                    <c:extLst>
                      <c:ext xmlns:c15="http://schemas.microsoft.com/office/drawing/2012/chart" uri="{02D57815-91ED-43cb-92C2-25804820EDAC}">
                        <c15:formulaRef>
                          <c15:sqref>'Analysis &amp; Diagnostics'!$L$236</c15:sqref>
                        </c15:formulaRef>
                      </c:ext>
                    </c:extLst>
                    <c:strCache>
                      <c:ptCount val="1"/>
                      <c:pt idx="0">
                        <c:v>Total Expenses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Diagnostics'!$L$237:$L$256</c15:sqref>
                        </c15:formulaRef>
                      </c:ext>
                    </c:extLst>
                    <c:numCache>
                      <c:formatCode>General</c:formatCode>
                      <c:ptCount val="20"/>
                      <c:pt idx="0">
                        <c:v>73000</c:v>
                      </c:pt>
                      <c:pt idx="1">
                        <c:v>31270</c:v>
                      </c:pt>
                      <c:pt idx="2">
                        <c:v>10000</c:v>
                      </c:pt>
                      <c:pt idx="3">
                        <c:v>9200</c:v>
                      </c:pt>
                      <c:pt idx="4">
                        <c:v>7200</c:v>
                      </c:pt>
                      <c:pt idx="5">
                        <c:v>7000</c:v>
                      </c:pt>
                      <c:pt idx="6">
                        <c:v>6587</c:v>
                      </c:pt>
                      <c:pt idx="7">
                        <c:v>6154</c:v>
                      </c:pt>
                      <c:pt idx="8">
                        <c:v>5490</c:v>
                      </c:pt>
                      <c:pt idx="9">
                        <c:v>4494</c:v>
                      </c:pt>
                      <c:pt idx="10">
                        <c:v>4000</c:v>
                      </c:pt>
                      <c:pt idx="11">
                        <c:v>3981</c:v>
                      </c:pt>
                      <c:pt idx="12">
                        <c:v>3800</c:v>
                      </c:pt>
                      <c:pt idx="13">
                        <c:v>3600</c:v>
                      </c:pt>
                      <c:pt idx="14">
                        <c:v>3340</c:v>
                      </c:pt>
                      <c:pt idx="15">
                        <c:v>3000</c:v>
                      </c:pt>
                      <c:pt idx="16">
                        <c:v>2990</c:v>
                      </c:pt>
                      <c:pt idx="17">
                        <c:v>2900</c:v>
                      </c:pt>
                      <c:pt idx="18">
                        <c:v>2823</c:v>
                      </c:pt>
                      <c:pt idx="19">
                        <c:v>2600</c:v>
                      </c:pt>
                    </c:numCache>
                  </c:numRef>
                </c:val>
                <c:extLst xmlns:c15="http://schemas.microsoft.com/office/drawing/2012/chart">
                  <c:ext xmlns:c16="http://schemas.microsoft.com/office/drawing/2014/chart" uri="{C3380CC4-5D6E-409C-BE32-E72D297353CC}">
                    <c16:uniqueId val="{00000002-7AE2-4F30-BB45-809916744752}"/>
                  </c:ext>
                </c:extLst>
              </c15:ser>
            </c15:filteredBarSeries>
            <c15:filteredBarSeries>
              <c15:ser>
                <c:idx val="3"/>
                <c:order val="3"/>
                <c:tx>
                  <c:strRef>
                    <c:extLst>
                      <c:ext xmlns:c15="http://schemas.microsoft.com/office/drawing/2012/chart" uri="{02D57815-91ED-43cb-92C2-25804820EDAC}">
                        <c15:formulaRef>
                          <c15:sqref>'Analysis &amp; Diagnostics'!$M$236</c15:sqref>
                        </c15:formulaRef>
                      </c:ext>
                    </c:extLst>
                    <c:strCache>
                      <c:ptCount val="1"/>
                      <c:pt idx="0">
                        <c:v>Total Count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Diagnostics'!$M$237:$M$256</c15:sqref>
                        </c15:formulaRef>
                      </c:ext>
                    </c:extLst>
                    <c:numCache>
                      <c:formatCode>General</c:formatCode>
                      <c:ptCount val="20"/>
                      <c:pt idx="0">
                        <c:v>14</c:v>
                      </c:pt>
                      <c:pt idx="1">
                        <c:v>15</c:v>
                      </c:pt>
                      <c:pt idx="2">
                        <c:v>1</c:v>
                      </c:pt>
                      <c:pt idx="3">
                        <c:v>6</c:v>
                      </c:pt>
                      <c:pt idx="4">
                        <c:v>4</c:v>
                      </c:pt>
                      <c:pt idx="5">
                        <c:v>1</c:v>
                      </c:pt>
                      <c:pt idx="6">
                        <c:v>87</c:v>
                      </c:pt>
                      <c:pt idx="7">
                        <c:v>66</c:v>
                      </c:pt>
                      <c:pt idx="8">
                        <c:v>1</c:v>
                      </c:pt>
                      <c:pt idx="9">
                        <c:v>7</c:v>
                      </c:pt>
                      <c:pt idx="10">
                        <c:v>1</c:v>
                      </c:pt>
                      <c:pt idx="11">
                        <c:v>20</c:v>
                      </c:pt>
                      <c:pt idx="12">
                        <c:v>17</c:v>
                      </c:pt>
                      <c:pt idx="13">
                        <c:v>1</c:v>
                      </c:pt>
                      <c:pt idx="14">
                        <c:v>8</c:v>
                      </c:pt>
                      <c:pt idx="15">
                        <c:v>1</c:v>
                      </c:pt>
                      <c:pt idx="16">
                        <c:v>7</c:v>
                      </c:pt>
                      <c:pt idx="17">
                        <c:v>1</c:v>
                      </c:pt>
                      <c:pt idx="18">
                        <c:v>12</c:v>
                      </c:pt>
                      <c:pt idx="19">
                        <c:v>1</c:v>
                      </c:pt>
                    </c:numCache>
                  </c:numRef>
                </c:val>
                <c:extLst xmlns:c15="http://schemas.microsoft.com/office/drawing/2012/chart">
                  <c:ext xmlns:c16="http://schemas.microsoft.com/office/drawing/2014/chart" uri="{C3380CC4-5D6E-409C-BE32-E72D297353CC}">
                    <c16:uniqueId val="{00000003-7AE2-4F30-BB45-809916744752}"/>
                  </c:ext>
                </c:extLst>
              </c15:ser>
            </c15:filteredBarSeries>
            <c15:filteredBarSeries>
              <c15:ser>
                <c:idx val="4"/>
                <c:order val="4"/>
                <c:tx>
                  <c:strRef>
                    <c:extLst>
                      <c:ext xmlns:c15="http://schemas.microsoft.com/office/drawing/2012/chart" uri="{02D57815-91ED-43cb-92C2-25804820EDAC}">
                        <c15:formulaRef>
                          <c15:sqref>'Analysis &amp; Diagnostics'!$N$236</c15:sqref>
                        </c15:formulaRef>
                      </c:ext>
                    </c:extLst>
                    <c:strCache>
                      <c:ptCount val="1"/>
                      <c:pt idx="0">
                        <c:v>Rank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Diagnostics'!$N$237:$N$256</c15:sqref>
                        </c15:formulaRef>
                      </c:ext>
                    </c:extLst>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val>
                <c:extLst xmlns:c15="http://schemas.microsoft.com/office/drawing/2012/chart">
                  <c:ext xmlns:c16="http://schemas.microsoft.com/office/drawing/2014/chart" uri="{C3380CC4-5D6E-409C-BE32-E72D297353CC}">
                    <c16:uniqueId val="{00000004-7AE2-4F30-BB45-809916744752}"/>
                  </c:ext>
                </c:extLst>
              </c15:ser>
            </c15:filteredBarSeries>
            <c15:filteredBarSeries>
              <c15:ser>
                <c:idx val="5"/>
                <c:order val="5"/>
                <c:tx>
                  <c:strRef>
                    <c:extLst>
                      <c:ext xmlns:c15="http://schemas.microsoft.com/office/drawing/2012/chart" uri="{02D57815-91ED-43cb-92C2-25804820EDAC}">
                        <c15:formulaRef>
                          <c15:sqref>'Analysis &amp; Diagnostics'!$O$236</c15:sqref>
                        </c15:formulaRef>
                      </c:ext>
                    </c:extLst>
                    <c:strCache>
                      <c:ptCount val="1"/>
                      <c:pt idx="0">
                        <c:v>G-cash Percentage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Diagnostics'!$O$237:$O$256</c15:sqref>
                        </c15:formulaRef>
                      </c:ext>
                    </c:extLst>
                    <c:numCache>
                      <c:formatCode>General</c:formatCode>
                      <c:ptCount val="20"/>
                      <c:pt idx="0">
                        <c:v>0</c:v>
                      </c:pt>
                      <c:pt idx="1">
                        <c:v>0</c:v>
                      </c:pt>
                      <c:pt idx="2">
                        <c:v>0</c:v>
                      </c:pt>
                      <c:pt idx="3">
                        <c:v>0</c:v>
                      </c:pt>
                      <c:pt idx="4">
                        <c:v>2.08</c:v>
                      </c:pt>
                      <c:pt idx="5">
                        <c:v>0</c:v>
                      </c:pt>
                      <c:pt idx="6">
                        <c:v>0</c:v>
                      </c:pt>
                      <c:pt idx="7">
                        <c:v>100</c:v>
                      </c:pt>
                      <c:pt idx="8">
                        <c:v>0</c:v>
                      </c:pt>
                      <c:pt idx="9">
                        <c:v>100</c:v>
                      </c:pt>
                      <c:pt idx="10">
                        <c:v>0</c:v>
                      </c:pt>
                      <c:pt idx="11">
                        <c:v>100</c:v>
                      </c:pt>
                      <c:pt idx="12">
                        <c:v>0</c:v>
                      </c:pt>
                      <c:pt idx="13">
                        <c:v>0</c:v>
                      </c:pt>
                      <c:pt idx="14">
                        <c:v>0</c:v>
                      </c:pt>
                      <c:pt idx="15">
                        <c:v>0</c:v>
                      </c:pt>
                      <c:pt idx="16">
                        <c:v>0</c:v>
                      </c:pt>
                      <c:pt idx="17">
                        <c:v>0</c:v>
                      </c:pt>
                      <c:pt idx="18">
                        <c:v>100</c:v>
                      </c:pt>
                      <c:pt idx="19">
                        <c:v>0</c:v>
                      </c:pt>
                    </c:numCache>
                  </c:numRef>
                </c:val>
                <c:extLst xmlns:c15="http://schemas.microsoft.com/office/drawing/2012/chart">
                  <c:ext xmlns:c16="http://schemas.microsoft.com/office/drawing/2014/chart" uri="{C3380CC4-5D6E-409C-BE32-E72D297353CC}">
                    <c16:uniqueId val="{00000005-7AE2-4F30-BB45-809916744752}"/>
                  </c:ext>
                </c:extLst>
              </c15:ser>
            </c15:filteredBarSeries>
          </c:ext>
        </c:extLst>
      </c:barChart>
      <c:catAx>
        <c:axId val="1143035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Details</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29727"/>
        <c:crosses val="autoZero"/>
        <c:auto val="1"/>
        <c:lblAlgn val="ctr"/>
        <c:lblOffset val="100"/>
        <c:noMultiLvlLbl val="0"/>
      </c:catAx>
      <c:valAx>
        <c:axId val="1143029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3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20 Expenditure</a:t>
            </a:r>
            <a:r>
              <a:rPr lang="en-US" b="1" baseline="0"/>
              <a:t>: </a:t>
            </a:r>
            <a:r>
              <a:rPr lang="en-US" b="0"/>
              <a:t>Total</a:t>
            </a:r>
            <a:r>
              <a:rPr lang="en-US" b="0" baseline="0"/>
              <a:t> Number of Purchase</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'Analysis &amp; Diagnostics'!$M$236</c:f>
              <c:strCache>
                <c:ptCount val="1"/>
                <c:pt idx="0">
                  <c:v>Total Count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Diagnostics'!$I$237:$I$256</c:f>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f>'Analysis &amp; Diagnostics'!$M$237:$M$256</c:f>
              <c:numCache>
                <c:formatCode>General</c:formatCode>
                <c:ptCount val="20"/>
                <c:pt idx="0">
                  <c:v>14</c:v>
                </c:pt>
                <c:pt idx="1">
                  <c:v>15</c:v>
                </c:pt>
                <c:pt idx="2">
                  <c:v>1</c:v>
                </c:pt>
                <c:pt idx="3">
                  <c:v>6</c:v>
                </c:pt>
                <c:pt idx="4">
                  <c:v>4</c:v>
                </c:pt>
                <c:pt idx="5">
                  <c:v>1</c:v>
                </c:pt>
                <c:pt idx="6">
                  <c:v>87</c:v>
                </c:pt>
                <c:pt idx="7">
                  <c:v>66</c:v>
                </c:pt>
                <c:pt idx="8">
                  <c:v>1</c:v>
                </c:pt>
                <c:pt idx="9">
                  <c:v>7</c:v>
                </c:pt>
                <c:pt idx="10">
                  <c:v>1</c:v>
                </c:pt>
                <c:pt idx="11">
                  <c:v>20</c:v>
                </c:pt>
                <c:pt idx="12">
                  <c:v>17</c:v>
                </c:pt>
                <c:pt idx="13">
                  <c:v>1</c:v>
                </c:pt>
                <c:pt idx="14">
                  <c:v>8</c:v>
                </c:pt>
                <c:pt idx="15">
                  <c:v>1</c:v>
                </c:pt>
                <c:pt idx="16">
                  <c:v>7</c:v>
                </c:pt>
                <c:pt idx="17">
                  <c:v>1</c:v>
                </c:pt>
                <c:pt idx="18">
                  <c:v>12</c:v>
                </c:pt>
                <c:pt idx="19">
                  <c:v>1</c:v>
                </c:pt>
              </c:numCache>
            </c:numRef>
          </c:val>
          <c:extLst xmlns:c15="http://schemas.microsoft.com/office/drawing/2012/chart">
            <c:ext xmlns:c16="http://schemas.microsoft.com/office/drawing/2014/chart" uri="{C3380CC4-5D6E-409C-BE32-E72D297353CC}">
              <c16:uniqueId val="{00000003-7AE2-4F30-BB45-809916744752}"/>
            </c:ext>
          </c:extLst>
        </c:ser>
        <c:dLbls>
          <c:dLblPos val="outEnd"/>
          <c:showLegendKey val="0"/>
          <c:showVal val="1"/>
          <c:showCatName val="0"/>
          <c:showSerName val="0"/>
          <c:showPercent val="0"/>
          <c:showBubbleSize val="0"/>
        </c:dLbls>
        <c:gapWidth val="219"/>
        <c:overlap val="-27"/>
        <c:axId val="1143035967"/>
        <c:axId val="1143029727"/>
        <c:extLst>
          <c:ext xmlns:c15="http://schemas.microsoft.com/office/drawing/2012/chart" uri="{02D57815-91ED-43cb-92C2-25804820EDAC}">
            <c15:filteredBarSeries>
              <c15:ser>
                <c:idx val="0"/>
                <c:order val="0"/>
                <c:tx>
                  <c:strRef>
                    <c:extLst>
                      <c:ext uri="{02D57815-91ED-43cb-92C2-25804820EDAC}">
                        <c15:formulaRef>
                          <c15:sqref>'Analysis &amp; Diagnostics'!$J$236</c15:sqref>
                        </c15:formulaRef>
                      </c:ext>
                    </c:extLst>
                    <c:strCache>
                      <c:ptCount val="1"/>
                      <c:pt idx="0">
                        <c:v>Sum of G-cash 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uri="{02D57815-91ED-43cb-92C2-25804820EDAC}">
                        <c15:formulaRef>
                          <c15:sqref>'Analysis &amp; Diagnostics'!$J$237:$J$256</c15:sqref>
                        </c15:formulaRef>
                      </c:ext>
                    </c:extLst>
                    <c:numCache>
                      <c:formatCode>General</c:formatCode>
                      <c:ptCount val="20"/>
                      <c:pt idx="4">
                        <c:v>150</c:v>
                      </c:pt>
                      <c:pt idx="7">
                        <c:v>6154</c:v>
                      </c:pt>
                      <c:pt idx="9">
                        <c:v>4494</c:v>
                      </c:pt>
                      <c:pt idx="11">
                        <c:v>3981</c:v>
                      </c:pt>
                      <c:pt idx="18">
                        <c:v>2823</c:v>
                      </c:pt>
                    </c:numCache>
                  </c:numRef>
                </c:val>
                <c:extLst>
                  <c:ext xmlns:c16="http://schemas.microsoft.com/office/drawing/2014/chart" uri="{C3380CC4-5D6E-409C-BE32-E72D297353CC}">
                    <c16:uniqueId val="{00000000-7AE2-4F30-BB45-809916744752}"/>
                  </c:ext>
                </c:extLst>
              </c15:ser>
            </c15:filteredBarSeries>
            <c15:filteredBarSeries>
              <c15:ser>
                <c:idx val="1"/>
                <c:order val="1"/>
                <c:tx>
                  <c:strRef>
                    <c:extLst>
                      <c:ext xmlns:c15="http://schemas.microsoft.com/office/drawing/2012/chart" uri="{02D57815-91ED-43cb-92C2-25804820EDAC}">
                        <c15:formulaRef>
                          <c15:sqref>'Analysis &amp; Diagnostics'!$K$236</c15:sqref>
                        </c15:formulaRef>
                      </c:ext>
                    </c:extLst>
                    <c:strCache>
                      <c:ptCount val="1"/>
                      <c:pt idx="0">
                        <c:v>Count of G-cash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Diagnostics'!$K$237:$K$256</c15:sqref>
                        </c15:formulaRef>
                      </c:ext>
                    </c:extLst>
                    <c:numCache>
                      <c:formatCode>General</c:formatCode>
                      <c:ptCount val="20"/>
                      <c:pt idx="4">
                        <c:v>1</c:v>
                      </c:pt>
                      <c:pt idx="7">
                        <c:v>66</c:v>
                      </c:pt>
                      <c:pt idx="9">
                        <c:v>7</c:v>
                      </c:pt>
                      <c:pt idx="11">
                        <c:v>20</c:v>
                      </c:pt>
                      <c:pt idx="18">
                        <c:v>12</c:v>
                      </c:pt>
                    </c:numCache>
                  </c:numRef>
                </c:val>
                <c:extLst xmlns:c15="http://schemas.microsoft.com/office/drawing/2012/chart">
                  <c:ext xmlns:c16="http://schemas.microsoft.com/office/drawing/2014/chart" uri="{C3380CC4-5D6E-409C-BE32-E72D297353CC}">
                    <c16:uniqueId val="{00000001-7AE2-4F30-BB45-809916744752}"/>
                  </c:ext>
                </c:extLst>
              </c15:ser>
            </c15:filteredBarSeries>
            <c15:filteredBarSeries>
              <c15:ser>
                <c:idx val="2"/>
                <c:order val="2"/>
                <c:tx>
                  <c:strRef>
                    <c:extLst>
                      <c:ext xmlns:c15="http://schemas.microsoft.com/office/drawing/2012/chart" uri="{02D57815-91ED-43cb-92C2-25804820EDAC}">
                        <c15:formulaRef>
                          <c15:sqref>'Analysis &amp; Diagnostics'!$L$236</c15:sqref>
                        </c15:formulaRef>
                      </c:ext>
                    </c:extLst>
                    <c:strCache>
                      <c:ptCount val="1"/>
                      <c:pt idx="0">
                        <c:v>Total Expenses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Diagnostics'!$L$237:$L$256</c15:sqref>
                        </c15:formulaRef>
                      </c:ext>
                    </c:extLst>
                    <c:numCache>
                      <c:formatCode>General</c:formatCode>
                      <c:ptCount val="20"/>
                      <c:pt idx="0">
                        <c:v>73000</c:v>
                      </c:pt>
                      <c:pt idx="1">
                        <c:v>31270</c:v>
                      </c:pt>
                      <c:pt idx="2">
                        <c:v>10000</c:v>
                      </c:pt>
                      <c:pt idx="3">
                        <c:v>9200</c:v>
                      </c:pt>
                      <c:pt idx="4">
                        <c:v>7200</c:v>
                      </c:pt>
                      <c:pt idx="5">
                        <c:v>7000</c:v>
                      </c:pt>
                      <c:pt idx="6">
                        <c:v>6587</c:v>
                      </c:pt>
                      <c:pt idx="7">
                        <c:v>6154</c:v>
                      </c:pt>
                      <c:pt idx="8">
                        <c:v>5490</c:v>
                      </c:pt>
                      <c:pt idx="9">
                        <c:v>4494</c:v>
                      </c:pt>
                      <c:pt idx="10">
                        <c:v>4000</c:v>
                      </c:pt>
                      <c:pt idx="11">
                        <c:v>3981</c:v>
                      </c:pt>
                      <c:pt idx="12">
                        <c:v>3800</c:v>
                      </c:pt>
                      <c:pt idx="13">
                        <c:v>3600</c:v>
                      </c:pt>
                      <c:pt idx="14">
                        <c:v>3340</c:v>
                      </c:pt>
                      <c:pt idx="15">
                        <c:v>3000</c:v>
                      </c:pt>
                      <c:pt idx="16">
                        <c:v>2990</c:v>
                      </c:pt>
                      <c:pt idx="17">
                        <c:v>2900</c:v>
                      </c:pt>
                      <c:pt idx="18">
                        <c:v>2823</c:v>
                      </c:pt>
                      <c:pt idx="19">
                        <c:v>2600</c:v>
                      </c:pt>
                    </c:numCache>
                  </c:numRef>
                </c:val>
                <c:extLst xmlns:c15="http://schemas.microsoft.com/office/drawing/2012/chart">
                  <c:ext xmlns:c16="http://schemas.microsoft.com/office/drawing/2014/chart" uri="{C3380CC4-5D6E-409C-BE32-E72D297353CC}">
                    <c16:uniqueId val="{00000002-7AE2-4F30-BB45-809916744752}"/>
                  </c:ext>
                </c:extLst>
              </c15:ser>
            </c15:filteredBarSeries>
            <c15:filteredBarSeries>
              <c15:ser>
                <c:idx val="4"/>
                <c:order val="4"/>
                <c:tx>
                  <c:strRef>
                    <c:extLst>
                      <c:ext xmlns:c15="http://schemas.microsoft.com/office/drawing/2012/chart" uri="{02D57815-91ED-43cb-92C2-25804820EDAC}">
                        <c15:formulaRef>
                          <c15:sqref>'Analysis &amp; Diagnostics'!$N$236</c15:sqref>
                        </c15:formulaRef>
                      </c:ext>
                    </c:extLst>
                    <c:strCache>
                      <c:ptCount val="1"/>
                      <c:pt idx="0">
                        <c:v>Rank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Diagnostics'!$N$237:$N$256</c15:sqref>
                        </c15:formulaRef>
                      </c:ext>
                    </c:extLst>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val>
                <c:extLst xmlns:c15="http://schemas.microsoft.com/office/drawing/2012/chart">
                  <c:ext xmlns:c16="http://schemas.microsoft.com/office/drawing/2014/chart" uri="{C3380CC4-5D6E-409C-BE32-E72D297353CC}">
                    <c16:uniqueId val="{00000004-7AE2-4F30-BB45-809916744752}"/>
                  </c:ext>
                </c:extLst>
              </c15:ser>
            </c15:filteredBarSeries>
            <c15:filteredBarSeries>
              <c15:ser>
                <c:idx val="5"/>
                <c:order val="5"/>
                <c:tx>
                  <c:strRef>
                    <c:extLst>
                      <c:ext xmlns:c15="http://schemas.microsoft.com/office/drawing/2012/chart" uri="{02D57815-91ED-43cb-92C2-25804820EDAC}">
                        <c15:formulaRef>
                          <c15:sqref>'Analysis &amp; Diagnostics'!$O$236</c15:sqref>
                        </c15:formulaRef>
                      </c:ext>
                    </c:extLst>
                    <c:strCache>
                      <c:ptCount val="1"/>
                      <c:pt idx="0">
                        <c:v>G-cash Percentage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Diagnostics'!$O$237:$O$256</c15:sqref>
                        </c15:formulaRef>
                      </c:ext>
                    </c:extLst>
                    <c:numCache>
                      <c:formatCode>General</c:formatCode>
                      <c:ptCount val="20"/>
                      <c:pt idx="0">
                        <c:v>0</c:v>
                      </c:pt>
                      <c:pt idx="1">
                        <c:v>0</c:v>
                      </c:pt>
                      <c:pt idx="2">
                        <c:v>0</c:v>
                      </c:pt>
                      <c:pt idx="3">
                        <c:v>0</c:v>
                      </c:pt>
                      <c:pt idx="4">
                        <c:v>2.08</c:v>
                      </c:pt>
                      <c:pt idx="5">
                        <c:v>0</c:v>
                      </c:pt>
                      <c:pt idx="6">
                        <c:v>0</c:v>
                      </c:pt>
                      <c:pt idx="7">
                        <c:v>100</c:v>
                      </c:pt>
                      <c:pt idx="8">
                        <c:v>0</c:v>
                      </c:pt>
                      <c:pt idx="9">
                        <c:v>100</c:v>
                      </c:pt>
                      <c:pt idx="10">
                        <c:v>0</c:v>
                      </c:pt>
                      <c:pt idx="11">
                        <c:v>100</c:v>
                      </c:pt>
                      <c:pt idx="12">
                        <c:v>0</c:v>
                      </c:pt>
                      <c:pt idx="13">
                        <c:v>0</c:v>
                      </c:pt>
                      <c:pt idx="14">
                        <c:v>0</c:v>
                      </c:pt>
                      <c:pt idx="15">
                        <c:v>0</c:v>
                      </c:pt>
                      <c:pt idx="16">
                        <c:v>0</c:v>
                      </c:pt>
                      <c:pt idx="17">
                        <c:v>0</c:v>
                      </c:pt>
                      <c:pt idx="18">
                        <c:v>100</c:v>
                      </c:pt>
                      <c:pt idx="19">
                        <c:v>0</c:v>
                      </c:pt>
                    </c:numCache>
                  </c:numRef>
                </c:val>
                <c:extLst xmlns:c15="http://schemas.microsoft.com/office/drawing/2012/chart">
                  <c:ext xmlns:c16="http://schemas.microsoft.com/office/drawing/2014/chart" uri="{C3380CC4-5D6E-409C-BE32-E72D297353CC}">
                    <c16:uniqueId val="{00000005-7AE2-4F30-BB45-809916744752}"/>
                  </c:ext>
                </c:extLst>
              </c15:ser>
            </c15:filteredBarSeries>
            <c15:filteredBarSeries>
              <c15:ser>
                <c:idx val="6"/>
                <c:order val="6"/>
                <c:tx>
                  <c:strRef>
                    <c:extLst>
                      <c:ext xmlns:c15="http://schemas.microsoft.com/office/drawing/2012/chart" uri="{02D57815-91ED-43cb-92C2-25804820EDAC}">
                        <c15:formulaRef>
                          <c15:sqref>'Analysis &amp; Diagnostics'!$P$236</c15:sqref>
                        </c15:formulaRef>
                      </c:ext>
                    </c:extLst>
                    <c:strCache>
                      <c:ptCount val="1"/>
                      <c:pt idx="0">
                        <c:v>Total Percentage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 &amp; Diagnostics'!$I$237:$I$256</c15:sqref>
                        </c15:formulaRef>
                      </c:ext>
                    </c:extLst>
                    <c:strCache>
                      <c:ptCount val="20"/>
                      <c:pt idx="0">
                        <c:v>balay</c:v>
                      </c:pt>
                      <c:pt idx="1">
                        <c:v>Gasolina</c:v>
                      </c:pt>
                      <c:pt idx="2">
                        <c:v>letson</c:v>
                      </c:pt>
                      <c:pt idx="3">
                        <c:v>Ebo Sweldo</c:v>
                      </c:pt>
                      <c:pt idx="4">
                        <c:v>sheena-related</c:v>
                      </c:pt>
                      <c:pt idx="5">
                        <c:v>ref (hulog)</c:v>
                      </c:pt>
                      <c:pt idx="6">
                        <c:v>Pamasahe</c:v>
                      </c:pt>
                      <c:pt idx="7">
                        <c:v>Supa</c:v>
                      </c:pt>
                      <c:pt idx="8">
                        <c:v>monitor</c:v>
                      </c:pt>
                      <c:pt idx="9">
                        <c:v>wifi load (magic data)</c:v>
                      </c:pt>
                      <c:pt idx="10">
                        <c:v>handa (birthday)</c:v>
                      </c:pt>
                      <c:pt idx="11">
                        <c:v>wifi load (family access)</c:v>
                      </c:pt>
                      <c:pt idx="12">
                        <c:v>Kape</c:v>
                      </c:pt>
                      <c:pt idx="13">
                        <c:v>battery </c:v>
                      </c:pt>
                      <c:pt idx="14">
                        <c:v>aragmot</c:v>
                      </c:pt>
                      <c:pt idx="15">
                        <c:v>hatag kanda mama</c:v>
                      </c:pt>
                      <c:pt idx="16">
                        <c:v>irimnon</c:v>
                      </c:pt>
                      <c:pt idx="17">
                        <c:v>SSD</c:v>
                      </c:pt>
                      <c:pt idx="18">
                        <c:v>Spotify</c:v>
                      </c:pt>
                      <c:pt idx="19">
                        <c:v>laptop keyboard</c:v>
                      </c:pt>
                    </c:strCache>
                  </c:strRef>
                </c:cat>
                <c:val>
                  <c:numRef>
                    <c:extLst>
                      <c:ext xmlns:c15="http://schemas.microsoft.com/office/drawing/2012/chart" uri="{02D57815-91ED-43cb-92C2-25804820EDAC}">
                        <c15:formulaRef>
                          <c15:sqref>'Analysis &amp; Diagnostics'!$P$237:$P$256</c15:sqref>
                        </c15:formulaRef>
                      </c:ext>
                    </c:extLst>
                    <c:numCache>
                      <c:formatCode>General</c:formatCode>
                      <c:ptCount val="20"/>
                      <c:pt idx="0">
                        <c:v>28.42</c:v>
                      </c:pt>
                      <c:pt idx="1">
                        <c:v>12.17</c:v>
                      </c:pt>
                      <c:pt idx="2">
                        <c:v>3.89</c:v>
                      </c:pt>
                      <c:pt idx="3">
                        <c:v>3.58</c:v>
                      </c:pt>
                      <c:pt idx="4">
                        <c:v>2.8</c:v>
                      </c:pt>
                      <c:pt idx="5">
                        <c:v>2.73</c:v>
                      </c:pt>
                      <c:pt idx="6">
                        <c:v>2.56</c:v>
                      </c:pt>
                      <c:pt idx="7">
                        <c:v>2.4</c:v>
                      </c:pt>
                      <c:pt idx="8">
                        <c:v>2.14</c:v>
                      </c:pt>
                      <c:pt idx="9">
                        <c:v>1.75</c:v>
                      </c:pt>
                      <c:pt idx="10">
                        <c:v>1.56</c:v>
                      </c:pt>
                      <c:pt idx="11">
                        <c:v>1.55</c:v>
                      </c:pt>
                      <c:pt idx="12">
                        <c:v>1.48</c:v>
                      </c:pt>
                      <c:pt idx="13">
                        <c:v>1.4</c:v>
                      </c:pt>
                      <c:pt idx="14">
                        <c:v>1.3</c:v>
                      </c:pt>
                      <c:pt idx="15">
                        <c:v>1.17</c:v>
                      </c:pt>
                      <c:pt idx="16">
                        <c:v>1.1599999999999999</c:v>
                      </c:pt>
                      <c:pt idx="17">
                        <c:v>1.1299999999999999</c:v>
                      </c:pt>
                      <c:pt idx="18">
                        <c:v>1.1000000000000001</c:v>
                      </c:pt>
                      <c:pt idx="19">
                        <c:v>1.01</c:v>
                      </c:pt>
                    </c:numCache>
                  </c:numRef>
                </c:val>
                <c:extLst xmlns:c15="http://schemas.microsoft.com/office/drawing/2012/chart">
                  <c:ext xmlns:c16="http://schemas.microsoft.com/office/drawing/2014/chart" uri="{C3380CC4-5D6E-409C-BE32-E72D297353CC}">
                    <c16:uniqueId val="{00000006-7AE2-4F30-BB45-809916744752}"/>
                  </c:ext>
                </c:extLst>
              </c15:ser>
            </c15:filteredBarSeries>
          </c:ext>
        </c:extLst>
      </c:barChart>
      <c:catAx>
        <c:axId val="1143035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Details</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29727"/>
        <c:crosses val="autoZero"/>
        <c:auto val="1"/>
        <c:lblAlgn val="ctr"/>
        <c:lblOffset val="100"/>
        <c:noMultiLvlLbl val="0"/>
      </c:catAx>
      <c:valAx>
        <c:axId val="1143029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3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Monthly "Supa"</a:t>
            </a:r>
            <a:r>
              <a:rPr lang="en-PH" b="1" baseline="0"/>
              <a:t> Expenses Trend</a:t>
            </a:r>
            <a:endParaRPr lang="en-PH" b="1"/>
          </a:p>
          <a:p>
            <a:pPr>
              <a:defRPr/>
            </a:pPr>
            <a:r>
              <a:rPr lang="en-PH"/>
              <a:t>(3-month Average</a:t>
            </a:r>
            <a:r>
              <a:rPr lang="en-PH" baseline="0"/>
              <a:t> Smoothing)</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&amp; Diagnostics'!$J$417</c:f>
              <c:strCache>
                <c:ptCount val="1"/>
                <c:pt idx="0">
                  <c:v>Expenses2</c:v>
                </c:pt>
              </c:strCache>
            </c:strRef>
          </c:tx>
          <c:spPr>
            <a:ln w="28575" cap="rnd">
              <a:solidFill>
                <a:schemeClr val="bg1">
                  <a:lumMod val="75000"/>
                </a:schemeClr>
              </a:solidFill>
              <a:round/>
            </a:ln>
            <a:effectLst/>
          </c:spPr>
          <c:marker>
            <c:symbol val="circle"/>
            <c:size val="5"/>
            <c:spPr>
              <a:solidFill>
                <a:schemeClr val="bg1">
                  <a:lumMod val="75000"/>
                </a:schemeClr>
              </a:solidFill>
              <a:ln w="9525">
                <a:solidFill>
                  <a:schemeClr val="bg1">
                    <a:lumMod val="75000"/>
                  </a:schemeClr>
                </a:solidFill>
              </a:ln>
              <a:effectLst/>
            </c:spPr>
          </c:marker>
          <c:dLbls>
            <c:delete val="1"/>
          </c:dLbls>
          <c:cat>
            <c:numRef>
              <c:f>'Analysis &amp; Diagnostics'!$I$418:$I$427</c:f>
              <c:numCache>
                <c:formatCode>mmm\-yy</c:formatCode>
                <c:ptCount val="10"/>
                <c:pt idx="0">
                  <c:v>45292</c:v>
                </c:pt>
                <c:pt idx="1">
                  <c:v>45323</c:v>
                </c:pt>
                <c:pt idx="2">
                  <c:v>45352</c:v>
                </c:pt>
                <c:pt idx="3">
                  <c:v>45383</c:v>
                </c:pt>
                <c:pt idx="4">
                  <c:v>45413</c:v>
                </c:pt>
                <c:pt idx="5">
                  <c:v>45444</c:v>
                </c:pt>
                <c:pt idx="6">
                  <c:v>45474</c:v>
                </c:pt>
                <c:pt idx="7">
                  <c:v>45505</c:v>
                </c:pt>
                <c:pt idx="8">
                  <c:v>45536</c:v>
                </c:pt>
                <c:pt idx="9">
                  <c:v>45566</c:v>
                </c:pt>
              </c:numCache>
            </c:numRef>
          </c:cat>
          <c:val>
            <c:numRef>
              <c:f>'Analysis &amp; Diagnostics'!$J$418:$J$427</c:f>
              <c:numCache>
                <c:formatCode>General</c:formatCode>
                <c:ptCount val="10"/>
                <c:pt idx="0">
                  <c:v>1275</c:v>
                </c:pt>
                <c:pt idx="1">
                  <c:v>354</c:v>
                </c:pt>
                <c:pt idx="2">
                  <c:v>300</c:v>
                </c:pt>
                <c:pt idx="3">
                  <c:v>300</c:v>
                </c:pt>
                <c:pt idx="4">
                  <c:v>525</c:v>
                </c:pt>
                <c:pt idx="5">
                  <c:v>1125</c:v>
                </c:pt>
                <c:pt idx="6">
                  <c:v>475</c:v>
                </c:pt>
                <c:pt idx="7">
                  <c:v>125</c:v>
                </c:pt>
                <c:pt idx="8">
                  <c:v>325</c:v>
                </c:pt>
                <c:pt idx="9">
                  <c:v>700</c:v>
                </c:pt>
              </c:numCache>
            </c:numRef>
          </c:val>
          <c:smooth val="0"/>
          <c:extLst>
            <c:ext xmlns:c16="http://schemas.microsoft.com/office/drawing/2014/chart" uri="{C3380CC4-5D6E-409C-BE32-E72D297353CC}">
              <c16:uniqueId val="{00000000-13E5-47EE-A338-7315DF83308D}"/>
            </c:ext>
          </c:extLst>
        </c:ser>
        <c:ser>
          <c:idx val="1"/>
          <c:order val="1"/>
          <c:tx>
            <c:strRef>
              <c:f>'Analysis &amp; Diagnostics'!$K$417</c:f>
              <c:strCache>
                <c:ptCount val="1"/>
                <c:pt idx="0">
                  <c:v>3-month Average2</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dLbls>
            <c:dLbl>
              <c:idx val="0"/>
              <c:layout>
                <c:manualLayout>
                  <c:x val="-5.1431623931623933E-2"/>
                  <c:y val="7.64235199766695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3E5-47EE-A338-7315DF83308D}"/>
                </c:ext>
              </c:extLst>
            </c:dLbl>
            <c:dLbl>
              <c:idx val="1"/>
              <c:layout>
                <c:manualLayout>
                  <c:x val="-2.7927350427350468E-2"/>
                  <c:y val="-5.783573928258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3E5-47EE-A338-7315DF83308D}"/>
                </c:ext>
              </c:extLst>
            </c:dLbl>
            <c:dLbl>
              <c:idx val="2"/>
              <c:layout>
                <c:manualLayout>
                  <c:x val="-7.1367521367521761E-3"/>
                  <c:y val="-5.783573928258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3E5-47EE-A338-7315DF83308D}"/>
                </c:ext>
              </c:extLst>
            </c:dLbl>
            <c:dLbl>
              <c:idx val="3"/>
              <c:layout>
                <c:manualLayout>
                  <c:x val="-4.1324786324786249E-2"/>
                  <c:y val="6.7164260717410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3E5-47EE-A338-7315DF83308D}"/>
                </c:ext>
              </c:extLst>
            </c:dLbl>
            <c:dLbl>
              <c:idx val="4"/>
              <c:layout>
                <c:manualLayout>
                  <c:x val="-2.4230769230769229E-2"/>
                  <c:y val="6.2534631087780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3E5-47EE-A338-7315DF83308D}"/>
                </c:ext>
              </c:extLst>
            </c:dLbl>
            <c:dLbl>
              <c:idx val="5"/>
              <c:layout>
                <c:manualLayout>
                  <c:x val="-3.0641025641025641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3E5-47EE-A338-7315DF83308D}"/>
                </c:ext>
              </c:extLst>
            </c:dLbl>
            <c:dLbl>
              <c:idx val="8"/>
              <c:layout>
                <c:manualLayout>
                  <c:x val="-4.0747863247863246E-2"/>
                  <c:y val="6.8537489726085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3E5-47EE-A338-7315DF83308D}"/>
                </c:ext>
              </c:extLst>
            </c:dLbl>
            <c:dLbl>
              <c:idx val="9"/>
              <c:layout>
                <c:manualLayout>
                  <c:x val="-2.6853253920183211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3E5-47EE-A338-7315DF8330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numRef>
              <c:f>'Analysis &amp; Diagnostics'!$I$418:$I$427</c:f>
              <c:numCache>
                <c:formatCode>mmm\-yy</c:formatCode>
                <c:ptCount val="10"/>
                <c:pt idx="0">
                  <c:v>45292</c:v>
                </c:pt>
                <c:pt idx="1">
                  <c:v>45323</c:v>
                </c:pt>
                <c:pt idx="2">
                  <c:v>45352</c:v>
                </c:pt>
                <c:pt idx="3">
                  <c:v>45383</c:v>
                </c:pt>
                <c:pt idx="4">
                  <c:v>45413</c:v>
                </c:pt>
                <c:pt idx="5">
                  <c:v>45444</c:v>
                </c:pt>
                <c:pt idx="6">
                  <c:v>45474</c:v>
                </c:pt>
                <c:pt idx="7">
                  <c:v>45505</c:v>
                </c:pt>
                <c:pt idx="8">
                  <c:v>45536</c:v>
                </c:pt>
                <c:pt idx="9">
                  <c:v>45566</c:v>
                </c:pt>
              </c:numCache>
            </c:numRef>
          </c:cat>
          <c:val>
            <c:numRef>
              <c:f>'Analysis &amp; Diagnostics'!$K$418:$K$427</c:f>
              <c:numCache>
                <c:formatCode>General</c:formatCode>
                <c:ptCount val="10"/>
                <c:pt idx="0">
                  <c:v>641.66999999999996</c:v>
                </c:pt>
                <c:pt idx="1">
                  <c:v>626.33000000000004</c:v>
                </c:pt>
                <c:pt idx="2">
                  <c:v>643</c:v>
                </c:pt>
                <c:pt idx="3">
                  <c:v>318</c:v>
                </c:pt>
                <c:pt idx="4">
                  <c:v>375</c:v>
                </c:pt>
                <c:pt idx="5">
                  <c:v>650</c:v>
                </c:pt>
                <c:pt idx="6">
                  <c:v>708.33</c:v>
                </c:pt>
                <c:pt idx="7">
                  <c:v>575</c:v>
                </c:pt>
                <c:pt idx="8">
                  <c:v>308.33</c:v>
                </c:pt>
                <c:pt idx="9">
                  <c:v>383.33</c:v>
                </c:pt>
              </c:numCache>
            </c:numRef>
          </c:val>
          <c:smooth val="0"/>
          <c:extLst>
            <c:ext xmlns:c16="http://schemas.microsoft.com/office/drawing/2014/chart" uri="{C3380CC4-5D6E-409C-BE32-E72D297353CC}">
              <c16:uniqueId val="{00000001-13E5-47EE-A338-7315DF83308D}"/>
            </c:ext>
          </c:extLst>
        </c:ser>
        <c:dLbls>
          <c:dLblPos val="t"/>
          <c:showLegendKey val="0"/>
          <c:showVal val="1"/>
          <c:showCatName val="0"/>
          <c:showSerName val="0"/>
          <c:showPercent val="0"/>
          <c:showBubbleSize val="0"/>
        </c:dLbls>
        <c:marker val="1"/>
        <c:smooth val="0"/>
        <c:axId val="1813567727"/>
        <c:axId val="1813574927"/>
      </c:lineChart>
      <c:dateAx>
        <c:axId val="1813567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 (month-year)</a:t>
                </a:r>
              </a:p>
            </c:rich>
          </c:tx>
          <c:layout>
            <c:manualLayout>
              <c:xMode val="edge"/>
              <c:yMode val="edge"/>
              <c:x val="0.43366898849182312"/>
              <c:y val="0.795925196850393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74927"/>
        <c:crosses val="autoZero"/>
        <c:auto val="1"/>
        <c:lblOffset val="100"/>
        <c:baseTimeUnit val="months"/>
      </c:dateAx>
      <c:valAx>
        <c:axId val="1813574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67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 Count of Each "Supa" Type</a:t>
            </a:r>
          </a:p>
        </c:rich>
      </c:tx>
      <c:layout>
        <c:manualLayout>
          <c:xMode val="edge"/>
          <c:yMode val="edge"/>
          <c:x val="0.2756761895147721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'Analysis &amp; Diagnostics'!$L$444</c:f>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&amp; Diagnostics'!$K$445:$K$448</c:f>
              <c:numCache>
                <c:formatCode>"₱"#,##0.00</c:formatCode>
                <c:ptCount val="4"/>
                <c:pt idx="0">
                  <c:v>25</c:v>
                </c:pt>
                <c:pt idx="1">
                  <c:v>50</c:v>
                </c:pt>
                <c:pt idx="2">
                  <c:v>125</c:v>
                </c:pt>
                <c:pt idx="3">
                  <c:v>129</c:v>
                </c:pt>
              </c:numCache>
            </c:numRef>
          </c:cat>
          <c:val>
            <c:numRef>
              <c:f>'Analysis &amp; Diagnostics'!$L$445:$L$448</c:f>
              <c:numCache>
                <c:formatCode>General</c:formatCode>
                <c:ptCount val="4"/>
                <c:pt idx="0">
                  <c:v>6</c:v>
                </c:pt>
                <c:pt idx="1">
                  <c:v>20</c:v>
                </c:pt>
                <c:pt idx="2">
                  <c:v>39</c:v>
                </c:pt>
                <c:pt idx="3">
                  <c:v>1</c:v>
                </c:pt>
              </c:numCache>
            </c:numRef>
          </c:val>
          <c:extLst>
            <c:ext xmlns:c16="http://schemas.microsoft.com/office/drawing/2014/chart" uri="{C3380CC4-5D6E-409C-BE32-E72D297353CC}">
              <c16:uniqueId val="{00000001-8200-4521-914A-AB80F8C08C20}"/>
            </c:ext>
          </c:extLst>
        </c:ser>
        <c:dLbls>
          <c:dLblPos val="outEnd"/>
          <c:showLegendKey val="0"/>
          <c:showVal val="1"/>
          <c:showCatName val="0"/>
          <c:showSerName val="0"/>
          <c:showPercent val="0"/>
          <c:showBubbleSize val="0"/>
        </c:dLbls>
        <c:gapWidth val="219"/>
        <c:overlap val="-27"/>
        <c:axId val="988318271"/>
        <c:axId val="988322591"/>
        <c:extLst>
          <c:ext xmlns:c15="http://schemas.microsoft.com/office/drawing/2012/chart" uri="{02D57815-91ED-43cb-92C2-25804820EDAC}">
            <c15:filteredBarSeries>
              <c15:ser>
                <c:idx val="0"/>
                <c:order val="0"/>
                <c:tx>
                  <c:strRef>
                    <c:extLst>
                      <c:ext uri="{02D57815-91ED-43cb-92C2-25804820EDAC}">
                        <c15:formulaRef>
                          <c15:sqref>'Analysis &amp; Diagnostics'!$K$444</c15:sqref>
                        </c15:formulaRef>
                      </c:ext>
                    </c:extLst>
                    <c:strCache>
                      <c:ptCount val="1"/>
                      <c:pt idx="0">
                        <c:v>Supa type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 &amp; Diagnostics'!$K$445:$K$448</c15:sqref>
                        </c15:formulaRef>
                      </c:ext>
                    </c:extLst>
                    <c:numCache>
                      <c:formatCode>"₱"#,##0.00</c:formatCode>
                      <c:ptCount val="4"/>
                      <c:pt idx="0">
                        <c:v>25</c:v>
                      </c:pt>
                      <c:pt idx="1">
                        <c:v>50</c:v>
                      </c:pt>
                      <c:pt idx="2">
                        <c:v>125</c:v>
                      </c:pt>
                      <c:pt idx="3">
                        <c:v>129</c:v>
                      </c:pt>
                    </c:numCache>
                  </c:numRef>
                </c:cat>
                <c:val>
                  <c:numRef>
                    <c:extLst>
                      <c:ext uri="{02D57815-91ED-43cb-92C2-25804820EDAC}">
                        <c15:formulaRef>
                          <c15:sqref>'Analysis &amp; Diagnostics'!$K$445:$K$448</c15:sqref>
                        </c15:formulaRef>
                      </c:ext>
                    </c:extLst>
                    <c:numCache>
                      <c:formatCode>"₱"#,##0.00</c:formatCode>
                      <c:ptCount val="4"/>
                      <c:pt idx="0">
                        <c:v>25</c:v>
                      </c:pt>
                      <c:pt idx="1">
                        <c:v>50</c:v>
                      </c:pt>
                      <c:pt idx="2">
                        <c:v>125</c:v>
                      </c:pt>
                      <c:pt idx="3">
                        <c:v>129</c:v>
                      </c:pt>
                    </c:numCache>
                  </c:numRef>
                </c:val>
                <c:extLst>
                  <c:ext xmlns:c16="http://schemas.microsoft.com/office/drawing/2014/chart" uri="{C3380CC4-5D6E-409C-BE32-E72D297353CC}">
                    <c16:uniqueId val="{00000000-8200-4521-914A-AB80F8C08C20}"/>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'Analysis &amp; Diagnostics'!$M$444</c15:sqref>
                        </c15:formulaRef>
                      </c:ext>
                    </c:extLst>
                    <c:strCache>
                      <c:ptCount val="1"/>
                      <c:pt idx="0">
                        <c:v>Sum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'Analysis &amp; Diagnostics'!$K$445:$K$448</c15:sqref>
                        </c15:formulaRef>
                      </c:ext>
                    </c:extLst>
                    <c:numCache>
                      <c:formatCode>"₱"#,##0.00</c:formatCode>
                      <c:ptCount val="4"/>
                      <c:pt idx="0">
                        <c:v>25</c:v>
                      </c:pt>
                      <c:pt idx="1">
                        <c:v>50</c:v>
                      </c:pt>
                      <c:pt idx="2">
                        <c:v>125</c:v>
                      </c:pt>
                      <c:pt idx="3">
                        <c:v>129</c:v>
                      </c:pt>
                    </c:numCache>
                  </c:numRef>
                </c:cat>
                <c:val>
                  <c:numRef>
                    <c:extLst xmlns:c15="http://schemas.microsoft.com/office/drawing/2012/chart">
                      <c:ext xmlns:c15="http://schemas.microsoft.com/office/drawing/2012/chart" uri="{02D57815-91ED-43cb-92C2-25804820EDAC}">
                        <c15:formulaRef>
                          <c15:sqref>'Analysis &amp; Diagnostics'!$M$445:$M$448</c15:sqref>
                        </c15:formulaRef>
                      </c:ext>
                    </c:extLst>
                    <c:numCache>
                      <c:formatCode>General</c:formatCode>
                      <c:ptCount val="4"/>
                      <c:pt idx="0">
                        <c:v>150</c:v>
                      </c:pt>
                      <c:pt idx="1">
                        <c:v>1000</c:v>
                      </c:pt>
                      <c:pt idx="2">
                        <c:v>4875</c:v>
                      </c:pt>
                      <c:pt idx="3">
                        <c:v>129</c:v>
                      </c:pt>
                    </c:numCache>
                  </c:numRef>
                </c:val>
                <c:extLst xmlns:c15="http://schemas.microsoft.com/office/drawing/2012/chart">
                  <c:ext xmlns:c16="http://schemas.microsoft.com/office/drawing/2014/chart" uri="{C3380CC4-5D6E-409C-BE32-E72D297353CC}">
                    <c16:uniqueId val="{00000002-8200-4521-914A-AB80F8C08C20}"/>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'Analysis &amp; Diagnostics'!$N$444</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'Analysis &amp; Diagnostics'!$K$445:$K$448</c15:sqref>
                        </c15:formulaRef>
                      </c:ext>
                    </c:extLst>
                    <c:numCache>
                      <c:formatCode>"₱"#,##0.00</c:formatCode>
                      <c:ptCount val="4"/>
                      <c:pt idx="0">
                        <c:v>25</c:v>
                      </c:pt>
                      <c:pt idx="1">
                        <c:v>50</c:v>
                      </c:pt>
                      <c:pt idx="2">
                        <c:v>125</c:v>
                      </c:pt>
                      <c:pt idx="3">
                        <c:v>129</c:v>
                      </c:pt>
                    </c:numCache>
                  </c:numRef>
                </c:cat>
                <c:val>
                  <c:numRef>
                    <c:extLst xmlns:c15="http://schemas.microsoft.com/office/drawing/2012/chart">
                      <c:ext xmlns:c15="http://schemas.microsoft.com/office/drawing/2012/chart" uri="{02D57815-91ED-43cb-92C2-25804820EDAC}">
                        <c15:formulaRef>
                          <c15:sqref>'Analysis &amp; Diagnostics'!$N$445:$N$448</c15:sqref>
                        </c15:formulaRef>
                      </c:ext>
                    </c:extLst>
                    <c:numCache>
                      <c:formatCode>General</c:formatCode>
                      <c:ptCount val="4"/>
                      <c:pt idx="0">
                        <c:v>2.44</c:v>
                      </c:pt>
                      <c:pt idx="1">
                        <c:v>16.25</c:v>
                      </c:pt>
                      <c:pt idx="2">
                        <c:v>79.22</c:v>
                      </c:pt>
                      <c:pt idx="3">
                        <c:v>2.1</c:v>
                      </c:pt>
                    </c:numCache>
                  </c:numRef>
                </c:val>
                <c:extLst xmlns:c15="http://schemas.microsoft.com/office/drawing/2012/chart">
                  <c:ext xmlns:c16="http://schemas.microsoft.com/office/drawing/2014/chart" uri="{C3380CC4-5D6E-409C-BE32-E72D297353CC}">
                    <c16:uniqueId val="{00000003-8200-4521-914A-AB80F8C08C20}"/>
                  </c:ext>
                </c:extLst>
              </c15:ser>
            </c15:filteredBarSeries>
          </c:ext>
        </c:extLst>
      </c:barChart>
      <c:catAx>
        <c:axId val="988318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"Supa"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322591"/>
        <c:crosses val="autoZero"/>
        <c:auto val="1"/>
        <c:lblAlgn val="ctr"/>
        <c:lblOffset val="100"/>
        <c:noMultiLvlLbl val="0"/>
      </c:catAx>
      <c:valAx>
        <c:axId val="988322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Count</a:t>
                </a:r>
              </a:p>
            </c:rich>
          </c:tx>
          <c:layout>
            <c:manualLayout>
              <c:xMode val="edge"/>
              <c:yMode val="edge"/>
              <c:x val="2.3504273504273504E-2"/>
              <c:y val="0.37557086614173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31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Expenses </a:t>
            </a:r>
            <a:r>
              <a:rPr lang="en-US" b="1"/>
              <a:t>of Each "Supa" Type</a:t>
            </a:r>
          </a:p>
        </c:rich>
      </c:tx>
      <c:layout>
        <c:manualLayout>
          <c:xMode val="edge"/>
          <c:yMode val="edge"/>
          <c:x val="0.3055907194293021"/>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'Analysis &amp; Diagnostics'!$M$444</c:f>
              <c:strCache>
                <c:ptCount val="1"/>
                <c:pt idx="0">
                  <c:v>Sum</c:v>
                </c:pt>
              </c:strCache>
              <c:extLst xmlns:c15="http://schemas.microsoft.com/office/drawing/2012/chart"/>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&amp; Diagnostics'!$K$445:$K$448</c:f>
              <c:numCache>
                <c:formatCode>"₱"#,##0.00</c:formatCode>
                <c:ptCount val="4"/>
                <c:pt idx="0">
                  <c:v>25</c:v>
                </c:pt>
                <c:pt idx="1">
                  <c:v>50</c:v>
                </c:pt>
                <c:pt idx="2">
                  <c:v>125</c:v>
                </c:pt>
                <c:pt idx="3">
                  <c:v>129</c:v>
                </c:pt>
              </c:numCache>
              <c:extLst xmlns:c15="http://schemas.microsoft.com/office/drawing/2012/chart"/>
            </c:numRef>
          </c:cat>
          <c:val>
            <c:numRef>
              <c:f>'Analysis &amp; Diagnostics'!$M$445:$M$448</c:f>
              <c:numCache>
                <c:formatCode>General</c:formatCode>
                <c:ptCount val="4"/>
                <c:pt idx="0">
                  <c:v>150</c:v>
                </c:pt>
                <c:pt idx="1">
                  <c:v>1000</c:v>
                </c:pt>
                <c:pt idx="2">
                  <c:v>4875</c:v>
                </c:pt>
                <c:pt idx="3">
                  <c:v>129</c:v>
                </c:pt>
              </c:numCache>
              <c:extLst xmlns:c15="http://schemas.microsoft.com/office/drawing/2012/chart"/>
            </c:numRef>
          </c:val>
          <c:extLst xmlns:c15="http://schemas.microsoft.com/office/drawing/2012/chart">
            <c:ext xmlns:c16="http://schemas.microsoft.com/office/drawing/2014/chart" uri="{C3380CC4-5D6E-409C-BE32-E72D297353CC}">
              <c16:uniqueId val="{00000002-8200-4521-914A-AB80F8C08C20}"/>
            </c:ext>
          </c:extLst>
        </c:ser>
        <c:dLbls>
          <c:dLblPos val="outEnd"/>
          <c:showLegendKey val="0"/>
          <c:showVal val="1"/>
          <c:showCatName val="0"/>
          <c:showSerName val="0"/>
          <c:showPercent val="0"/>
          <c:showBubbleSize val="0"/>
        </c:dLbls>
        <c:gapWidth val="219"/>
        <c:overlap val="-27"/>
        <c:axId val="988318271"/>
        <c:axId val="988322591"/>
        <c:extLst>
          <c:ext xmlns:c15="http://schemas.microsoft.com/office/drawing/2012/chart" uri="{02D57815-91ED-43cb-92C2-25804820EDAC}">
            <c15:filteredBarSeries>
              <c15:ser>
                <c:idx val="0"/>
                <c:order val="0"/>
                <c:tx>
                  <c:strRef>
                    <c:extLst>
                      <c:ext uri="{02D57815-91ED-43cb-92C2-25804820EDAC}">
                        <c15:formulaRef>
                          <c15:sqref>'Analysis &amp; Diagnostics'!$K$444</c15:sqref>
                        </c15:formulaRef>
                      </c:ext>
                    </c:extLst>
                    <c:strCache>
                      <c:ptCount val="1"/>
                      <c:pt idx="0">
                        <c:v>Supa type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 &amp; Diagnostics'!$K$445:$K$448</c15:sqref>
                        </c15:formulaRef>
                      </c:ext>
                    </c:extLst>
                    <c:numCache>
                      <c:formatCode>"₱"#,##0.00</c:formatCode>
                      <c:ptCount val="4"/>
                      <c:pt idx="0">
                        <c:v>25</c:v>
                      </c:pt>
                      <c:pt idx="1">
                        <c:v>50</c:v>
                      </c:pt>
                      <c:pt idx="2">
                        <c:v>125</c:v>
                      </c:pt>
                      <c:pt idx="3">
                        <c:v>129</c:v>
                      </c:pt>
                    </c:numCache>
                  </c:numRef>
                </c:cat>
                <c:val>
                  <c:numRef>
                    <c:extLst>
                      <c:ext uri="{02D57815-91ED-43cb-92C2-25804820EDAC}">
                        <c15:formulaRef>
                          <c15:sqref>'Analysis &amp; Diagnostics'!$K$445:$K$448</c15:sqref>
                        </c15:formulaRef>
                      </c:ext>
                    </c:extLst>
                    <c:numCache>
                      <c:formatCode>"₱"#,##0.00</c:formatCode>
                      <c:ptCount val="4"/>
                      <c:pt idx="0">
                        <c:v>25</c:v>
                      </c:pt>
                      <c:pt idx="1">
                        <c:v>50</c:v>
                      </c:pt>
                      <c:pt idx="2">
                        <c:v>125</c:v>
                      </c:pt>
                      <c:pt idx="3">
                        <c:v>129</c:v>
                      </c:pt>
                    </c:numCache>
                  </c:numRef>
                </c:val>
                <c:extLst>
                  <c:ext xmlns:c16="http://schemas.microsoft.com/office/drawing/2014/chart" uri="{C3380CC4-5D6E-409C-BE32-E72D297353CC}">
                    <c16:uniqueId val="{00000000-8200-4521-914A-AB80F8C08C20}"/>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'Analysis &amp; Diagnostics'!$L$444</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'Analysis &amp; Diagnostics'!$K$445:$K$448</c15:sqref>
                        </c15:formulaRef>
                      </c:ext>
                    </c:extLst>
                    <c:numCache>
                      <c:formatCode>"₱"#,##0.00</c:formatCode>
                      <c:ptCount val="4"/>
                      <c:pt idx="0">
                        <c:v>25</c:v>
                      </c:pt>
                      <c:pt idx="1">
                        <c:v>50</c:v>
                      </c:pt>
                      <c:pt idx="2">
                        <c:v>125</c:v>
                      </c:pt>
                      <c:pt idx="3">
                        <c:v>129</c:v>
                      </c:pt>
                    </c:numCache>
                  </c:numRef>
                </c:cat>
                <c:val>
                  <c:numRef>
                    <c:extLst xmlns:c15="http://schemas.microsoft.com/office/drawing/2012/chart">
                      <c:ext xmlns:c15="http://schemas.microsoft.com/office/drawing/2012/chart" uri="{02D57815-91ED-43cb-92C2-25804820EDAC}">
                        <c15:formulaRef>
                          <c15:sqref>'Analysis &amp; Diagnostics'!$L$445:$L$448</c15:sqref>
                        </c15:formulaRef>
                      </c:ext>
                    </c:extLst>
                    <c:numCache>
                      <c:formatCode>General</c:formatCode>
                      <c:ptCount val="4"/>
                      <c:pt idx="0">
                        <c:v>6</c:v>
                      </c:pt>
                      <c:pt idx="1">
                        <c:v>20</c:v>
                      </c:pt>
                      <c:pt idx="2">
                        <c:v>39</c:v>
                      </c:pt>
                      <c:pt idx="3">
                        <c:v>1</c:v>
                      </c:pt>
                    </c:numCache>
                  </c:numRef>
                </c:val>
                <c:extLst xmlns:c15="http://schemas.microsoft.com/office/drawing/2012/chart">
                  <c:ext xmlns:c16="http://schemas.microsoft.com/office/drawing/2014/chart" uri="{C3380CC4-5D6E-409C-BE32-E72D297353CC}">
                    <c16:uniqueId val="{00000001-8200-4521-914A-AB80F8C08C20}"/>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'Analysis &amp; Diagnostics'!$N$444</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'Analysis &amp; Diagnostics'!$K$445:$K$448</c15:sqref>
                        </c15:formulaRef>
                      </c:ext>
                    </c:extLst>
                    <c:numCache>
                      <c:formatCode>"₱"#,##0.00</c:formatCode>
                      <c:ptCount val="4"/>
                      <c:pt idx="0">
                        <c:v>25</c:v>
                      </c:pt>
                      <c:pt idx="1">
                        <c:v>50</c:v>
                      </c:pt>
                      <c:pt idx="2">
                        <c:v>125</c:v>
                      </c:pt>
                      <c:pt idx="3">
                        <c:v>129</c:v>
                      </c:pt>
                    </c:numCache>
                  </c:numRef>
                </c:cat>
                <c:val>
                  <c:numRef>
                    <c:extLst xmlns:c15="http://schemas.microsoft.com/office/drawing/2012/chart">
                      <c:ext xmlns:c15="http://schemas.microsoft.com/office/drawing/2012/chart" uri="{02D57815-91ED-43cb-92C2-25804820EDAC}">
                        <c15:formulaRef>
                          <c15:sqref>'Analysis &amp; Diagnostics'!$N$445:$N$448</c15:sqref>
                        </c15:formulaRef>
                      </c:ext>
                    </c:extLst>
                    <c:numCache>
                      <c:formatCode>General</c:formatCode>
                      <c:ptCount val="4"/>
                      <c:pt idx="0">
                        <c:v>2.44</c:v>
                      </c:pt>
                      <c:pt idx="1">
                        <c:v>16.25</c:v>
                      </c:pt>
                      <c:pt idx="2">
                        <c:v>79.22</c:v>
                      </c:pt>
                      <c:pt idx="3">
                        <c:v>2.1</c:v>
                      </c:pt>
                    </c:numCache>
                  </c:numRef>
                </c:val>
                <c:extLst xmlns:c15="http://schemas.microsoft.com/office/drawing/2012/chart">
                  <c:ext xmlns:c16="http://schemas.microsoft.com/office/drawing/2014/chart" uri="{C3380CC4-5D6E-409C-BE32-E72D297353CC}">
                    <c16:uniqueId val="{00000003-8200-4521-914A-AB80F8C08C20}"/>
                  </c:ext>
                </c:extLst>
              </c15:ser>
            </c15:filteredBarSeries>
          </c:ext>
        </c:extLst>
      </c:barChart>
      <c:catAx>
        <c:axId val="988318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"Supa" Type</a:t>
                </a:r>
              </a:p>
            </c:rich>
          </c:tx>
          <c:layout>
            <c:manualLayout>
              <c:xMode val="edge"/>
              <c:yMode val="edge"/>
              <c:x val="0.4506294165152433"/>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322591"/>
        <c:crosses val="autoZero"/>
        <c:auto val="1"/>
        <c:lblAlgn val="ctr"/>
        <c:lblOffset val="100"/>
        <c:noMultiLvlLbl val="0"/>
      </c:catAx>
      <c:valAx>
        <c:axId val="988322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31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Nov.</a:t>
            </a:r>
            <a:r>
              <a:rPr lang="en-PH" b="1" baseline="0"/>
              <a:t> 2024, Dec. 2024, and Jan. 2025 Income, Expenses and Net Income</a:t>
            </a:r>
            <a:endParaRPr lang="en-PH" b="1"/>
          </a:p>
        </c:rich>
      </c:tx>
      <c:layout>
        <c:manualLayout>
          <c:xMode val="edge"/>
          <c:yMode val="edge"/>
          <c:x val="0.16321611505122144"/>
          <c:y val="4.41290073387408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'Analysis &amp; Diagnostics'!$I$11</c:f>
              <c:strCache>
                <c:ptCount val="1"/>
                <c:pt idx="0">
                  <c:v>Expenses</c:v>
                </c:pt>
              </c:strCache>
            </c:strRef>
          </c:tx>
          <c:spPr>
            <a:solidFill>
              <a:schemeClr val="bg1">
                <a:lumMod val="65000"/>
              </a:schemeClr>
            </a:solidFill>
            <a:ln>
              <a:noFill/>
            </a:ln>
            <a:effectLst/>
          </c:spPr>
          <c:invertIfNegative val="0"/>
          <c:dLbls>
            <c:dLbl>
              <c:idx val="1"/>
              <c:layout>
                <c:manualLayout>
                  <c:x val="-1.1030759053880138E-16"/>
                  <c:y val="2.45821042281219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10-4326-BF70-B5D1F23303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 &amp; Diagnostics'!$H$12:$H$15</c15:sqref>
                  </c15:fullRef>
                </c:ext>
              </c:extLst>
              <c:f>'Analysis &amp; Diagnostics'!$H$13:$H$15</c:f>
              <c:strCache>
                <c:ptCount val="3"/>
                <c:pt idx="0">
                  <c:v>Nov. 2024</c:v>
                </c:pt>
                <c:pt idx="1">
                  <c:v>Dec. 2024</c:v>
                </c:pt>
                <c:pt idx="2">
                  <c:v>Jan. 2025</c:v>
                </c:pt>
              </c:strCache>
            </c:strRef>
          </c:cat>
          <c:val>
            <c:numRef>
              <c:extLst>
                <c:ext xmlns:c15="http://schemas.microsoft.com/office/drawing/2012/chart" uri="{02D57815-91ED-43cb-92C2-25804820EDAC}">
                  <c15:fullRef>
                    <c15:sqref>'Analysis &amp; Diagnostics'!$I$12:$I$15</c15:sqref>
                  </c15:fullRef>
                </c:ext>
              </c:extLst>
              <c:f>'Analysis &amp; Diagnostics'!$I$13:$I$15</c:f>
              <c:numCache>
                <c:formatCode>General</c:formatCode>
                <c:ptCount val="3"/>
                <c:pt idx="0">
                  <c:v>9721</c:v>
                </c:pt>
                <c:pt idx="1">
                  <c:v>20499</c:v>
                </c:pt>
                <c:pt idx="2">
                  <c:v>19636</c:v>
                </c:pt>
              </c:numCache>
            </c:numRef>
          </c:val>
          <c:extLst>
            <c:ext xmlns:c16="http://schemas.microsoft.com/office/drawing/2014/chart" uri="{C3380CC4-5D6E-409C-BE32-E72D297353CC}">
              <c16:uniqueId val="{00000001-B710-4326-BF70-B5D1F23303BC}"/>
            </c:ext>
          </c:extLst>
        </c:ser>
        <c:ser>
          <c:idx val="2"/>
          <c:order val="1"/>
          <c:tx>
            <c:strRef>
              <c:f>'Analysis &amp; Diagnostics'!$J$11</c:f>
              <c:strCache>
                <c:ptCount val="1"/>
                <c:pt idx="0">
                  <c:v>Income</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 &amp; Diagnostics'!$H$12:$H$15</c15:sqref>
                  </c15:fullRef>
                </c:ext>
              </c:extLst>
              <c:f>'Analysis &amp; Diagnostics'!$H$13:$H$15</c:f>
              <c:strCache>
                <c:ptCount val="3"/>
                <c:pt idx="0">
                  <c:v>Nov. 2024</c:v>
                </c:pt>
                <c:pt idx="1">
                  <c:v>Dec. 2024</c:v>
                </c:pt>
                <c:pt idx="2">
                  <c:v>Jan. 2025</c:v>
                </c:pt>
              </c:strCache>
            </c:strRef>
          </c:cat>
          <c:val>
            <c:numRef>
              <c:extLst>
                <c:ext xmlns:c15="http://schemas.microsoft.com/office/drawing/2012/chart" uri="{02D57815-91ED-43cb-92C2-25804820EDAC}">
                  <c15:fullRef>
                    <c15:sqref>'Analysis &amp; Diagnostics'!$J$12:$J$15</c15:sqref>
                  </c15:fullRef>
                </c:ext>
              </c:extLst>
              <c:f>'Analysis &amp; Diagnostics'!$J$13:$J$15</c:f>
              <c:numCache>
                <c:formatCode>General</c:formatCode>
                <c:ptCount val="3"/>
                <c:pt idx="0">
                  <c:v>59992</c:v>
                </c:pt>
                <c:pt idx="1">
                  <c:v>51481</c:v>
                </c:pt>
                <c:pt idx="2">
                  <c:v>26403</c:v>
                </c:pt>
              </c:numCache>
            </c:numRef>
          </c:val>
          <c:extLst>
            <c:ext xmlns:c16="http://schemas.microsoft.com/office/drawing/2014/chart" uri="{C3380CC4-5D6E-409C-BE32-E72D297353CC}">
              <c16:uniqueId val="{00000002-B710-4326-BF70-B5D1F23303BC}"/>
            </c:ext>
          </c:extLst>
        </c:ser>
        <c:dLbls>
          <c:dLblPos val="outEnd"/>
          <c:showLegendKey val="0"/>
          <c:showVal val="1"/>
          <c:showCatName val="0"/>
          <c:showSerName val="0"/>
          <c:showPercent val="0"/>
          <c:showBubbleSize val="0"/>
        </c:dLbls>
        <c:gapWidth val="219"/>
        <c:axId val="1455782592"/>
        <c:axId val="1455783552"/>
        <c:extLst>
          <c:ext xmlns:c15="http://schemas.microsoft.com/office/drawing/2012/chart" uri="{02D57815-91ED-43cb-92C2-25804820EDAC}">
            <c15:filteredBarSeries>
              <c15:ser>
                <c:idx val="0"/>
                <c:order val="3"/>
                <c:tx>
                  <c:strRef>
                    <c:extLst>
                      <c:ext uri="{02D57815-91ED-43cb-92C2-25804820EDAC}">
                        <c15:formulaRef>
                          <c15:sqref>'Analysis &amp; Diagnostics'!$L$11</c15:sqref>
                        </c15:formulaRef>
                      </c:ext>
                    </c:extLst>
                    <c:strCache>
                      <c:ptCount val="1"/>
                      <c:pt idx="0">
                        <c:v>Net Income Growth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'Analysis &amp; Diagnostics'!$H$12:$H$15</c15:sqref>
                        </c15:fullRef>
                        <c15:formulaRef>
                          <c15:sqref>'Analysis &amp; Diagnostics'!$H$13:$H$15</c15:sqref>
                        </c15:formulaRef>
                      </c:ext>
                    </c:extLst>
                    <c:strCache>
                      <c:ptCount val="3"/>
                      <c:pt idx="0">
                        <c:v>Nov. 2024</c:v>
                      </c:pt>
                      <c:pt idx="1">
                        <c:v>Dec. 2024</c:v>
                      </c:pt>
                      <c:pt idx="2">
                        <c:v>Jan. 2025</c:v>
                      </c:pt>
                    </c:strCache>
                  </c:strRef>
                </c:cat>
                <c:val>
                  <c:numRef>
                    <c:extLst>
                      <c:ext uri="{02D57815-91ED-43cb-92C2-25804820EDAC}">
                        <c15:fullRef>
                          <c15:sqref>'Analysis &amp; Diagnostics'!$L$12:$L$15</c15:sqref>
                        </c15:fullRef>
                        <c15:formulaRef>
                          <c15:sqref>'Analysis &amp; Diagnostics'!$L$13:$L$15</c15:sqref>
                        </c15:formulaRef>
                      </c:ext>
                    </c:extLst>
                    <c:numCache>
                      <c:formatCode>General</c:formatCode>
                      <c:ptCount val="3"/>
                      <c:pt idx="0">
                        <c:v>2118.4899999999998</c:v>
                      </c:pt>
                      <c:pt idx="1">
                        <c:v>-38.369999999999997</c:v>
                      </c:pt>
                      <c:pt idx="2">
                        <c:v>-78.16</c:v>
                      </c:pt>
                    </c:numCache>
                  </c:numRef>
                </c:val>
                <c:extLst>
                  <c:ext xmlns:c16="http://schemas.microsoft.com/office/drawing/2014/chart" uri="{C3380CC4-5D6E-409C-BE32-E72D297353CC}">
                    <c16:uniqueId val="{00000005-B710-4326-BF70-B5D1F23303BC}"/>
                  </c:ext>
                </c:extLst>
              </c15:ser>
            </c15:filteredBarSeries>
          </c:ext>
        </c:extLst>
      </c:barChart>
      <c:lineChart>
        <c:grouping val="standard"/>
        <c:varyColors val="0"/>
        <c:ser>
          <c:idx val="3"/>
          <c:order val="2"/>
          <c:tx>
            <c:strRef>
              <c:f>'Analysis &amp; Diagnostics'!$K$11</c:f>
              <c:strCache>
                <c:ptCount val="1"/>
                <c:pt idx="0">
                  <c:v>Net Income</c:v>
                </c:pt>
              </c:strCache>
            </c:strRef>
          </c:tx>
          <c:spPr>
            <a:ln w="28575" cap="rnd">
              <a:solidFill>
                <a:schemeClr val="accent2"/>
              </a:solidFill>
              <a:round/>
            </a:ln>
            <a:effectLst/>
          </c:spPr>
          <c:marker>
            <c:symbol val="circle"/>
            <c:size val="5"/>
            <c:spPr>
              <a:solidFill>
                <a:srgbClr val="FF0000"/>
              </a:solidFill>
              <a:ln w="9525">
                <a:solidFill>
                  <a:srgbClr val="FF0000"/>
                </a:solidFill>
              </a:ln>
              <a:effectLst/>
            </c:spPr>
          </c:marker>
          <c:dLbls>
            <c:dLbl>
              <c:idx val="0"/>
              <c:layout>
                <c:manualLayout>
                  <c:x val="-7.1484858718901603E-3"/>
                  <c:y val="6.1317110853611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710-4326-BF70-B5D1F23303BC}"/>
                </c:ext>
              </c:extLst>
            </c:dLbl>
            <c:dLbl>
              <c:idx val="1"/>
              <c:layout>
                <c:manualLayout>
                  <c:x val="-3.0084235860409147E-3"/>
                  <c:y val="-3.9331366764995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10-4326-BF70-B5D1F23303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 &amp; Diagnostics'!$H$12:$H$15</c15:sqref>
                  </c15:fullRef>
                </c:ext>
              </c:extLst>
              <c:f>'Analysis &amp; Diagnostics'!$H$13:$H$15</c:f>
              <c:strCache>
                <c:ptCount val="3"/>
                <c:pt idx="0">
                  <c:v>Nov. 2024</c:v>
                </c:pt>
                <c:pt idx="1">
                  <c:v>Dec. 2024</c:v>
                </c:pt>
                <c:pt idx="2">
                  <c:v>Jan. 2025</c:v>
                </c:pt>
              </c:strCache>
            </c:strRef>
          </c:cat>
          <c:val>
            <c:numRef>
              <c:extLst>
                <c:ext xmlns:c15="http://schemas.microsoft.com/office/drawing/2012/chart" uri="{02D57815-91ED-43cb-92C2-25804820EDAC}">
                  <c15:fullRef>
                    <c15:sqref>'Analysis &amp; Diagnostics'!$K$12:$K$15</c15:sqref>
                  </c15:fullRef>
                </c:ext>
              </c:extLst>
              <c:f>'Analysis &amp; Diagnostics'!$K$13:$K$15</c:f>
              <c:numCache>
                <c:formatCode>General</c:formatCode>
                <c:ptCount val="3"/>
                <c:pt idx="0">
                  <c:v>50271</c:v>
                </c:pt>
                <c:pt idx="1">
                  <c:v>30982</c:v>
                </c:pt>
                <c:pt idx="2">
                  <c:v>6767</c:v>
                </c:pt>
              </c:numCache>
            </c:numRef>
          </c:val>
          <c:smooth val="0"/>
          <c:extLst>
            <c:ext xmlns:c16="http://schemas.microsoft.com/office/drawing/2014/chart" uri="{C3380CC4-5D6E-409C-BE32-E72D297353CC}">
              <c16:uniqueId val="{00000004-B710-4326-BF70-B5D1F23303BC}"/>
            </c:ext>
          </c:extLst>
        </c:ser>
        <c:dLbls>
          <c:showLegendKey val="0"/>
          <c:showVal val="0"/>
          <c:showCatName val="0"/>
          <c:showSerName val="0"/>
          <c:showPercent val="0"/>
          <c:showBubbleSize val="0"/>
        </c:dLbls>
        <c:marker val="1"/>
        <c:smooth val="0"/>
        <c:axId val="1455782592"/>
        <c:axId val="1455783552"/>
      </c:lineChart>
      <c:catAx>
        <c:axId val="1455782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783552"/>
        <c:crosses val="autoZero"/>
        <c:auto val="1"/>
        <c:lblAlgn val="ctr"/>
        <c:lblOffset val="100"/>
        <c:noMultiLvlLbl val="0"/>
      </c:catAx>
      <c:valAx>
        <c:axId val="1455783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782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Monthly Expenses, Income and Net Income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&amp; derived tables'!$I$3</c:f>
              <c:strCache>
                <c:ptCount val="1"/>
                <c:pt idx="0">
                  <c:v>Expenses</c:v>
                </c:pt>
              </c:strCache>
            </c:strRef>
          </c:tx>
          <c:spPr>
            <a:solidFill>
              <a:schemeClr val="accent2">
                <a:lumMod val="60000"/>
                <a:lumOff val="40000"/>
              </a:schemeClr>
            </a:solidFill>
            <a:ln>
              <a:noFill/>
            </a:ln>
            <a:effectLst/>
          </c:spPr>
          <c:invertIfNegative val="0"/>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tables'!$I$4:$I$18</c:f>
              <c:numCache>
                <c:formatCode>General</c:formatCode>
                <c:ptCount val="15"/>
                <c:pt idx="0">
                  <c:v>10181</c:v>
                </c:pt>
                <c:pt idx="1">
                  <c:v>32023</c:v>
                </c:pt>
                <c:pt idx="2">
                  <c:v>9647</c:v>
                </c:pt>
                <c:pt idx="3">
                  <c:v>17583</c:v>
                </c:pt>
                <c:pt idx="4">
                  <c:v>18789</c:v>
                </c:pt>
                <c:pt idx="5">
                  <c:v>16059</c:v>
                </c:pt>
                <c:pt idx="6">
                  <c:v>12242</c:v>
                </c:pt>
                <c:pt idx="7">
                  <c:v>20411</c:v>
                </c:pt>
                <c:pt idx="8">
                  <c:v>21985</c:v>
                </c:pt>
                <c:pt idx="9">
                  <c:v>11107</c:v>
                </c:pt>
                <c:pt idx="10">
                  <c:v>11720</c:v>
                </c:pt>
                <c:pt idx="11">
                  <c:v>25236</c:v>
                </c:pt>
                <c:pt idx="12">
                  <c:v>9721</c:v>
                </c:pt>
                <c:pt idx="13">
                  <c:v>20499</c:v>
                </c:pt>
                <c:pt idx="14">
                  <c:v>19636</c:v>
                </c:pt>
              </c:numCache>
            </c:numRef>
          </c:val>
          <c:extLst>
            <c:ext xmlns:c16="http://schemas.microsoft.com/office/drawing/2014/chart" uri="{C3380CC4-5D6E-409C-BE32-E72D297353CC}">
              <c16:uniqueId val="{00000000-5687-4900-B66C-B3BA3907B66E}"/>
            </c:ext>
          </c:extLst>
        </c:ser>
        <c:ser>
          <c:idx val="1"/>
          <c:order val="1"/>
          <c:tx>
            <c:strRef>
              <c:f>'Pivot &amp; derived tables'!$J$3</c:f>
              <c:strCache>
                <c:ptCount val="1"/>
                <c:pt idx="0">
                  <c:v>Income</c:v>
                </c:pt>
              </c:strCache>
            </c:strRef>
          </c:tx>
          <c:spPr>
            <a:solidFill>
              <a:schemeClr val="bg1">
                <a:lumMod val="75000"/>
              </a:schemeClr>
            </a:solidFill>
            <a:ln>
              <a:noFill/>
            </a:ln>
            <a:effectLst/>
          </c:spPr>
          <c:invertIfNegative val="0"/>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tables'!$J$4:$J$18</c:f>
              <c:numCache>
                <c:formatCode>General</c:formatCode>
                <c:ptCount val="15"/>
                <c:pt idx="0">
                  <c:v>70026</c:v>
                </c:pt>
                <c:pt idx="1">
                  <c:v>43465</c:v>
                </c:pt>
                <c:pt idx="2">
                  <c:v>25466</c:v>
                </c:pt>
                <c:pt idx="3">
                  <c:v>25195</c:v>
                </c:pt>
                <c:pt idx="4">
                  <c:v>25195</c:v>
                </c:pt>
                <c:pt idx="5">
                  <c:v>32231</c:v>
                </c:pt>
                <c:pt idx="6">
                  <c:v>52230</c:v>
                </c:pt>
                <c:pt idx="7">
                  <c:v>25231</c:v>
                </c:pt>
                <c:pt idx="8">
                  <c:v>30278</c:v>
                </c:pt>
                <c:pt idx="9">
                  <c:v>42632</c:v>
                </c:pt>
                <c:pt idx="10">
                  <c:v>38620</c:v>
                </c:pt>
                <c:pt idx="11">
                  <c:v>27502</c:v>
                </c:pt>
                <c:pt idx="12">
                  <c:v>59992</c:v>
                </c:pt>
                <c:pt idx="13">
                  <c:v>51481</c:v>
                </c:pt>
                <c:pt idx="14">
                  <c:v>26403</c:v>
                </c:pt>
              </c:numCache>
            </c:numRef>
          </c:val>
          <c:extLst>
            <c:ext xmlns:c16="http://schemas.microsoft.com/office/drawing/2014/chart" uri="{C3380CC4-5D6E-409C-BE32-E72D297353CC}">
              <c16:uniqueId val="{00000001-5687-4900-B66C-B3BA3907B66E}"/>
            </c:ext>
          </c:extLst>
        </c:ser>
        <c:dLbls>
          <c:showLegendKey val="0"/>
          <c:showVal val="0"/>
          <c:showCatName val="0"/>
          <c:showSerName val="0"/>
          <c:showPercent val="0"/>
          <c:showBubbleSize val="0"/>
        </c:dLbls>
        <c:gapWidth val="219"/>
        <c:overlap val="-27"/>
        <c:axId val="343245136"/>
        <c:axId val="343237936"/>
      </c:barChart>
      <c:lineChart>
        <c:grouping val="standard"/>
        <c:varyColors val="0"/>
        <c:ser>
          <c:idx val="2"/>
          <c:order val="2"/>
          <c:tx>
            <c:strRef>
              <c:f>'Pivot &amp; derived tables'!$K$3</c:f>
              <c:strCache>
                <c:ptCount val="1"/>
                <c:pt idx="0">
                  <c:v>Net Income</c:v>
                </c:pt>
              </c:strCache>
            </c:strRef>
          </c:tx>
          <c:spPr>
            <a:ln w="28575" cap="rnd">
              <a:solidFill>
                <a:srgbClr val="FF0000"/>
              </a:solidFill>
              <a:round/>
            </a:ln>
            <a:effectLst/>
          </c:spPr>
          <c:marker>
            <c:symbol val="none"/>
          </c:marker>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tables'!$K$4:$K$18</c:f>
              <c:numCache>
                <c:formatCode>General</c:formatCode>
                <c:ptCount val="15"/>
                <c:pt idx="0">
                  <c:v>59845</c:v>
                </c:pt>
                <c:pt idx="1">
                  <c:v>11442</c:v>
                </c:pt>
                <c:pt idx="2">
                  <c:v>15819</c:v>
                </c:pt>
                <c:pt idx="3">
                  <c:v>7612</c:v>
                </c:pt>
                <c:pt idx="4">
                  <c:v>6406</c:v>
                </c:pt>
                <c:pt idx="5">
                  <c:v>16172</c:v>
                </c:pt>
                <c:pt idx="6">
                  <c:v>39988</c:v>
                </c:pt>
                <c:pt idx="7">
                  <c:v>4820</c:v>
                </c:pt>
                <c:pt idx="8">
                  <c:v>8293</c:v>
                </c:pt>
                <c:pt idx="9">
                  <c:v>31525</c:v>
                </c:pt>
                <c:pt idx="10">
                  <c:v>26900</c:v>
                </c:pt>
                <c:pt idx="11">
                  <c:v>2266</c:v>
                </c:pt>
                <c:pt idx="12">
                  <c:v>50271</c:v>
                </c:pt>
                <c:pt idx="13">
                  <c:v>30982</c:v>
                </c:pt>
                <c:pt idx="14">
                  <c:v>6767</c:v>
                </c:pt>
              </c:numCache>
            </c:numRef>
          </c:val>
          <c:smooth val="0"/>
          <c:extLst>
            <c:ext xmlns:c16="http://schemas.microsoft.com/office/drawing/2014/chart" uri="{C3380CC4-5D6E-409C-BE32-E72D297353CC}">
              <c16:uniqueId val="{00000002-5687-4900-B66C-B3BA3907B66E}"/>
            </c:ext>
          </c:extLst>
        </c:ser>
        <c:dLbls>
          <c:showLegendKey val="0"/>
          <c:showVal val="0"/>
          <c:showCatName val="0"/>
          <c:showSerName val="0"/>
          <c:showPercent val="0"/>
          <c:showBubbleSize val="0"/>
        </c:dLbls>
        <c:marker val="1"/>
        <c:smooth val="0"/>
        <c:axId val="343245136"/>
        <c:axId val="343237936"/>
        <c:extLst>
          <c:ext xmlns:c15="http://schemas.microsoft.com/office/drawing/2012/chart" uri="{02D57815-91ED-43cb-92C2-25804820EDAC}">
            <c15:filteredLineSeries>
              <c15:ser>
                <c:idx val="3"/>
                <c:order val="3"/>
                <c:tx>
                  <c:strRef>
                    <c:extLst>
                      <c:ext uri="{02D57815-91ED-43cb-92C2-25804820EDAC}">
                        <c15:formulaRef>
                          <c15:sqref>'Pivot &amp; derived tables'!$L$3</c15:sqref>
                        </c15:formulaRef>
                      </c:ext>
                    </c:extLst>
                    <c:strCache>
                      <c:ptCount val="1"/>
                      <c:pt idx="0">
                        <c:v>Income Growth Rate</c:v>
                      </c:pt>
                    </c:strCache>
                  </c:strRef>
                </c:tx>
                <c:spPr>
                  <a:ln w="28575" cap="rnd">
                    <a:solidFill>
                      <a:schemeClr val="accent4"/>
                    </a:solidFill>
                    <a:round/>
                  </a:ln>
                  <a:effectLst/>
                </c:spPr>
                <c:marker>
                  <c:symbol val="none"/>
                </c:marker>
                <c:cat>
                  <c:numRef>
                    <c:extLst>
                      <c:ex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uri="{02D57815-91ED-43cb-92C2-25804820EDAC}">
                        <c15:formulaRef>
                          <c15:sqref>'Pivot &amp; derived tables'!$L$4:$L$18</c15:sqref>
                        </c15:formulaRef>
                      </c:ext>
                    </c:extLst>
                    <c:numCache>
                      <c:formatCode>General</c:formatCode>
                      <c:ptCount val="15"/>
                      <c:pt idx="0">
                        <c:v>0</c:v>
                      </c:pt>
                      <c:pt idx="1">
                        <c:v>-37.93</c:v>
                      </c:pt>
                      <c:pt idx="2">
                        <c:v>-41.41</c:v>
                      </c:pt>
                      <c:pt idx="3">
                        <c:v>-1.06</c:v>
                      </c:pt>
                      <c:pt idx="4">
                        <c:v>0</c:v>
                      </c:pt>
                      <c:pt idx="5">
                        <c:v>27.93</c:v>
                      </c:pt>
                      <c:pt idx="6">
                        <c:v>62.05</c:v>
                      </c:pt>
                      <c:pt idx="7">
                        <c:v>-51.69</c:v>
                      </c:pt>
                      <c:pt idx="8">
                        <c:v>20</c:v>
                      </c:pt>
                      <c:pt idx="9">
                        <c:v>40.799999999999997</c:v>
                      </c:pt>
                      <c:pt idx="10">
                        <c:v>-9.41</c:v>
                      </c:pt>
                      <c:pt idx="11">
                        <c:v>-28.79</c:v>
                      </c:pt>
                      <c:pt idx="12">
                        <c:v>118.14</c:v>
                      </c:pt>
                      <c:pt idx="13">
                        <c:v>-14.19</c:v>
                      </c:pt>
                      <c:pt idx="14">
                        <c:v>-48.71</c:v>
                      </c:pt>
                    </c:numCache>
                  </c:numRef>
                </c:val>
                <c:smooth val="0"/>
                <c:extLst>
                  <c:ext xmlns:c16="http://schemas.microsoft.com/office/drawing/2014/chart" uri="{C3380CC4-5D6E-409C-BE32-E72D297353CC}">
                    <c16:uniqueId val="{00000000-3240-4CFB-A4EF-A2DC5838951E}"/>
                  </c:ext>
                </c:extLst>
              </c15:ser>
            </c15:filteredLineSeries>
          </c:ext>
        </c:extLst>
      </c:lineChart>
      <c:dateAx>
        <c:axId val="343245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Months (month-year)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237936"/>
        <c:crosses val="autoZero"/>
        <c:auto val="1"/>
        <c:lblOffset val="100"/>
        <c:baseTimeUnit val="months"/>
      </c:dateAx>
      <c:valAx>
        <c:axId val="343237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9927536231884056E-2"/>
              <c:y val="0.385944646944707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245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a:t>
            </a:r>
            <a:r>
              <a:rPr lang="en-US" b="1"/>
              <a:t>Net Income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2"/>
          <c:tx>
            <c:strRef>
              <c:f>'Pivot &amp; derived tables'!$K$3</c:f>
              <c:strCache>
                <c:ptCount val="1"/>
                <c:pt idx="0">
                  <c:v>Net 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1"/>
              <c:layout>
                <c:manualLayout>
                  <c:x val="-5.1383827589002805E-2"/>
                  <c:y val="3.4893596853753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598-4A63-9473-025D6E17F99B}"/>
                </c:ext>
              </c:extLst>
            </c:dLbl>
            <c:dLbl>
              <c:idx val="2"/>
              <c:layout>
                <c:manualLayout>
                  <c:x val="-4.106578992052836E-2"/>
                  <c:y val="-3.11685692050318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598-4A63-9473-025D6E17F99B}"/>
                </c:ext>
              </c:extLst>
            </c:dLbl>
            <c:dLbl>
              <c:idx val="5"/>
              <c:layout>
                <c:manualLayout>
                  <c:x val="-2.0429714583579436E-2"/>
                  <c:y val="3.1223476517153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598-4A63-9473-025D6E17F99B}"/>
                </c:ext>
              </c:extLst>
            </c:dLbl>
            <c:dLbl>
              <c:idx val="7"/>
              <c:layout>
                <c:manualLayout>
                  <c:x val="-7.3505700350212144E-2"/>
                  <c:y val="5.532634160959784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598-4A63-9473-025D6E17F99B}"/>
                </c:ext>
              </c:extLst>
            </c:dLbl>
            <c:dLbl>
              <c:idx val="8"/>
              <c:layout>
                <c:manualLayout>
                  <c:x val="-3.3430442045856504E-3"/>
                  <c:y val="5.532634160959918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598-4A63-9473-025D6E17F99B}"/>
                </c:ext>
              </c:extLst>
            </c:dLbl>
            <c:dLbl>
              <c:idx val="11"/>
              <c:layout>
                <c:manualLayout>
                  <c:x val="-3.3430442045857258E-3"/>
                  <c:y val="-9.147847185436730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598-4A63-9473-025D6E17F99B}"/>
                </c:ext>
              </c:extLst>
            </c:dLbl>
            <c:dLbl>
              <c:idx val="13"/>
              <c:layout>
                <c:manualLayout>
                  <c:x val="-1.8366107049884544E-2"/>
                  <c:y val="-5.3189291224626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598-4A63-9473-025D6E17F99B}"/>
                </c:ext>
              </c:extLst>
            </c:dLbl>
            <c:dLbl>
              <c:idx val="14"/>
              <c:layout>
                <c:manualLayout>
                  <c:x val="-3.0347054915196445E-2"/>
                  <c:y val="3.12234765171540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598-4A63-9473-025D6E17F9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3"/>
                </a:solidFill>
                <a:prstDash val="sysDot"/>
              </a:ln>
              <a:effectLst/>
            </c:spPr>
            <c:trendlineType val="linear"/>
            <c:dispRSqr val="0"/>
            <c:dispEq val="0"/>
          </c:trendline>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tables'!$K$4:$K$18</c:f>
              <c:numCache>
                <c:formatCode>General</c:formatCode>
                <c:ptCount val="15"/>
                <c:pt idx="0">
                  <c:v>59845</c:v>
                </c:pt>
                <c:pt idx="1">
                  <c:v>11442</c:v>
                </c:pt>
                <c:pt idx="2">
                  <c:v>15819</c:v>
                </c:pt>
                <c:pt idx="3">
                  <c:v>7612</c:v>
                </c:pt>
                <c:pt idx="4">
                  <c:v>6406</c:v>
                </c:pt>
                <c:pt idx="5">
                  <c:v>16172</c:v>
                </c:pt>
                <c:pt idx="6">
                  <c:v>39988</c:v>
                </c:pt>
                <c:pt idx="7">
                  <c:v>4820</c:v>
                </c:pt>
                <c:pt idx="8">
                  <c:v>8293</c:v>
                </c:pt>
                <c:pt idx="9">
                  <c:v>31525</c:v>
                </c:pt>
                <c:pt idx="10">
                  <c:v>26900</c:v>
                </c:pt>
                <c:pt idx="11">
                  <c:v>2266</c:v>
                </c:pt>
                <c:pt idx="12">
                  <c:v>50271</c:v>
                </c:pt>
                <c:pt idx="13">
                  <c:v>30982</c:v>
                </c:pt>
                <c:pt idx="14">
                  <c:v>6767</c:v>
                </c:pt>
              </c:numCache>
            </c:numRef>
          </c:val>
          <c:smooth val="0"/>
          <c:extLst>
            <c:ext xmlns:c16="http://schemas.microsoft.com/office/drawing/2014/chart" uri="{C3380CC4-5D6E-409C-BE32-E72D297353CC}">
              <c16:uniqueId val="{00000002-A889-47E1-8831-6E660726DFD6}"/>
            </c:ext>
          </c:extLst>
        </c:ser>
        <c:dLbls>
          <c:dLblPos val="t"/>
          <c:showLegendKey val="0"/>
          <c:showVal val="1"/>
          <c:showCatName val="0"/>
          <c:showSerName val="0"/>
          <c:showPercent val="0"/>
          <c:showBubbleSize val="0"/>
        </c:dLbls>
        <c:marker val="1"/>
        <c:smooth val="0"/>
        <c:axId val="1587838095"/>
        <c:axId val="1587844335"/>
        <c:extLst>
          <c:ext xmlns:c15="http://schemas.microsoft.com/office/drawing/2012/chart" uri="{02D57815-91ED-43cb-92C2-25804820EDAC}">
            <c15:filteredLineSeries>
              <c15:ser>
                <c:idx val="0"/>
                <c:order val="0"/>
                <c:tx>
                  <c:strRef>
                    <c:extLst>
                      <c:ext uri="{02D57815-91ED-43cb-92C2-25804820EDAC}">
                        <c15:formulaRef>
                          <c15:sqref>'Pivot &amp; derived tables'!$I$3</c15:sqref>
                        </c15:formulaRef>
                      </c:ext>
                    </c:extLst>
                    <c:strCache>
                      <c:ptCount val="1"/>
                      <c:pt idx="0">
                        <c:v>Expenses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uri="{02D57815-91ED-43cb-92C2-25804820EDAC}">
                        <c15:formulaRef>
                          <c15:sqref>'Pivot &amp; derived tables'!$I$4:$I$18</c15:sqref>
                        </c15:formulaRef>
                      </c:ext>
                    </c:extLst>
                    <c:numCache>
                      <c:formatCode>General</c:formatCode>
                      <c:ptCount val="15"/>
                      <c:pt idx="0">
                        <c:v>10181</c:v>
                      </c:pt>
                      <c:pt idx="1">
                        <c:v>32023</c:v>
                      </c:pt>
                      <c:pt idx="2">
                        <c:v>9647</c:v>
                      </c:pt>
                      <c:pt idx="3">
                        <c:v>17583</c:v>
                      </c:pt>
                      <c:pt idx="4">
                        <c:v>18789</c:v>
                      </c:pt>
                      <c:pt idx="5">
                        <c:v>16059</c:v>
                      </c:pt>
                      <c:pt idx="6">
                        <c:v>12242</c:v>
                      </c:pt>
                      <c:pt idx="7">
                        <c:v>20411</c:v>
                      </c:pt>
                      <c:pt idx="8">
                        <c:v>21985</c:v>
                      </c:pt>
                      <c:pt idx="9">
                        <c:v>11107</c:v>
                      </c:pt>
                      <c:pt idx="10">
                        <c:v>11720</c:v>
                      </c:pt>
                      <c:pt idx="11">
                        <c:v>25236</c:v>
                      </c:pt>
                      <c:pt idx="12">
                        <c:v>9721</c:v>
                      </c:pt>
                      <c:pt idx="13">
                        <c:v>20499</c:v>
                      </c:pt>
                      <c:pt idx="14">
                        <c:v>19636</c:v>
                      </c:pt>
                    </c:numCache>
                  </c:numRef>
                </c:val>
                <c:smooth val="0"/>
                <c:extLst>
                  <c:ext xmlns:c16="http://schemas.microsoft.com/office/drawing/2014/chart" uri="{C3380CC4-5D6E-409C-BE32-E72D297353CC}">
                    <c16:uniqueId val="{00000000-A889-47E1-8831-6E660726DFD6}"/>
                  </c:ext>
                </c:extLst>
              </c15:ser>
            </c15:filteredLineSeries>
            <c15:filteredLineSeries>
              <c15:ser>
                <c:idx val="1"/>
                <c:order val="1"/>
                <c:tx>
                  <c:strRef>
                    <c:extLst>
                      <c:ext xmlns:c15="http://schemas.microsoft.com/office/drawing/2012/chart" uri="{02D57815-91ED-43cb-92C2-25804820EDAC}">
                        <c15:formulaRef>
                          <c15:sqref>'Pivot &amp; derived tables'!$J$3</c15:sqref>
                        </c15:formulaRef>
                      </c:ext>
                    </c:extLst>
                    <c:strCache>
                      <c:ptCount val="1"/>
                      <c:pt idx="0">
                        <c:v>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tables'!$J$4:$J$18</c15:sqref>
                        </c15:formulaRef>
                      </c:ext>
                    </c:extLst>
                    <c:numCache>
                      <c:formatCode>General</c:formatCode>
                      <c:ptCount val="15"/>
                      <c:pt idx="0">
                        <c:v>70026</c:v>
                      </c:pt>
                      <c:pt idx="1">
                        <c:v>43465</c:v>
                      </c:pt>
                      <c:pt idx="2">
                        <c:v>25466</c:v>
                      </c:pt>
                      <c:pt idx="3">
                        <c:v>25195</c:v>
                      </c:pt>
                      <c:pt idx="4">
                        <c:v>25195</c:v>
                      </c:pt>
                      <c:pt idx="5">
                        <c:v>32231</c:v>
                      </c:pt>
                      <c:pt idx="6">
                        <c:v>52230</c:v>
                      </c:pt>
                      <c:pt idx="7">
                        <c:v>25231</c:v>
                      </c:pt>
                      <c:pt idx="8">
                        <c:v>30278</c:v>
                      </c:pt>
                      <c:pt idx="9">
                        <c:v>42632</c:v>
                      </c:pt>
                      <c:pt idx="10">
                        <c:v>38620</c:v>
                      </c:pt>
                      <c:pt idx="11">
                        <c:v>27502</c:v>
                      </c:pt>
                      <c:pt idx="12">
                        <c:v>59992</c:v>
                      </c:pt>
                      <c:pt idx="13">
                        <c:v>51481</c:v>
                      </c:pt>
                      <c:pt idx="14">
                        <c:v>26403</c:v>
                      </c:pt>
                    </c:numCache>
                  </c:numRef>
                </c:val>
                <c:smooth val="0"/>
                <c:extLst xmlns:c15="http://schemas.microsoft.com/office/drawing/2012/chart">
                  <c:ext xmlns:c16="http://schemas.microsoft.com/office/drawing/2014/chart" uri="{C3380CC4-5D6E-409C-BE32-E72D297353CC}">
                    <c16:uniqueId val="{00000001-A889-47E1-8831-6E660726DFD6}"/>
                  </c:ext>
                </c:extLst>
              </c15:ser>
            </c15:filteredLineSeries>
            <c15:filteredLineSeries>
              <c15:ser>
                <c:idx val="3"/>
                <c:order val="3"/>
                <c:tx>
                  <c:strRef>
                    <c:extLst>
                      <c:ext xmlns:c15="http://schemas.microsoft.com/office/drawing/2012/chart" uri="{02D57815-91ED-43cb-92C2-25804820EDAC}">
                        <c15:formulaRef>
                          <c15:sqref>'Pivot &amp; derived tables'!$L$3</c15:sqref>
                        </c15:formulaRef>
                      </c:ext>
                    </c:extLst>
                    <c:strCache>
                      <c:ptCount val="1"/>
                      <c:pt idx="0">
                        <c:v>Income Growth Rate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tables'!$L$4:$L$18</c15:sqref>
                        </c15:formulaRef>
                      </c:ext>
                    </c:extLst>
                    <c:numCache>
                      <c:formatCode>General</c:formatCode>
                      <c:ptCount val="15"/>
                      <c:pt idx="0">
                        <c:v>0</c:v>
                      </c:pt>
                      <c:pt idx="1">
                        <c:v>-37.93</c:v>
                      </c:pt>
                      <c:pt idx="2">
                        <c:v>-41.41</c:v>
                      </c:pt>
                      <c:pt idx="3">
                        <c:v>-1.06</c:v>
                      </c:pt>
                      <c:pt idx="4">
                        <c:v>0</c:v>
                      </c:pt>
                      <c:pt idx="5">
                        <c:v>27.93</c:v>
                      </c:pt>
                      <c:pt idx="6">
                        <c:v>62.05</c:v>
                      </c:pt>
                      <c:pt idx="7">
                        <c:v>-51.69</c:v>
                      </c:pt>
                      <c:pt idx="8">
                        <c:v>20</c:v>
                      </c:pt>
                      <c:pt idx="9">
                        <c:v>40.799999999999997</c:v>
                      </c:pt>
                      <c:pt idx="10">
                        <c:v>-9.41</c:v>
                      </c:pt>
                      <c:pt idx="11">
                        <c:v>-28.79</c:v>
                      </c:pt>
                      <c:pt idx="12">
                        <c:v>118.14</c:v>
                      </c:pt>
                      <c:pt idx="13">
                        <c:v>-14.19</c:v>
                      </c:pt>
                      <c:pt idx="14">
                        <c:v>-48.71</c:v>
                      </c:pt>
                    </c:numCache>
                  </c:numRef>
                </c:val>
                <c:smooth val="0"/>
                <c:extLst xmlns:c15="http://schemas.microsoft.com/office/drawing/2012/chart">
                  <c:ext xmlns:c16="http://schemas.microsoft.com/office/drawing/2014/chart" uri="{C3380CC4-5D6E-409C-BE32-E72D297353CC}">
                    <c16:uniqueId val="{00000001-B3A6-4CDE-AB08-6B8D4F26AFA8}"/>
                  </c:ext>
                </c:extLst>
              </c15:ser>
            </c15:filteredLineSeries>
          </c:ext>
        </c:extLst>
      </c:lineChart>
      <c:dateAx>
        <c:axId val="158783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Months</a:t>
                </a:r>
                <a:r>
                  <a:rPr lang="en-PH" baseline="0"/>
                  <a:t> (months-year)</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844335"/>
        <c:crosses val="autoZero"/>
        <c:auto val="1"/>
        <c:lblOffset val="100"/>
        <c:baseTimeUnit val="months"/>
      </c:dateAx>
      <c:valAx>
        <c:axId val="1587844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83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&amp; derived tables'!$I$3</c:f>
              <c:strCache>
                <c:ptCount val="1"/>
                <c:pt idx="0">
                  <c:v>Expenses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3.253153375026778E-2"/>
                  <c:y val="3.69701357812881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18-4386-8375-6F6ED0598A01}"/>
                </c:ext>
              </c:extLst>
            </c:dLbl>
            <c:dLbl>
              <c:idx val="2"/>
              <c:layout>
                <c:manualLayout>
                  <c:x val="-4.1109681197265768E-2"/>
                  <c:y val="4.13157392282070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18-4386-8375-6F6ED0598A01}"/>
                </c:ext>
              </c:extLst>
            </c:dLbl>
            <c:dLbl>
              <c:idx val="6"/>
              <c:layout>
                <c:manualLayout>
                  <c:x val="-4.1618554350901241E-2"/>
                  <c:y val="5.00069461220450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18-4386-8375-6F6ED0598A01}"/>
                </c:ext>
              </c:extLst>
            </c:dLbl>
            <c:dLbl>
              <c:idx val="9"/>
              <c:layout>
                <c:manualLayout>
                  <c:x val="-5.252297907166139E-2"/>
                  <c:y val="4.5661342675126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418-4386-8375-6F6ED0598A01}"/>
                </c:ext>
              </c:extLst>
            </c:dLbl>
            <c:dLbl>
              <c:idx val="10"/>
              <c:layout>
                <c:manualLayout>
                  <c:x val="-3.253153375026778E-2"/>
                  <c:y val="5.00069461220450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18-4386-8375-6F6ED0598A01}"/>
                </c:ext>
              </c:extLst>
            </c:dLbl>
            <c:dLbl>
              <c:idx val="12"/>
              <c:layout>
                <c:manualLayout>
                  <c:x val="-3.2022660596632439E-2"/>
                  <c:y val="4.13157392282072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418-4386-8375-6F6ED0598A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tables'!$I$4:$I$18</c:f>
              <c:numCache>
                <c:formatCode>General</c:formatCode>
                <c:ptCount val="15"/>
                <c:pt idx="0">
                  <c:v>10181</c:v>
                </c:pt>
                <c:pt idx="1">
                  <c:v>32023</c:v>
                </c:pt>
                <c:pt idx="2">
                  <c:v>9647</c:v>
                </c:pt>
                <c:pt idx="3">
                  <c:v>17583</c:v>
                </c:pt>
                <c:pt idx="4">
                  <c:v>18789</c:v>
                </c:pt>
                <c:pt idx="5">
                  <c:v>16059</c:v>
                </c:pt>
                <c:pt idx="6">
                  <c:v>12242</c:v>
                </c:pt>
                <c:pt idx="7">
                  <c:v>20411</c:v>
                </c:pt>
                <c:pt idx="8">
                  <c:v>21985</c:v>
                </c:pt>
                <c:pt idx="9">
                  <c:v>11107</c:v>
                </c:pt>
                <c:pt idx="10">
                  <c:v>11720</c:v>
                </c:pt>
                <c:pt idx="11">
                  <c:v>25236</c:v>
                </c:pt>
                <c:pt idx="12">
                  <c:v>9721</c:v>
                </c:pt>
                <c:pt idx="13">
                  <c:v>20499</c:v>
                </c:pt>
                <c:pt idx="14">
                  <c:v>19636</c:v>
                </c:pt>
              </c:numCache>
            </c:numRef>
          </c:val>
          <c:smooth val="0"/>
          <c:extLst>
            <c:ext xmlns:c16="http://schemas.microsoft.com/office/drawing/2014/chart" uri="{C3380CC4-5D6E-409C-BE32-E72D297353CC}">
              <c16:uniqueId val="{00000000-A889-47E1-8831-6E660726DFD6}"/>
            </c:ext>
          </c:extLst>
        </c:ser>
        <c:dLbls>
          <c:dLblPos val="t"/>
          <c:showLegendKey val="0"/>
          <c:showVal val="1"/>
          <c:showCatName val="0"/>
          <c:showSerName val="0"/>
          <c:showPercent val="0"/>
          <c:showBubbleSize val="0"/>
        </c:dLbls>
        <c:marker val="1"/>
        <c:smooth val="0"/>
        <c:axId val="1587838095"/>
        <c:axId val="1587844335"/>
        <c:extLst>
          <c:ext xmlns:c15="http://schemas.microsoft.com/office/drawing/2012/chart" uri="{02D57815-91ED-43cb-92C2-25804820EDAC}">
            <c15:filteredLineSeries>
              <c15:ser>
                <c:idx val="1"/>
                <c:order val="1"/>
                <c:tx>
                  <c:strRef>
                    <c:extLst>
                      <c:ext uri="{02D57815-91ED-43cb-92C2-25804820EDAC}">
                        <c15:formulaRef>
                          <c15:sqref>'Pivot &amp; derived tables'!$J$3</c15:sqref>
                        </c15:formulaRef>
                      </c:ext>
                    </c:extLst>
                    <c:strCache>
                      <c:ptCount val="1"/>
                      <c:pt idx="0">
                        <c:v>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uri="{02D57815-91ED-43cb-92C2-25804820EDAC}">
                        <c15:formulaRef>
                          <c15:sqref>'Pivot &amp; derived tables'!$J$4:$J$18</c15:sqref>
                        </c15:formulaRef>
                      </c:ext>
                    </c:extLst>
                    <c:numCache>
                      <c:formatCode>General</c:formatCode>
                      <c:ptCount val="15"/>
                      <c:pt idx="0">
                        <c:v>70026</c:v>
                      </c:pt>
                      <c:pt idx="1">
                        <c:v>43465</c:v>
                      </c:pt>
                      <c:pt idx="2">
                        <c:v>25466</c:v>
                      </c:pt>
                      <c:pt idx="3">
                        <c:v>25195</c:v>
                      </c:pt>
                      <c:pt idx="4">
                        <c:v>25195</c:v>
                      </c:pt>
                      <c:pt idx="5">
                        <c:v>32231</c:v>
                      </c:pt>
                      <c:pt idx="6">
                        <c:v>52230</c:v>
                      </c:pt>
                      <c:pt idx="7">
                        <c:v>25231</c:v>
                      </c:pt>
                      <c:pt idx="8">
                        <c:v>30278</c:v>
                      </c:pt>
                      <c:pt idx="9">
                        <c:v>42632</c:v>
                      </c:pt>
                      <c:pt idx="10">
                        <c:v>38620</c:v>
                      </c:pt>
                      <c:pt idx="11">
                        <c:v>27502</c:v>
                      </c:pt>
                      <c:pt idx="12">
                        <c:v>59992</c:v>
                      </c:pt>
                      <c:pt idx="13">
                        <c:v>51481</c:v>
                      </c:pt>
                      <c:pt idx="14">
                        <c:v>26403</c:v>
                      </c:pt>
                    </c:numCache>
                  </c:numRef>
                </c:val>
                <c:smooth val="0"/>
                <c:extLst>
                  <c:ext xmlns:c16="http://schemas.microsoft.com/office/drawing/2014/chart" uri="{C3380CC4-5D6E-409C-BE32-E72D297353CC}">
                    <c16:uniqueId val="{00000001-A889-47E1-8831-6E660726DFD6}"/>
                  </c:ext>
                </c:extLst>
              </c15:ser>
            </c15:filteredLineSeries>
            <c15:filteredLineSeries>
              <c15:ser>
                <c:idx val="2"/>
                <c:order val="2"/>
                <c:tx>
                  <c:strRef>
                    <c:extLst>
                      <c:ext xmlns:c15="http://schemas.microsoft.com/office/drawing/2012/chart" uri="{02D57815-91ED-43cb-92C2-25804820EDAC}">
                        <c15:formulaRef>
                          <c15:sqref>'Pivot &amp; derived tables'!$K$3</c15:sqref>
                        </c15:formulaRef>
                      </c:ext>
                    </c:extLst>
                    <c:strCache>
                      <c:ptCount val="1"/>
                      <c:pt idx="0">
                        <c:v>Net 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tables'!$K$4:$K$18</c15:sqref>
                        </c15:formulaRef>
                      </c:ext>
                    </c:extLst>
                    <c:numCache>
                      <c:formatCode>General</c:formatCode>
                      <c:ptCount val="15"/>
                      <c:pt idx="0">
                        <c:v>59845</c:v>
                      </c:pt>
                      <c:pt idx="1">
                        <c:v>11442</c:v>
                      </c:pt>
                      <c:pt idx="2">
                        <c:v>15819</c:v>
                      </c:pt>
                      <c:pt idx="3">
                        <c:v>7612</c:v>
                      </c:pt>
                      <c:pt idx="4">
                        <c:v>6406</c:v>
                      </c:pt>
                      <c:pt idx="5">
                        <c:v>16172</c:v>
                      </c:pt>
                      <c:pt idx="6">
                        <c:v>39988</c:v>
                      </c:pt>
                      <c:pt idx="7">
                        <c:v>4820</c:v>
                      </c:pt>
                      <c:pt idx="8">
                        <c:v>8293</c:v>
                      </c:pt>
                      <c:pt idx="9">
                        <c:v>31525</c:v>
                      </c:pt>
                      <c:pt idx="10">
                        <c:v>26900</c:v>
                      </c:pt>
                      <c:pt idx="11">
                        <c:v>2266</c:v>
                      </c:pt>
                      <c:pt idx="12">
                        <c:v>50271</c:v>
                      </c:pt>
                      <c:pt idx="13">
                        <c:v>30982</c:v>
                      </c:pt>
                      <c:pt idx="14">
                        <c:v>6767</c:v>
                      </c:pt>
                    </c:numCache>
                  </c:numRef>
                </c:val>
                <c:smooth val="0"/>
                <c:extLst xmlns:c15="http://schemas.microsoft.com/office/drawing/2012/chart">
                  <c:ext xmlns:c16="http://schemas.microsoft.com/office/drawing/2014/chart" uri="{C3380CC4-5D6E-409C-BE32-E72D297353CC}">
                    <c16:uniqueId val="{00000002-A889-47E1-8831-6E660726DFD6}"/>
                  </c:ext>
                </c:extLst>
              </c15:ser>
            </c15:filteredLineSeries>
            <c15:filteredLineSeries>
              <c15:ser>
                <c:idx val="3"/>
                <c:order val="3"/>
                <c:tx>
                  <c:strRef>
                    <c:extLst>
                      <c:ext xmlns:c15="http://schemas.microsoft.com/office/drawing/2012/chart" uri="{02D57815-91ED-43cb-92C2-25804820EDAC}">
                        <c15:formulaRef>
                          <c15:sqref>'Pivot &amp; derived tables'!$L$3</c15:sqref>
                        </c15:formulaRef>
                      </c:ext>
                    </c:extLst>
                    <c:strCache>
                      <c:ptCount val="1"/>
                      <c:pt idx="0">
                        <c:v>Income Growth Rate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tables'!$L$4:$L$18</c15:sqref>
                        </c15:formulaRef>
                      </c:ext>
                    </c:extLst>
                    <c:numCache>
                      <c:formatCode>General</c:formatCode>
                      <c:ptCount val="15"/>
                      <c:pt idx="0">
                        <c:v>0</c:v>
                      </c:pt>
                      <c:pt idx="1">
                        <c:v>-37.93</c:v>
                      </c:pt>
                      <c:pt idx="2">
                        <c:v>-41.41</c:v>
                      </c:pt>
                      <c:pt idx="3">
                        <c:v>-1.06</c:v>
                      </c:pt>
                      <c:pt idx="4">
                        <c:v>0</c:v>
                      </c:pt>
                      <c:pt idx="5">
                        <c:v>27.93</c:v>
                      </c:pt>
                      <c:pt idx="6">
                        <c:v>62.05</c:v>
                      </c:pt>
                      <c:pt idx="7">
                        <c:v>-51.69</c:v>
                      </c:pt>
                      <c:pt idx="8">
                        <c:v>20</c:v>
                      </c:pt>
                      <c:pt idx="9">
                        <c:v>40.799999999999997</c:v>
                      </c:pt>
                      <c:pt idx="10">
                        <c:v>-9.41</c:v>
                      </c:pt>
                      <c:pt idx="11">
                        <c:v>-28.79</c:v>
                      </c:pt>
                      <c:pt idx="12">
                        <c:v>118.14</c:v>
                      </c:pt>
                      <c:pt idx="13">
                        <c:v>-14.19</c:v>
                      </c:pt>
                      <c:pt idx="14">
                        <c:v>-48.71</c:v>
                      </c:pt>
                    </c:numCache>
                  </c:numRef>
                </c:val>
                <c:smooth val="0"/>
                <c:extLst xmlns:c15="http://schemas.microsoft.com/office/drawing/2012/chart">
                  <c:ext xmlns:c16="http://schemas.microsoft.com/office/drawing/2014/chart" uri="{C3380CC4-5D6E-409C-BE32-E72D297353CC}">
                    <c16:uniqueId val="{00000001-0B12-4F95-999E-F4DFA49B0758}"/>
                  </c:ext>
                </c:extLst>
              </c15:ser>
            </c15:filteredLineSeries>
          </c:ext>
        </c:extLst>
      </c:lineChart>
      <c:dateAx>
        <c:axId val="158783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a:t>
                </a:r>
                <a:r>
                  <a:rPr lang="en-PH" baseline="0"/>
                  <a:t>s (month-year)</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844335"/>
        <c:crosses val="autoZero"/>
        <c:auto val="1"/>
        <c:lblOffset val="100"/>
        <c:baseTimeUnit val="months"/>
      </c:dateAx>
      <c:valAx>
        <c:axId val="1587844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83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Monhtly</a:t>
            </a:r>
            <a:r>
              <a:rPr lang="en-US" b="1" baseline="0"/>
              <a:t> </a:t>
            </a:r>
            <a:r>
              <a:rPr lang="en-US" b="1"/>
              <a:t>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'Pivot &amp; derived tables'!$J$3</c:f>
              <c:strCache>
                <c:ptCount val="1"/>
                <c:pt idx="0">
                  <c:v>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
              <c:layout>
                <c:manualLayout>
                  <c:x val="-1.8419768650443539E-2"/>
                  <c:y val="-5.89950849766092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C9B-4684-9841-8BB0FFC71D29}"/>
                </c:ext>
              </c:extLst>
            </c:dLbl>
            <c:dLbl>
              <c:idx val="2"/>
              <c:layout>
                <c:manualLayout>
                  <c:x val="-5.1533959482701584E-2"/>
                  <c:y val="5.46880702232761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9B-4684-9841-8BB0FFC71D29}"/>
                </c:ext>
              </c:extLst>
            </c:dLbl>
            <c:dLbl>
              <c:idx val="4"/>
              <c:layout>
                <c:manualLayout>
                  <c:x val="-4.1185774847620947E-2"/>
                  <c:y val="5.03156411771267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9B-4684-9841-8BB0FFC71D29}"/>
                </c:ext>
              </c:extLst>
            </c:dLbl>
            <c:dLbl>
              <c:idx val="5"/>
              <c:layout>
                <c:manualLayout>
                  <c:x val="-2.4628679431491923E-2"/>
                  <c:y val="4.15707830848278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9B-4684-9841-8BB0FFC71D29}"/>
                </c:ext>
              </c:extLst>
            </c:dLbl>
            <c:dLbl>
              <c:idx val="7"/>
              <c:layout>
                <c:manualLayout>
                  <c:x val="-4.7394685628669331E-2"/>
                  <c:y val="3.71983540386785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9B-4684-9841-8BB0FFC71D29}"/>
                </c:ext>
              </c:extLst>
            </c:dLbl>
            <c:dLbl>
              <c:idx val="8"/>
              <c:layout>
                <c:manualLayout>
                  <c:x val="-2.8767953285524252E-2"/>
                  <c:y val="5.03156411771267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C9B-4684-9841-8BB0FFC71D29}"/>
                </c:ext>
              </c:extLst>
            </c:dLbl>
            <c:dLbl>
              <c:idx val="10"/>
              <c:layout>
                <c:manualLayout>
                  <c:x val="-5.3603596409717714E-2"/>
                  <c:y val="5.03156411771267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C9B-4684-9841-8BB0FFC71D29}"/>
                </c:ext>
              </c:extLst>
            </c:dLbl>
            <c:dLbl>
              <c:idx val="11"/>
              <c:layout>
                <c:manualLayout>
                  <c:x val="-1.6350131723427409E-2"/>
                  <c:y val="3.71983540386784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C9B-4684-9841-8BB0FFC71D29}"/>
                </c:ext>
              </c:extLst>
            </c:dLbl>
            <c:dLbl>
              <c:idx val="13"/>
              <c:layout>
                <c:manualLayout>
                  <c:x val="-3.0319819819819821E-2"/>
                  <c:y val="-4.52008547008546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C9B-4684-9841-8BB0FFC71D29}"/>
                </c:ext>
              </c:extLst>
            </c:dLbl>
            <c:dLbl>
              <c:idx val="14"/>
              <c:layout>
                <c:manualLayout>
                  <c:x val="-3.182840852090723E-2"/>
                  <c:y val="5.0315641177126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C9B-4684-9841-8BB0FFC71D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numRef>
              <c:f>'Pivot &amp; derived tables'!$H$4:$H$18</c:f>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f>'Pivot &amp; derived tables'!$J$4:$J$18</c:f>
              <c:numCache>
                <c:formatCode>General</c:formatCode>
                <c:ptCount val="15"/>
                <c:pt idx="0">
                  <c:v>70026</c:v>
                </c:pt>
                <c:pt idx="1">
                  <c:v>43465</c:v>
                </c:pt>
                <c:pt idx="2">
                  <c:v>25466</c:v>
                </c:pt>
                <c:pt idx="3">
                  <c:v>25195</c:v>
                </c:pt>
                <c:pt idx="4">
                  <c:v>25195</c:v>
                </c:pt>
                <c:pt idx="5">
                  <c:v>32231</c:v>
                </c:pt>
                <c:pt idx="6">
                  <c:v>52230</c:v>
                </c:pt>
                <c:pt idx="7">
                  <c:v>25231</c:v>
                </c:pt>
                <c:pt idx="8">
                  <c:v>30278</c:v>
                </c:pt>
                <c:pt idx="9">
                  <c:v>42632</c:v>
                </c:pt>
                <c:pt idx="10">
                  <c:v>38620</c:v>
                </c:pt>
                <c:pt idx="11">
                  <c:v>27502</c:v>
                </c:pt>
                <c:pt idx="12">
                  <c:v>59992</c:v>
                </c:pt>
                <c:pt idx="13">
                  <c:v>51481</c:v>
                </c:pt>
                <c:pt idx="14">
                  <c:v>26403</c:v>
                </c:pt>
              </c:numCache>
            </c:numRef>
          </c:val>
          <c:smooth val="0"/>
          <c:extLst>
            <c:ext xmlns:c16="http://schemas.microsoft.com/office/drawing/2014/chart" uri="{C3380CC4-5D6E-409C-BE32-E72D297353CC}">
              <c16:uniqueId val="{00000001-A889-47E1-8831-6E660726DFD6}"/>
            </c:ext>
          </c:extLst>
        </c:ser>
        <c:dLbls>
          <c:dLblPos val="t"/>
          <c:showLegendKey val="0"/>
          <c:showVal val="1"/>
          <c:showCatName val="0"/>
          <c:showSerName val="0"/>
          <c:showPercent val="0"/>
          <c:showBubbleSize val="0"/>
        </c:dLbls>
        <c:marker val="1"/>
        <c:smooth val="0"/>
        <c:axId val="1587838095"/>
        <c:axId val="1587844335"/>
        <c:extLst>
          <c:ext xmlns:c15="http://schemas.microsoft.com/office/drawing/2012/chart" uri="{02D57815-91ED-43cb-92C2-25804820EDAC}">
            <c15:filteredLineSeries>
              <c15:ser>
                <c:idx val="0"/>
                <c:order val="0"/>
                <c:tx>
                  <c:strRef>
                    <c:extLst>
                      <c:ext uri="{02D57815-91ED-43cb-92C2-25804820EDAC}">
                        <c15:formulaRef>
                          <c15:sqref>'Pivot &amp; derived tables'!$I$3</c15:sqref>
                        </c15:formulaRef>
                      </c:ext>
                    </c:extLst>
                    <c:strCache>
                      <c:ptCount val="1"/>
                      <c:pt idx="0">
                        <c:v>Expenses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uri="{02D57815-91ED-43cb-92C2-25804820EDAC}">
                        <c15:formulaRef>
                          <c15:sqref>'Pivot &amp; derived tables'!$I$4:$I$18</c15:sqref>
                        </c15:formulaRef>
                      </c:ext>
                    </c:extLst>
                    <c:numCache>
                      <c:formatCode>General</c:formatCode>
                      <c:ptCount val="15"/>
                      <c:pt idx="0">
                        <c:v>10181</c:v>
                      </c:pt>
                      <c:pt idx="1">
                        <c:v>32023</c:v>
                      </c:pt>
                      <c:pt idx="2">
                        <c:v>9647</c:v>
                      </c:pt>
                      <c:pt idx="3">
                        <c:v>17583</c:v>
                      </c:pt>
                      <c:pt idx="4">
                        <c:v>18789</c:v>
                      </c:pt>
                      <c:pt idx="5">
                        <c:v>16059</c:v>
                      </c:pt>
                      <c:pt idx="6">
                        <c:v>12242</c:v>
                      </c:pt>
                      <c:pt idx="7">
                        <c:v>20411</c:v>
                      </c:pt>
                      <c:pt idx="8">
                        <c:v>21985</c:v>
                      </c:pt>
                      <c:pt idx="9">
                        <c:v>11107</c:v>
                      </c:pt>
                      <c:pt idx="10">
                        <c:v>11720</c:v>
                      </c:pt>
                      <c:pt idx="11">
                        <c:v>25236</c:v>
                      </c:pt>
                      <c:pt idx="12">
                        <c:v>9721</c:v>
                      </c:pt>
                      <c:pt idx="13">
                        <c:v>20499</c:v>
                      </c:pt>
                      <c:pt idx="14">
                        <c:v>19636</c:v>
                      </c:pt>
                    </c:numCache>
                  </c:numRef>
                </c:val>
                <c:smooth val="0"/>
                <c:extLst>
                  <c:ext xmlns:c16="http://schemas.microsoft.com/office/drawing/2014/chart" uri="{C3380CC4-5D6E-409C-BE32-E72D297353CC}">
                    <c16:uniqueId val="{00000000-A889-47E1-8831-6E660726DFD6}"/>
                  </c:ext>
                </c:extLst>
              </c15:ser>
            </c15:filteredLineSeries>
            <c15:filteredLineSeries>
              <c15:ser>
                <c:idx val="2"/>
                <c:order val="2"/>
                <c:tx>
                  <c:strRef>
                    <c:extLst>
                      <c:ext xmlns:c15="http://schemas.microsoft.com/office/drawing/2012/chart" uri="{02D57815-91ED-43cb-92C2-25804820EDAC}">
                        <c15:formulaRef>
                          <c15:sqref>'Pivot &amp; derived tables'!$K$3</c15:sqref>
                        </c15:formulaRef>
                      </c:ext>
                    </c:extLst>
                    <c:strCache>
                      <c:ptCount val="1"/>
                      <c:pt idx="0">
                        <c:v>Net 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tables'!$K$4:$K$18</c15:sqref>
                        </c15:formulaRef>
                      </c:ext>
                    </c:extLst>
                    <c:numCache>
                      <c:formatCode>General</c:formatCode>
                      <c:ptCount val="15"/>
                      <c:pt idx="0">
                        <c:v>59845</c:v>
                      </c:pt>
                      <c:pt idx="1">
                        <c:v>11442</c:v>
                      </c:pt>
                      <c:pt idx="2">
                        <c:v>15819</c:v>
                      </c:pt>
                      <c:pt idx="3">
                        <c:v>7612</c:v>
                      </c:pt>
                      <c:pt idx="4">
                        <c:v>6406</c:v>
                      </c:pt>
                      <c:pt idx="5">
                        <c:v>16172</c:v>
                      </c:pt>
                      <c:pt idx="6">
                        <c:v>39988</c:v>
                      </c:pt>
                      <c:pt idx="7">
                        <c:v>4820</c:v>
                      </c:pt>
                      <c:pt idx="8">
                        <c:v>8293</c:v>
                      </c:pt>
                      <c:pt idx="9">
                        <c:v>31525</c:v>
                      </c:pt>
                      <c:pt idx="10">
                        <c:v>26900</c:v>
                      </c:pt>
                      <c:pt idx="11">
                        <c:v>2266</c:v>
                      </c:pt>
                      <c:pt idx="12">
                        <c:v>50271</c:v>
                      </c:pt>
                      <c:pt idx="13">
                        <c:v>30982</c:v>
                      </c:pt>
                      <c:pt idx="14">
                        <c:v>6767</c:v>
                      </c:pt>
                    </c:numCache>
                  </c:numRef>
                </c:val>
                <c:smooth val="0"/>
                <c:extLst xmlns:c15="http://schemas.microsoft.com/office/drawing/2012/chart">
                  <c:ext xmlns:c16="http://schemas.microsoft.com/office/drawing/2014/chart" uri="{C3380CC4-5D6E-409C-BE32-E72D297353CC}">
                    <c16:uniqueId val="{00000002-A889-47E1-8831-6E660726DFD6}"/>
                  </c:ext>
                </c:extLst>
              </c15:ser>
            </c15:filteredLineSeries>
            <c15:filteredLineSeries>
              <c15:ser>
                <c:idx val="3"/>
                <c:order val="3"/>
                <c:tx>
                  <c:strRef>
                    <c:extLst>
                      <c:ext xmlns:c15="http://schemas.microsoft.com/office/drawing/2012/chart" uri="{02D57815-91ED-43cb-92C2-25804820EDAC}">
                        <c15:formulaRef>
                          <c15:sqref>'Pivot &amp; derived tables'!$L$3</c15:sqref>
                        </c15:formulaRef>
                      </c:ext>
                    </c:extLst>
                    <c:strCache>
                      <c:ptCount val="1"/>
                      <c:pt idx="0">
                        <c:v>Income Growth Rate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ormulaRef>
                          <c15:sqref>'Pivot &amp; derived tables'!$H$4:$H$18</c15:sqref>
                        </c15:formulaRef>
                      </c:ext>
                    </c:extLst>
                    <c:numCache>
                      <c:formatCode>mmm\-yy</c:formatCode>
                      <c:ptCount val="15"/>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numCache>
                  </c:numRef>
                </c:cat>
                <c:val>
                  <c:numRef>
                    <c:extLst>
                      <c:ext xmlns:c15="http://schemas.microsoft.com/office/drawing/2012/chart" uri="{02D57815-91ED-43cb-92C2-25804820EDAC}">
                        <c15:formulaRef>
                          <c15:sqref>'Pivot &amp; derived tables'!$L$4:$L$18</c15:sqref>
                        </c15:formulaRef>
                      </c:ext>
                    </c:extLst>
                    <c:numCache>
                      <c:formatCode>General</c:formatCode>
                      <c:ptCount val="15"/>
                      <c:pt idx="0">
                        <c:v>0</c:v>
                      </c:pt>
                      <c:pt idx="1">
                        <c:v>-37.93</c:v>
                      </c:pt>
                      <c:pt idx="2">
                        <c:v>-41.41</c:v>
                      </c:pt>
                      <c:pt idx="3">
                        <c:v>-1.06</c:v>
                      </c:pt>
                      <c:pt idx="4">
                        <c:v>0</c:v>
                      </c:pt>
                      <c:pt idx="5">
                        <c:v>27.93</c:v>
                      </c:pt>
                      <c:pt idx="6">
                        <c:v>62.05</c:v>
                      </c:pt>
                      <c:pt idx="7">
                        <c:v>-51.69</c:v>
                      </c:pt>
                      <c:pt idx="8">
                        <c:v>20</c:v>
                      </c:pt>
                      <c:pt idx="9">
                        <c:v>40.799999999999997</c:v>
                      </c:pt>
                      <c:pt idx="10">
                        <c:v>-9.41</c:v>
                      </c:pt>
                      <c:pt idx="11">
                        <c:v>-28.79</c:v>
                      </c:pt>
                      <c:pt idx="12">
                        <c:v>118.14</c:v>
                      </c:pt>
                      <c:pt idx="13">
                        <c:v>-14.19</c:v>
                      </c:pt>
                      <c:pt idx="14">
                        <c:v>-48.71</c:v>
                      </c:pt>
                    </c:numCache>
                  </c:numRef>
                </c:val>
                <c:smooth val="0"/>
                <c:extLst xmlns:c15="http://schemas.microsoft.com/office/drawing/2012/chart">
                  <c:ext xmlns:c16="http://schemas.microsoft.com/office/drawing/2014/chart" uri="{C3380CC4-5D6E-409C-BE32-E72D297353CC}">
                    <c16:uniqueId val="{00000001-C48F-42E3-8088-2E52D8C944D2}"/>
                  </c:ext>
                </c:extLst>
              </c15:ser>
            </c15:filteredLineSeries>
          </c:ext>
        </c:extLst>
      </c:lineChart>
      <c:dateAx>
        <c:axId val="158783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Months (month-year)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844335"/>
        <c:crosses val="autoZero"/>
        <c:auto val="1"/>
        <c:lblOffset val="100"/>
        <c:baseTimeUnit val="months"/>
      </c:dateAx>
      <c:valAx>
        <c:axId val="1587844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83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Income Gained</a:t>
            </a:r>
            <a:r>
              <a:rPr lang="en-US" b="1" baseline="0"/>
              <a:t> from Each Income </a:t>
            </a:r>
            <a:r>
              <a:rPr lang="en-US" b="1"/>
              <a:t>Sources</a:t>
            </a:r>
          </a:p>
        </c:rich>
      </c:tx>
      <c:layout>
        <c:manualLayout>
          <c:xMode val="edge"/>
          <c:yMode val="edge"/>
          <c:x val="0.23822597597597597"/>
          <c:y val="3.12501393068093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&amp; derived tables'!$AC$6</c:f>
              <c:strCache>
                <c:ptCount val="1"/>
                <c:pt idx="0">
                  <c:v>Sum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tables'!$AB$7:$AB$19</c:f>
              <c:strCache>
                <c:ptCount val="13"/>
                <c:pt idx="0">
                  <c:v>???</c:v>
                </c:pt>
                <c:pt idx="1">
                  <c:v>13th month pay</c:v>
                </c:pt>
                <c:pt idx="2">
                  <c:v>Bonus salary</c:v>
                </c:pt>
                <c:pt idx="3">
                  <c:v>cash allowance</c:v>
                </c:pt>
                <c:pt idx="4">
                  <c:v>cash gift</c:v>
                </c:pt>
                <c:pt idx="5">
                  <c:v>chalk allowance</c:v>
                </c:pt>
                <c:pt idx="6">
                  <c:v>clothing allowance</c:v>
                </c:pt>
                <c:pt idx="7">
                  <c:v>Income (with bonus?)</c:v>
                </c:pt>
                <c:pt idx="8">
                  <c:v>PBB</c:v>
                </c:pt>
                <c:pt idx="9">
                  <c:v>salary</c:v>
                </c:pt>
                <c:pt idx="10">
                  <c:v>SRI</c:v>
                </c:pt>
                <c:pt idx="11">
                  <c:v>Tahong harvest</c:v>
                </c:pt>
                <c:pt idx="12">
                  <c:v>year-end bonus</c:v>
                </c:pt>
              </c:strCache>
            </c:strRef>
          </c:cat>
          <c:val>
            <c:numRef>
              <c:f>'Pivot &amp; derived tables'!$AC$7:$AC$19</c:f>
              <c:numCache>
                <c:formatCode>General</c:formatCode>
                <c:ptCount val="13"/>
                <c:pt idx="0">
                  <c:v>1021</c:v>
                </c:pt>
                <c:pt idx="1">
                  <c:v>25000</c:v>
                </c:pt>
                <c:pt idx="2">
                  <c:v>27000</c:v>
                </c:pt>
                <c:pt idx="3">
                  <c:v>5000</c:v>
                </c:pt>
                <c:pt idx="4">
                  <c:v>5000</c:v>
                </c:pt>
                <c:pt idx="5">
                  <c:v>5000</c:v>
                </c:pt>
                <c:pt idx="6">
                  <c:v>6000</c:v>
                </c:pt>
                <c:pt idx="7">
                  <c:v>44732</c:v>
                </c:pt>
                <c:pt idx="8">
                  <c:v>12400</c:v>
                </c:pt>
                <c:pt idx="9">
                  <c:v>430554</c:v>
                </c:pt>
                <c:pt idx="10">
                  <c:v>18000</c:v>
                </c:pt>
                <c:pt idx="11">
                  <c:v>12560</c:v>
                </c:pt>
                <c:pt idx="12">
                  <c:v>27000</c:v>
                </c:pt>
              </c:numCache>
            </c:numRef>
          </c:val>
          <c:extLst>
            <c:ext xmlns:c16="http://schemas.microsoft.com/office/drawing/2014/chart" uri="{C3380CC4-5D6E-409C-BE32-E72D297353CC}">
              <c16:uniqueId val="{00000000-64AA-47E9-878F-DAB7F05F8DD0}"/>
            </c:ext>
          </c:extLst>
        </c:ser>
        <c:dLbls>
          <c:dLblPos val="outEnd"/>
          <c:showLegendKey val="0"/>
          <c:showVal val="1"/>
          <c:showCatName val="0"/>
          <c:showSerName val="0"/>
          <c:showPercent val="0"/>
          <c:showBubbleSize val="0"/>
        </c:dLbls>
        <c:gapWidth val="219"/>
        <c:overlap val="-27"/>
        <c:axId val="2012997967"/>
        <c:axId val="2012998447"/>
        <c:extLst>
          <c:ext xmlns:c15="http://schemas.microsoft.com/office/drawing/2012/chart" uri="{02D57815-91ED-43cb-92C2-25804820EDAC}">
            <c15:filteredBarSeries>
              <c15:ser>
                <c:idx val="1"/>
                <c:order val="1"/>
                <c:tx>
                  <c:strRef>
                    <c:extLst>
                      <c:ext uri="{02D57815-91ED-43cb-92C2-25804820EDAC}">
                        <c15:formulaRef>
                          <c15:sqref>'Pivot &amp; derived tables'!$AD$6</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tables'!$AB$7:$AB$19</c15:sqref>
                        </c15:formulaRef>
                      </c:ext>
                    </c:extLst>
                    <c:strCache>
                      <c:ptCount val="13"/>
                      <c:pt idx="0">
                        <c:v>???</c:v>
                      </c:pt>
                      <c:pt idx="1">
                        <c:v>13th month pay</c:v>
                      </c:pt>
                      <c:pt idx="2">
                        <c:v>Bonus salary</c:v>
                      </c:pt>
                      <c:pt idx="3">
                        <c:v>cash allowance</c:v>
                      </c:pt>
                      <c:pt idx="4">
                        <c:v>cash gift</c:v>
                      </c:pt>
                      <c:pt idx="5">
                        <c:v>chalk allowance</c:v>
                      </c:pt>
                      <c:pt idx="6">
                        <c:v>clothing allowance</c:v>
                      </c:pt>
                      <c:pt idx="7">
                        <c:v>Income (with bonus?)</c:v>
                      </c:pt>
                      <c:pt idx="8">
                        <c:v>PBB</c:v>
                      </c:pt>
                      <c:pt idx="9">
                        <c:v>salary</c:v>
                      </c:pt>
                      <c:pt idx="10">
                        <c:v>SRI</c:v>
                      </c:pt>
                      <c:pt idx="11">
                        <c:v>Tahong harvest</c:v>
                      </c:pt>
                      <c:pt idx="12">
                        <c:v>year-end bonus</c:v>
                      </c:pt>
                    </c:strCache>
                  </c:strRef>
                </c:cat>
                <c:val>
                  <c:numRef>
                    <c:extLst>
                      <c:ext uri="{02D57815-91ED-43cb-92C2-25804820EDAC}">
                        <c15:formulaRef>
                          <c15:sqref>'Pivot &amp; derived tables'!$AD$7:$AD$19</c15:sqref>
                        </c15:formulaRef>
                      </c:ext>
                    </c:extLst>
                    <c:numCache>
                      <c:formatCode>General</c:formatCode>
                      <c:ptCount val="13"/>
                      <c:pt idx="0">
                        <c:v>1</c:v>
                      </c:pt>
                      <c:pt idx="1">
                        <c:v>1</c:v>
                      </c:pt>
                      <c:pt idx="2">
                        <c:v>1</c:v>
                      </c:pt>
                      <c:pt idx="3">
                        <c:v>1</c:v>
                      </c:pt>
                      <c:pt idx="4">
                        <c:v>1</c:v>
                      </c:pt>
                      <c:pt idx="5">
                        <c:v>1</c:v>
                      </c:pt>
                      <c:pt idx="6">
                        <c:v>1</c:v>
                      </c:pt>
                      <c:pt idx="7">
                        <c:v>1</c:v>
                      </c:pt>
                      <c:pt idx="8">
                        <c:v>1</c:v>
                      </c:pt>
                      <c:pt idx="9">
                        <c:v>32</c:v>
                      </c:pt>
                      <c:pt idx="10">
                        <c:v>1</c:v>
                      </c:pt>
                      <c:pt idx="11">
                        <c:v>1</c:v>
                      </c:pt>
                      <c:pt idx="12">
                        <c:v>1</c:v>
                      </c:pt>
                    </c:numCache>
                  </c:numRef>
                </c:val>
                <c:extLst>
                  <c:ext xmlns:c16="http://schemas.microsoft.com/office/drawing/2014/chart" uri="{C3380CC4-5D6E-409C-BE32-E72D297353CC}">
                    <c16:uniqueId val="{00000001-64AA-47E9-878F-DAB7F05F8DD0}"/>
                  </c:ext>
                </c:extLst>
              </c15:ser>
            </c15:filteredBarSeries>
          </c:ext>
        </c:extLst>
      </c:barChart>
      <c:catAx>
        <c:axId val="2012997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 Source</a:t>
                </a:r>
              </a:p>
            </c:rich>
          </c:tx>
          <c:layout>
            <c:manualLayout>
              <c:xMode val="edge"/>
              <c:yMode val="edge"/>
              <c:x val="0.44103858858858858"/>
              <c:y val="0.903710576172963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98447"/>
        <c:crosses val="autoZero"/>
        <c:auto val="1"/>
        <c:lblAlgn val="ctr"/>
        <c:lblOffset val="100"/>
        <c:noMultiLvlLbl val="0"/>
      </c:catAx>
      <c:valAx>
        <c:axId val="201299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6834984984984983E-2"/>
              <c:y val="0.3066443775771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9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Number of Transactions from Each Income Sources</a:t>
            </a:r>
          </a:p>
        </c:rich>
      </c:tx>
      <c:layout>
        <c:manualLayout>
          <c:xMode val="edge"/>
          <c:yMode val="edge"/>
          <c:x val="0.27064339339339338"/>
          <c:y val="3.12501393068093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'Pivot &amp; derived tables'!$AD$6</c:f>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tables'!$AB$7:$AB$19</c:f>
              <c:strCache>
                <c:ptCount val="13"/>
                <c:pt idx="0">
                  <c:v>???</c:v>
                </c:pt>
                <c:pt idx="1">
                  <c:v>13th month pay</c:v>
                </c:pt>
                <c:pt idx="2">
                  <c:v>Bonus salary</c:v>
                </c:pt>
                <c:pt idx="3">
                  <c:v>cash allowance</c:v>
                </c:pt>
                <c:pt idx="4">
                  <c:v>cash gift</c:v>
                </c:pt>
                <c:pt idx="5">
                  <c:v>chalk allowance</c:v>
                </c:pt>
                <c:pt idx="6">
                  <c:v>clothing allowance</c:v>
                </c:pt>
                <c:pt idx="7">
                  <c:v>Income (with bonus?)</c:v>
                </c:pt>
                <c:pt idx="8">
                  <c:v>PBB</c:v>
                </c:pt>
                <c:pt idx="9">
                  <c:v>salary</c:v>
                </c:pt>
                <c:pt idx="10">
                  <c:v>SRI</c:v>
                </c:pt>
                <c:pt idx="11">
                  <c:v>Tahong harvest</c:v>
                </c:pt>
                <c:pt idx="12">
                  <c:v>year-end bonus</c:v>
                </c:pt>
              </c:strCache>
            </c:strRef>
          </c:cat>
          <c:val>
            <c:numRef>
              <c:f>'Pivot &amp; derived tables'!$AD$7:$AD$19</c:f>
              <c:numCache>
                <c:formatCode>General</c:formatCode>
                <c:ptCount val="13"/>
                <c:pt idx="0">
                  <c:v>1</c:v>
                </c:pt>
                <c:pt idx="1">
                  <c:v>1</c:v>
                </c:pt>
                <c:pt idx="2">
                  <c:v>1</c:v>
                </c:pt>
                <c:pt idx="3">
                  <c:v>1</c:v>
                </c:pt>
                <c:pt idx="4">
                  <c:v>1</c:v>
                </c:pt>
                <c:pt idx="5">
                  <c:v>1</c:v>
                </c:pt>
                <c:pt idx="6">
                  <c:v>1</c:v>
                </c:pt>
                <c:pt idx="7">
                  <c:v>1</c:v>
                </c:pt>
                <c:pt idx="8">
                  <c:v>1</c:v>
                </c:pt>
                <c:pt idx="9">
                  <c:v>32</c:v>
                </c:pt>
                <c:pt idx="10">
                  <c:v>1</c:v>
                </c:pt>
                <c:pt idx="11">
                  <c:v>1</c:v>
                </c:pt>
                <c:pt idx="12">
                  <c:v>1</c:v>
                </c:pt>
              </c:numCache>
            </c:numRef>
          </c:val>
          <c:extLst xmlns:c15="http://schemas.microsoft.com/office/drawing/2012/chart">
            <c:ext xmlns:c16="http://schemas.microsoft.com/office/drawing/2014/chart" uri="{C3380CC4-5D6E-409C-BE32-E72D297353CC}">
              <c16:uniqueId val="{00000001-64AA-47E9-878F-DAB7F05F8DD0}"/>
            </c:ext>
          </c:extLst>
        </c:ser>
        <c:dLbls>
          <c:dLblPos val="outEnd"/>
          <c:showLegendKey val="0"/>
          <c:showVal val="1"/>
          <c:showCatName val="0"/>
          <c:showSerName val="0"/>
          <c:showPercent val="0"/>
          <c:showBubbleSize val="0"/>
        </c:dLbls>
        <c:gapWidth val="219"/>
        <c:overlap val="-27"/>
        <c:axId val="2012997967"/>
        <c:axId val="2012998447"/>
        <c:extLst>
          <c:ext xmlns:c15="http://schemas.microsoft.com/office/drawing/2012/chart" uri="{02D57815-91ED-43cb-92C2-25804820EDAC}">
            <c15:filteredBarSeries>
              <c15:ser>
                <c:idx val="0"/>
                <c:order val="0"/>
                <c:tx>
                  <c:strRef>
                    <c:extLst>
                      <c:ext uri="{02D57815-91ED-43cb-92C2-25804820EDAC}">
                        <c15:formulaRef>
                          <c15:sqref>'Pivot &amp; derived tables'!$AC$6</c15:sqref>
                        </c15:formulaRef>
                      </c:ext>
                    </c:extLst>
                    <c:strCache>
                      <c:ptCount val="1"/>
                      <c:pt idx="0">
                        <c:v>Sum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tables'!$AB$7:$AB$19</c15:sqref>
                        </c15:formulaRef>
                      </c:ext>
                    </c:extLst>
                    <c:strCache>
                      <c:ptCount val="13"/>
                      <c:pt idx="0">
                        <c:v>???</c:v>
                      </c:pt>
                      <c:pt idx="1">
                        <c:v>13th month pay</c:v>
                      </c:pt>
                      <c:pt idx="2">
                        <c:v>Bonus salary</c:v>
                      </c:pt>
                      <c:pt idx="3">
                        <c:v>cash allowance</c:v>
                      </c:pt>
                      <c:pt idx="4">
                        <c:v>cash gift</c:v>
                      </c:pt>
                      <c:pt idx="5">
                        <c:v>chalk allowance</c:v>
                      </c:pt>
                      <c:pt idx="6">
                        <c:v>clothing allowance</c:v>
                      </c:pt>
                      <c:pt idx="7">
                        <c:v>Income (with bonus?)</c:v>
                      </c:pt>
                      <c:pt idx="8">
                        <c:v>PBB</c:v>
                      </c:pt>
                      <c:pt idx="9">
                        <c:v>salary</c:v>
                      </c:pt>
                      <c:pt idx="10">
                        <c:v>SRI</c:v>
                      </c:pt>
                      <c:pt idx="11">
                        <c:v>Tahong harvest</c:v>
                      </c:pt>
                      <c:pt idx="12">
                        <c:v>year-end bonus</c:v>
                      </c:pt>
                    </c:strCache>
                  </c:strRef>
                </c:cat>
                <c:val>
                  <c:numRef>
                    <c:extLst>
                      <c:ext uri="{02D57815-91ED-43cb-92C2-25804820EDAC}">
                        <c15:formulaRef>
                          <c15:sqref>'Pivot &amp; derived tables'!$AC$7:$AC$19</c15:sqref>
                        </c15:formulaRef>
                      </c:ext>
                    </c:extLst>
                    <c:numCache>
                      <c:formatCode>General</c:formatCode>
                      <c:ptCount val="13"/>
                      <c:pt idx="0">
                        <c:v>1021</c:v>
                      </c:pt>
                      <c:pt idx="1">
                        <c:v>25000</c:v>
                      </c:pt>
                      <c:pt idx="2">
                        <c:v>27000</c:v>
                      </c:pt>
                      <c:pt idx="3">
                        <c:v>5000</c:v>
                      </c:pt>
                      <c:pt idx="4">
                        <c:v>5000</c:v>
                      </c:pt>
                      <c:pt idx="5">
                        <c:v>5000</c:v>
                      </c:pt>
                      <c:pt idx="6">
                        <c:v>6000</c:v>
                      </c:pt>
                      <c:pt idx="7">
                        <c:v>44732</c:v>
                      </c:pt>
                      <c:pt idx="8">
                        <c:v>12400</c:v>
                      </c:pt>
                      <c:pt idx="9">
                        <c:v>430554</c:v>
                      </c:pt>
                      <c:pt idx="10">
                        <c:v>18000</c:v>
                      </c:pt>
                      <c:pt idx="11">
                        <c:v>12560</c:v>
                      </c:pt>
                      <c:pt idx="12">
                        <c:v>27000</c:v>
                      </c:pt>
                    </c:numCache>
                  </c:numRef>
                </c:val>
                <c:extLst>
                  <c:ext xmlns:c16="http://schemas.microsoft.com/office/drawing/2014/chart" uri="{C3380CC4-5D6E-409C-BE32-E72D297353CC}">
                    <c16:uniqueId val="{00000000-64AA-47E9-878F-DAB7F05F8DD0}"/>
                  </c:ext>
                </c:extLst>
              </c15:ser>
            </c15:filteredBarSeries>
          </c:ext>
        </c:extLst>
      </c:barChart>
      <c:catAx>
        <c:axId val="2012997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 Source</a:t>
                </a:r>
              </a:p>
            </c:rich>
          </c:tx>
          <c:layout>
            <c:manualLayout>
              <c:xMode val="edge"/>
              <c:yMode val="edge"/>
              <c:x val="0.46010765765765765"/>
              <c:y val="0.910787362086258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98447"/>
        <c:crosses val="autoZero"/>
        <c:auto val="1"/>
        <c:lblAlgn val="ctr"/>
        <c:lblOffset val="100"/>
        <c:noMultiLvlLbl val="0"/>
      </c:catAx>
      <c:valAx>
        <c:axId val="201299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1.6835016835016835E-2"/>
              <c:y val="0.228799622703412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9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Expenses per </a:t>
            </a:r>
            <a:r>
              <a:rPr lang="en-US" b="1"/>
              <a:t>G-cash Transaction Detail</a:t>
            </a:r>
          </a:p>
        </c:rich>
      </c:tx>
      <c:layout>
        <c:manualLayout>
          <c:xMode val="edge"/>
          <c:yMode val="edge"/>
          <c:x val="0.26615600600600597"/>
          <c:y val="2.1230357739886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&amp; derived tables'!$Y$32</c:f>
              <c:strCache>
                <c:ptCount val="1"/>
                <c:pt idx="0">
                  <c:v>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derived tables'!$X$33:$X$47</c:f>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f>'Pivot &amp; derived tables'!$Y$33:$Y$47</c:f>
              <c:numCache>
                <c:formatCode>General</c:formatCode>
                <c:ptCount val="15"/>
                <c:pt idx="0">
                  <c:v>1000</c:v>
                </c:pt>
                <c:pt idx="1">
                  <c:v>125</c:v>
                </c:pt>
                <c:pt idx="2">
                  <c:v>1960</c:v>
                </c:pt>
                <c:pt idx="3">
                  <c:v>258</c:v>
                </c:pt>
                <c:pt idx="4">
                  <c:v>399</c:v>
                </c:pt>
                <c:pt idx="5">
                  <c:v>500</c:v>
                </c:pt>
                <c:pt idx="6">
                  <c:v>150</c:v>
                </c:pt>
                <c:pt idx="7">
                  <c:v>2823</c:v>
                </c:pt>
                <c:pt idx="8">
                  <c:v>1705</c:v>
                </c:pt>
                <c:pt idx="9">
                  <c:v>6154</c:v>
                </c:pt>
                <c:pt idx="10">
                  <c:v>650</c:v>
                </c:pt>
                <c:pt idx="11">
                  <c:v>3981</c:v>
                </c:pt>
                <c:pt idx="12">
                  <c:v>4494</c:v>
                </c:pt>
                <c:pt idx="13">
                  <c:v>1290</c:v>
                </c:pt>
                <c:pt idx="14">
                  <c:v>15</c:v>
                </c:pt>
              </c:numCache>
            </c:numRef>
          </c:val>
          <c:extLst>
            <c:ext xmlns:c16="http://schemas.microsoft.com/office/drawing/2014/chart" uri="{C3380CC4-5D6E-409C-BE32-E72D297353CC}">
              <c16:uniqueId val="{00000000-5981-419C-8E20-D0780F1865E9}"/>
            </c:ext>
          </c:extLst>
        </c:ser>
        <c:dLbls>
          <c:dLblPos val="outEnd"/>
          <c:showLegendKey val="0"/>
          <c:showVal val="1"/>
          <c:showCatName val="0"/>
          <c:showSerName val="0"/>
          <c:showPercent val="0"/>
          <c:showBubbleSize val="0"/>
        </c:dLbls>
        <c:gapWidth val="219"/>
        <c:overlap val="-27"/>
        <c:axId val="519909024"/>
        <c:axId val="519904704"/>
        <c:extLst>
          <c:ext xmlns:c15="http://schemas.microsoft.com/office/drawing/2012/chart" uri="{02D57815-91ED-43cb-92C2-25804820EDAC}">
            <c15:filteredBarSeries>
              <c15:ser>
                <c:idx val="1"/>
                <c:order val="1"/>
                <c:tx>
                  <c:strRef>
                    <c:extLst>
                      <c:ext uri="{02D57815-91ED-43cb-92C2-25804820EDAC}">
                        <c15:formulaRef>
                          <c15:sqref>'Pivot &amp; derived tables'!$Z$32</c15:sqref>
                        </c15:formulaRef>
                      </c:ext>
                    </c:extLst>
                    <c:strCache>
                      <c:ptCount val="1"/>
                      <c:pt idx="0">
                        <c:v>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uri="{02D57815-91ED-43cb-92C2-25804820EDAC}">
                        <c15:formulaRef>
                          <c15:sqref>'Pivot &amp; derived tables'!$Z$33:$Z$47</c15:sqref>
                        </c15:formulaRef>
                      </c:ext>
                    </c:extLst>
                    <c:numCache>
                      <c:formatCode>General</c:formatCode>
                      <c:ptCount val="15"/>
                      <c:pt idx="0">
                        <c:v>1</c:v>
                      </c:pt>
                      <c:pt idx="1">
                        <c:v>1</c:v>
                      </c:pt>
                      <c:pt idx="2">
                        <c:v>7</c:v>
                      </c:pt>
                      <c:pt idx="3">
                        <c:v>2</c:v>
                      </c:pt>
                      <c:pt idx="4">
                        <c:v>1</c:v>
                      </c:pt>
                      <c:pt idx="5">
                        <c:v>1</c:v>
                      </c:pt>
                      <c:pt idx="6">
                        <c:v>1</c:v>
                      </c:pt>
                      <c:pt idx="7">
                        <c:v>12</c:v>
                      </c:pt>
                      <c:pt idx="8">
                        <c:v>7</c:v>
                      </c:pt>
                      <c:pt idx="9">
                        <c:v>66</c:v>
                      </c:pt>
                      <c:pt idx="10">
                        <c:v>1</c:v>
                      </c:pt>
                      <c:pt idx="11">
                        <c:v>20</c:v>
                      </c:pt>
                      <c:pt idx="12">
                        <c:v>7</c:v>
                      </c:pt>
                      <c:pt idx="13">
                        <c:v>10</c:v>
                      </c:pt>
                      <c:pt idx="14">
                        <c:v>1</c:v>
                      </c:pt>
                    </c:numCache>
                  </c:numRef>
                </c:val>
                <c:extLst>
                  <c:ext xmlns:c16="http://schemas.microsoft.com/office/drawing/2014/chart" uri="{C3380CC4-5D6E-409C-BE32-E72D297353CC}">
                    <c16:uniqueId val="{00000001-5981-419C-8E20-D0780F1865E9}"/>
                  </c:ext>
                </c:extLst>
              </c15:ser>
            </c15:filteredBarSeries>
            <c15:filteredBarSeries>
              <c15:ser>
                <c:idx val="2"/>
                <c:order val="2"/>
                <c:tx>
                  <c:strRef>
                    <c:extLst>
                      <c:ext xmlns:c15="http://schemas.microsoft.com/office/drawing/2012/chart" uri="{02D57815-91ED-43cb-92C2-25804820EDAC}">
                        <c15:formulaRef>
                          <c15:sqref>'Pivot &amp; derived tables'!$AA$32</c15:sqref>
                        </c15:formulaRef>
                      </c:ext>
                    </c:extLst>
                    <c:strCache>
                      <c:ptCount val="1"/>
                      <c:pt idx="0">
                        <c:v>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tables'!$AA$33:$AA$47</c15:sqref>
                        </c15:formulaRef>
                      </c:ext>
                    </c:extLst>
                    <c:numCache>
                      <c:formatCode>General</c:formatCode>
                      <c:ptCount val="15"/>
                      <c:pt idx="0">
                        <c:v>1000</c:v>
                      </c:pt>
                      <c:pt idx="1">
                        <c:v>125</c:v>
                      </c:pt>
                      <c:pt idx="2">
                        <c:v>280</c:v>
                      </c:pt>
                      <c:pt idx="3">
                        <c:v>129</c:v>
                      </c:pt>
                      <c:pt idx="4">
                        <c:v>399</c:v>
                      </c:pt>
                      <c:pt idx="5">
                        <c:v>500</c:v>
                      </c:pt>
                      <c:pt idx="6">
                        <c:v>150</c:v>
                      </c:pt>
                      <c:pt idx="7">
                        <c:v>235.25</c:v>
                      </c:pt>
                      <c:pt idx="8">
                        <c:v>243.57</c:v>
                      </c:pt>
                      <c:pt idx="9">
                        <c:v>93.24</c:v>
                      </c:pt>
                      <c:pt idx="10">
                        <c:v>650</c:v>
                      </c:pt>
                      <c:pt idx="11">
                        <c:v>199.05</c:v>
                      </c:pt>
                      <c:pt idx="12">
                        <c:v>642</c:v>
                      </c:pt>
                      <c:pt idx="13">
                        <c:v>129</c:v>
                      </c:pt>
                      <c:pt idx="14">
                        <c:v>15</c:v>
                      </c:pt>
                    </c:numCache>
                  </c:numRef>
                </c:val>
                <c:extLst xmlns:c15="http://schemas.microsoft.com/office/drawing/2012/chart">
                  <c:ext xmlns:c16="http://schemas.microsoft.com/office/drawing/2014/chart" uri="{C3380CC4-5D6E-409C-BE32-E72D297353CC}">
                    <c16:uniqueId val="{00000000-FA1E-467F-8138-9FE8BBCF4184}"/>
                  </c:ext>
                </c:extLst>
              </c15:ser>
            </c15:filteredBarSeries>
            <c15:filteredBarSeries>
              <c15:ser>
                <c:idx val="3"/>
                <c:order val="3"/>
                <c:tx>
                  <c:strRef>
                    <c:extLst>
                      <c:ext xmlns:c15="http://schemas.microsoft.com/office/drawing/2012/chart" uri="{02D57815-91ED-43cb-92C2-25804820EDAC}">
                        <c15:formulaRef>
                          <c15:sqref>'Pivot &amp; derived tables'!$AB$32</c15:sqref>
                        </c15:formulaRef>
                      </c:ext>
                    </c:extLst>
                    <c:strCache>
                      <c:ptCount val="1"/>
                      <c:pt idx="0">
                        <c:v>percentage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'Pivot &amp; derived tables'!$X$33:$X$47</c15:sqref>
                        </c15:formulaRef>
                      </c:ext>
                    </c:extLst>
                    <c:strCache>
                      <c:ptCount val="15"/>
                      <c:pt idx="0">
                        <c:v>bag</c:v>
                      </c:pt>
                      <c:pt idx="1">
                        <c:v>donation</c:v>
                      </c:pt>
                      <c:pt idx="2">
                        <c:v>Genshin Welkin</c:v>
                      </c:pt>
                      <c:pt idx="3">
                        <c:v>Membership gift</c:v>
                      </c:pt>
                      <c:pt idx="4">
                        <c:v>mobile load (magic data)</c:v>
                      </c:pt>
                      <c:pt idx="5">
                        <c:v>Palaman peanut</c:v>
                      </c:pt>
                      <c:pt idx="6">
                        <c:v>sheena-related</c:v>
                      </c:pt>
                      <c:pt idx="7">
                        <c:v>Spotify</c:v>
                      </c:pt>
                      <c:pt idx="8">
                        <c:v>steam</c:v>
                      </c:pt>
                      <c:pt idx="9">
                        <c:v>Supa</c:v>
                      </c:pt>
                      <c:pt idx="10">
                        <c:v>welcome party aragmot</c:v>
                      </c:pt>
                      <c:pt idx="11">
                        <c:v>wifi load (family access)</c:v>
                      </c:pt>
                      <c:pt idx="12">
                        <c:v>wifi load (magic data)</c:v>
                      </c:pt>
                      <c:pt idx="13">
                        <c:v>YT Membership</c:v>
                      </c:pt>
                      <c:pt idx="14">
                        <c:v>YT sticker</c:v>
                      </c:pt>
                    </c:strCache>
                  </c:strRef>
                </c:cat>
                <c:val>
                  <c:numRef>
                    <c:extLst>
                      <c:ext xmlns:c15="http://schemas.microsoft.com/office/drawing/2012/chart" uri="{02D57815-91ED-43cb-92C2-25804820EDAC}">
                        <c15:formulaRef>
                          <c15:sqref>'Pivot &amp; derived tables'!$AB$33:$AB$47</c15:sqref>
                        </c15:formulaRef>
                      </c:ext>
                    </c:extLst>
                    <c:numCache>
                      <c:formatCode>General</c:formatCode>
                      <c:ptCount val="15"/>
                      <c:pt idx="0">
                        <c:v>3.92</c:v>
                      </c:pt>
                      <c:pt idx="1">
                        <c:v>0.49</c:v>
                      </c:pt>
                      <c:pt idx="2">
                        <c:v>7.69</c:v>
                      </c:pt>
                      <c:pt idx="3">
                        <c:v>1.01</c:v>
                      </c:pt>
                      <c:pt idx="4">
                        <c:v>1.56</c:v>
                      </c:pt>
                      <c:pt idx="5">
                        <c:v>1.96</c:v>
                      </c:pt>
                      <c:pt idx="6">
                        <c:v>0.59</c:v>
                      </c:pt>
                      <c:pt idx="7">
                        <c:v>11.07</c:v>
                      </c:pt>
                      <c:pt idx="8">
                        <c:v>6.69</c:v>
                      </c:pt>
                      <c:pt idx="9">
                        <c:v>24.13</c:v>
                      </c:pt>
                      <c:pt idx="10">
                        <c:v>2.5499999999999998</c:v>
                      </c:pt>
                      <c:pt idx="11">
                        <c:v>15.61</c:v>
                      </c:pt>
                      <c:pt idx="12">
                        <c:v>17.62</c:v>
                      </c:pt>
                      <c:pt idx="13">
                        <c:v>5.0599999999999996</c:v>
                      </c:pt>
                      <c:pt idx="14">
                        <c:v>0.06</c:v>
                      </c:pt>
                    </c:numCache>
                  </c:numRef>
                </c:val>
                <c:extLst xmlns:c15="http://schemas.microsoft.com/office/drawing/2012/chart">
                  <c:ext xmlns:c16="http://schemas.microsoft.com/office/drawing/2014/chart" uri="{C3380CC4-5D6E-409C-BE32-E72D297353CC}">
                    <c16:uniqueId val="{00000001-FA1E-467F-8138-9FE8BBCF4184}"/>
                  </c:ext>
                </c:extLst>
              </c15:ser>
            </c15:filteredBarSeries>
          </c:ext>
        </c:extLst>
      </c:barChart>
      <c:catAx>
        <c:axId val="51990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Transaction</a:t>
                </a:r>
                <a:r>
                  <a:rPr lang="en-PH" baseline="0"/>
                  <a:t> Detail</a:t>
                </a:r>
                <a:endParaRPr lang="en-PH"/>
              </a:p>
            </c:rich>
          </c:tx>
          <c:layout>
            <c:manualLayout>
              <c:xMode val="edge"/>
              <c:yMode val="edge"/>
              <c:x val="0.46040225225225223"/>
              <c:y val="0.90727627326423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4704"/>
        <c:crosses val="autoZero"/>
        <c:auto val="1"/>
        <c:lblAlgn val="ctr"/>
        <c:lblOffset val="100"/>
        <c:noMultiLvlLbl val="0"/>
      </c:catAx>
      <c:valAx>
        <c:axId val="51990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Amount</a:t>
                </a:r>
              </a:p>
            </c:rich>
          </c:tx>
          <c:layout>
            <c:manualLayout>
              <c:xMode val="edge"/>
              <c:yMode val="edge"/>
              <c:x val="2.0975975975975975E-2"/>
              <c:y val="0.234112615624651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0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 Daily Expenses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Histogram: Daily Expenses</a:t>
          </a:r>
        </a:p>
      </cx:txPr>
    </cx:title>
    <cx:plotArea>
      <cx:plotAreaRegion>
        <cx:series layoutId="clusteredColumn" uniqueId="{E2338E3A-0CD1-41E5-98DC-F438221FD3E5}">
          <cx:dataLabels>
            <cx:visibility seriesName="0" categoryName="0" value="1"/>
          </cx:dataLabels>
          <cx:dataId val="0"/>
          <cx:layoutPr>
            <cx:binning intervalClosed="r">
              <cx:binSize val="100"/>
            </cx:binning>
          </cx:layoutPr>
        </cx:series>
      </cx:plotAreaRegion>
      <cx:axis id="0">
        <cx:catScaling gapWidth="0"/>
        <cx:title>
          <cx:tx>
            <cx:txData>
              <cx:v>Amount</cx:v>
            </cx:txData>
          </cx:tx>
          <cx:txPr>
            <a:bodyPr spcFirstLastPara="1" vertOverflow="ellipsis" horzOverflow="overflow" wrap="square" lIns="0" tIns="0" rIns="0" bIns="0" anchor="ctr" anchorCtr="1"/>
            <a:lstStyle/>
            <a:p>
              <a:pPr algn="ctr" rtl="0">
                <a:defRPr b="1"/>
              </a:pPr>
              <a:r>
                <a:rPr lang="en-US" sz="900" b="1" i="0" u="none" strike="noStrike" baseline="0">
                  <a:solidFill>
                    <a:sysClr val="windowText" lastClr="000000">
                      <a:lumMod val="65000"/>
                      <a:lumOff val="35000"/>
                    </a:sysClr>
                  </a:solidFill>
                  <a:latin typeface="Aptos Narrow" panose="02110004020202020204"/>
                </a:rPr>
                <a:t>Amount</a:t>
              </a:r>
            </a:p>
          </cx:txPr>
        </cx:title>
        <cx:tickLabels/>
      </cx:axis>
      <cx:axis id="1">
        <cx:valScaling/>
        <cx:majorGridlines/>
        <cx:tickLabels/>
      </cx:axis>
    </cx:plotArea>
  </cx:chart>
  <cx:spPr>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Histogram: Income per Transactions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Histogram: Income per Transactions</a:t>
          </a:r>
        </a:p>
      </cx:txPr>
    </cx:title>
    <cx:plotArea>
      <cx:plotAreaRegion>
        <cx:series layoutId="clusteredColumn" uniqueId="{1B40F304-48AC-40F4-8BB0-DB2657DAEB50}">
          <cx:dataLabels>
            <cx:visibility seriesName="0" categoryName="0" value="1"/>
            <cx:separator>, </cx:separator>
          </cx:dataLabels>
          <cx:dataId val="0"/>
          <cx:layoutPr>
            <cx:binning intervalClosed="r">
              <cx:binSize val="1000"/>
            </cx:binning>
          </cx:layoutPr>
        </cx:series>
      </cx:plotAreaRegion>
      <cx:axis id="0">
        <cx:catScaling gapWidth="0"/>
        <cx:title>
          <cx:tx>
            <cx:txData>
              <cx:v>Amount</cx:v>
            </cx:txData>
          </cx:tx>
          <cx:txPr>
            <a:bodyPr spcFirstLastPara="1" vertOverflow="ellipsis" horzOverflow="overflow" wrap="square" lIns="0" tIns="0" rIns="0" bIns="0" anchor="ctr" anchorCtr="1"/>
            <a:lstStyle/>
            <a:p>
              <a:pPr algn="ctr" rtl="0">
                <a:defRPr b="1"/>
              </a:pPr>
              <a:r>
                <a:rPr lang="en-US" sz="900" b="1" i="0" u="none" strike="noStrike" baseline="0">
                  <a:solidFill>
                    <a:sysClr val="windowText" lastClr="000000">
                      <a:lumMod val="65000"/>
                      <a:lumOff val="35000"/>
                    </a:sysClr>
                  </a:solidFill>
                  <a:latin typeface="Aptos Narrow" panose="02110004020202020204"/>
                </a:rPr>
                <a:t>Amount</a:t>
              </a:r>
            </a:p>
          </cx:txPr>
        </cx:title>
        <cx:tickLabels/>
      </cx:axis>
      <cx:axis id="1">
        <cx:valScaling/>
        <cx:majorGridlines/>
        <cx:tickLabels/>
      </cx:axis>
    </cx:plotArea>
  </cx:chart>
  <cx:spPr>
    <a:effectLst>
      <a:outerShdw blurRad="50800" dist="38100" dir="2700000" algn="tl"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Histogram: Daily Supa Expenses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Histogram: Daily Supa Expenses</a:t>
          </a:r>
        </a:p>
      </cx:txPr>
    </cx:title>
    <cx:plotArea>
      <cx:plotAreaRegion>
        <cx:series layoutId="clusteredColumn" uniqueId="{3A7E7B8C-3E64-4471-85F9-49EB19D337EB}">
          <cx:dataLabels>
            <cx:visibility seriesName="0" categoryName="0" value="1"/>
          </cx:dataLabels>
          <cx:dataId val="0"/>
          <cx:layoutPr>
            <cx:binning intervalClosed="r">
              <cx:binSize val="20"/>
            </cx:binning>
          </cx:layoutPr>
        </cx:series>
      </cx:plotAreaRegion>
      <cx:axis id="0">
        <cx:catScaling gapWidth="0"/>
        <cx:title>
          <cx:tx>
            <cx:txData>
              <cx:v>Sum Amount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Sum Amount</a:t>
              </a:r>
            </a:p>
          </cx:txPr>
        </cx:title>
        <cx:tickLabels/>
      </cx:axis>
      <cx:axis id="1">
        <cx:valScaling/>
        <cx:majorGridlines/>
        <cx:tickLabels/>
      </cx:axis>
    </cx:plotArea>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18" Type="http://schemas.openxmlformats.org/officeDocument/2006/relationships/chart" Target="../charts/chart28.xml"/><Relationship Id="rId3" Type="http://schemas.openxmlformats.org/officeDocument/2006/relationships/chart" Target="../charts/chart13.xml"/><Relationship Id="rId21" Type="http://schemas.openxmlformats.org/officeDocument/2006/relationships/chart" Target="../charts/chart31.xml"/><Relationship Id="rId7" Type="http://schemas.openxmlformats.org/officeDocument/2006/relationships/chart" Target="../charts/chart17.xml"/><Relationship Id="rId12" Type="http://schemas.openxmlformats.org/officeDocument/2006/relationships/chart" Target="../charts/chart22.xml"/><Relationship Id="rId17" Type="http://schemas.openxmlformats.org/officeDocument/2006/relationships/chart" Target="../charts/chart27.xml"/><Relationship Id="rId2" Type="http://schemas.openxmlformats.org/officeDocument/2006/relationships/chart" Target="../charts/chart12.xml"/><Relationship Id="rId16" Type="http://schemas.openxmlformats.org/officeDocument/2006/relationships/chart" Target="../charts/chart26.xml"/><Relationship Id="rId20" Type="http://schemas.openxmlformats.org/officeDocument/2006/relationships/chart" Target="../charts/chart30.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5.xml"/><Relationship Id="rId10" Type="http://schemas.openxmlformats.org/officeDocument/2006/relationships/chart" Target="../charts/chart20.xml"/><Relationship Id="rId19" Type="http://schemas.openxmlformats.org/officeDocument/2006/relationships/chart" Target="../charts/chart29.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40.xml"/><Relationship Id="rId13" Type="http://schemas.openxmlformats.org/officeDocument/2006/relationships/chart" Target="../charts/chart45.xml"/><Relationship Id="rId18" Type="http://schemas.openxmlformats.org/officeDocument/2006/relationships/chart" Target="../charts/chart50.xml"/><Relationship Id="rId3" Type="http://schemas.openxmlformats.org/officeDocument/2006/relationships/chart" Target="../charts/chart35.xml"/><Relationship Id="rId21" Type="http://schemas.openxmlformats.org/officeDocument/2006/relationships/chart" Target="../charts/chart53.xml"/><Relationship Id="rId7" Type="http://schemas.openxmlformats.org/officeDocument/2006/relationships/chart" Target="../charts/chart39.xml"/><Relationship Id="rId12" Type="http://schemas.openxmlformats.org/officeDocument/2006/relationships/chart" Target="../charts/chart44.xml"/><Relationship Id="rId17" Type="http://schemas.openxmlformats.org/officeDocument/2006/relationships/chart" Target="../charts/chart49.xml"/><Relationship Id="rId2" Type="http://schemas.openxmlformats.org/officeDocument/2006/relationships/chart" Target="../charts/chart34.xml"/><Relationship Id="rId16" Type="http://schemas.openxmlformats.org/officeDocument/2006/relationships/chart" Target="../charts/chart48.xml"/><Relationship Id="rId20" Type="http://schemas.openxmlformats.org/officeDocument/2006/relationships/chart" Target="../charts/chart52.xml"/><Relationship Id="rId1" Type="http://schemas.openxmlformats.org/officeDocument/2006/relationships/chart" Target="../charts/chart33.xml"/><Relationship Id="rId6" Type="http://schemas.openxmlformats.org/officeDocument/2006/relationships/chart" Target="../charts/chart38.xml"/><Relationship Id="rId11" Type="http://schemas.openxmlformats.org/officeDocument/2006/relationships/chart" Target="../charts/chart43.xml"/><Relationship Id="rId24" Type="http://schemas.openxmlformats.org/officeDocument/2006/relationships/chart" Target="../charts/chart56.xml"/><Relationship Id="rId5" Type="http://schemas.openxmlformats.org/officeDocument/2006/relationships/chart" Target="../charts/chart37.xml"/><Relationship Id="rId15" Type="http://schemas.openxmlformats.org/officeDocument/2006/relationships/chart" Target="../charts/chart47.xml"/><Relationship Id="rId23" Type="http://schemas.openxmlformats.org/officeDocument/2006/relationships/chart" Target="../charts/chart55.xml"/><Relationship Id="rId10" Type="http://schemas.openxmlformats.org/officeDocument/2006/relationships/chart" Target="../charts/chart42.xml"/><Relationship Id="rId19" Type="http://schemas.openxmlformats.org/officeDocument/2006/relationships/chart" Target="../charts/chart51.xml"/><Relationship Id="rId4" Type="http://schemas.openxmlformats.org/officeDocument/2006/relationships/chart" Target="../charts/chart36.xml"/><Relationship Id="rId9" Type="http://schemas.openxmlformats.org/officeDocument/2006/relationships/chart" Target="../charts/chart41.xml"/><Relationship Id="rId14" Type="http://schemas.openxmlformats.org/officeDocument/2006/relationships/chart" Target="../charts/chart46.xml"/><Relationship Id="rId22" Type="http://schemas.openxmlformats.org/officeDocument/2006/relationships/chart" Target="../charts/chart5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61.xml"/><Relationship Id="rId3" Type="http://schemas.openxmlformats.org/officeDocument/2006/relationships/chart" Target="../charts/chart59.xml"/><Relationship Id="rId7" Type="http://schemas.microsoft.com/office/2014/relationships/chartEx" Target="../charts/chartEx3.xml"/><Relationship Id="rId2" Type="http://schemas.openxmlformats.org/officeDocument/2006/relationships/chart" Target="../charts/chart58.xml"/><Relationship Id="rId1" Type="http://schemas.openxmlformats.org/officeDocument/2006/relationships/chart" Target="../charts/chart57.xml"/><Relationship Id="rId6" Type="http://schemas.microsoft.com/office/2014/relationships/chartEx" Target="../charts/chartEx2.xml"/><Relationship Id="rId5" Type="http://schemas.microsoft.com/office/2014/relationships/chartEx" Target="../charts/chartEx1.xml"/><Relationship Id="rId10" Type="http://schemas.openxmlformats.org/officeDocument/2006/relationships/chart" Target="../charts/chart63.xml"/><Relationship Id="rId4" Type="http://schemas.openxmlformats.org/officeDocument/2006/relationships/chart" Target="../charts/chart60.xml"/><Relationship Id="rId9" Type="http://schemas.openxmlformats.org/officeDocument/2006/relationships/chart" Target="../charts/chart62.xml"/></Relationships>
</file>

<file path=xl/drawings/drawing1.xml><?xml version="1.0" encoding="utf-8"?>
<xdr:wsDr xmlns:xdr="http://schemas.openxmlformats.org/drawingml/2006/spreadsheetDrawing" xmlns:a="http://schemas.openxmlformats.org/drawingml/2006/main">
  <xdr:twoCellAnchor>
    <xdr:from>
      <xdr:col>0</xdr:col>
      <xdr:colOff>42331</xdr:colOff>
      <xdr:row>31</xdr:row>
      <xdr:rowOff>189733</xdr:rowOff>
    </xdr:from>
    <xdr:to>
      <xdr:col>5</xdr:col>
      <xdr:colOff>1358512</xdr:colOff>
      <xdr:row>48</xdr:row>
      <xdr:rowOff>105812</xdr:rowOff>
    </xdr:to>
    <xdr:graphicFrame macro="">
      <xdr:nvGraphicFramePr>
        <xdr:cNvPr id="2" name="Chart 1">
          <a:extLst>
            <a:ext uri="{FF2B5EF4-FFF2-40B4-BE49-F238E27FC236}">
              <a16:creationId xmlns:a16="http://schemas.microsoft.com/office/drawing/2014/main" id="{5FF37266-8028-462C-A06F-2D4539FE6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283522</xdr:colOff>
      <xdr:row>1</xdr:row>
      <xdr:rowOff>123702</xdr:rowOff>
    </xdr:from>
    <xdr:to>
      <xdr:col>14</xdr:col>
      <xdr:colOff>552993</xdr:colOff>
      <xdr:row>12</xdr:row>
      <xdr:rowOff>1</xdr:rowOff>
    </xdr:to>
    <xdr:sp macro="" textlink="">
      <xdr:nvSpPr>
        <xdr:cNvPr id="6" name="TextBox 5">
          <a:extLst>
            <a:ext uri="{FF2B5EF4-FFF2-40B4-BE49-F238E27FC236}">
              <a16:creationId xmlns:a16="http://schemas.microsoft.com/office/drawing/2014/main" id="{D066D6CA-7D75-A4C0-B60E-75E3AE9F57AC}"/>
            </a:ext>
          </a:extLst>
        </xdr:cNvPr>
        <xdr:cNvSpPr txBox="1"/>
      </xdr:nvSpPr>
      <xdr:spPr>
        <a:xfrm>
          <a:off x="7696693" y="123702"/>
          <a:ext cx="5222471" cy="2826328"/>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baseline="0">
              <a:solidFill>
                <a:schemeClr val="dk1"/>
              </a:solidFill>
              <a:effectLst/>
              <a:latin typeface="+mn-lt"/>
              <a:ea typeface="+mn-ea"/>
              <a:cs typeface="+mn-cs"/>
            </a:rPr>
            <a:t>Insight:</a:t>
          </a:r>
          <a:endParaRPr lang="en-PH" sz="1100" b="1" baseline="0">
            <a:solidFill>
              <a:schemeClr val="dk1"/>
            </a:solidFill>
            <a:effectLst/>
            <a:latin typeface="+mn-lt"/>
            <a:ea typeface="+mn-ea"/>
            <a:cs typeface="+mn-cs"/>
          </a:endParaRPr>
        </a:p>
        <a:p>
          <a:r>
            <a:rPr lang="en-PH" sz="1200" b="1" baseline="0">
              <a:solidFill>
                <a:schemeClr val="dk1"/>
              </a:solidFill>
              <a:effectLst/>
              <a:latin typeface="+mn-lt"/>
              <a:ea typeface="+mn-ea"/>
              <a:cs typeface="+mn-cs"/>
            </a:rPr>
            <a:t>✅ Expenses growth rate is -4.21%.</a:t>
          </a:r>
        </a:p>
        <a:p>
          <a:r>
            <a:rPr lang="en-PH" sz="1100" baseline="0">
              <a:solidFill>
                <a:schemeClr val="dk1"/>
              </a:solidFill>
              <a:effectLst/>
              <a:latin typeface="+mn-lt"/>
              <a:ea typeface="+mn-ea"/>
              <a:cs typeface="+mn-cs"/>
            </a:rPr>
            <a:t>    - Negative means decreasing.</a:t>
          </a:r>
        </a:p>
        <a:p>
          <a:r>
            <a:rPr lang="en-PH" sz="1100" baseline="0">
              <a:solidFill>
                <a:schemeClr val="dk1"/>
              </a:solidFill>
              <a:effectLst/>
              <a:latin typeface="+mn-lt"/>
              <a:ea typeface="+mn-ea"/>
              <a:cs typeface="+mn-cs"/>
            </a:rPr>
            <a:t>    - Decreasing expenses means </a:t>
          </a:r>
          <a:r>
            <a:rPr lang="en-PH" sz="1100" i="1" baseline="0">
              <a:solidFill>
                <a:schemeClr val="dk1"/>
              </a:solidFill>
              <a:effectLst/>
              <a:latin typeface="+mn-lt"/>
              <a:ea typeface="+mn-ea"/>
              <a:cs typeface="+mn-cs"/>
            </a:rPr>
            <a:t>more savings</a:t>
          </a:r>
          <a:r>
            <a:rPr lang="en-PH" sz="1100" baseline="0">
              <a:solidFill>
                <a:schemeClr val="dk1"/>
              </a:solidFill>
              <a:effectLst/>
              <a:latin typeface="+mn-lt"/>
              <a:ea typeface="+mn-ea"/>
              <a:cs typeface="+mn-cs"/>
            </a:rPr>
            <a:t>.</a:t>
          </a:r>
        </a:p>
        <a:p>
          <a:endParaRPr lang="en-PH" sz="1100" baseline="0">
            <a:solidFill>
              <a:schemeClr val="dk1"/>
            </a:solidFill>
            <a:effectLst/>
            <a:latin typeface="+mn-lt"/>
            <a:ea typeface="+mn-ea"/>
            <a:cs typeface="+mn-cs"/>
          </a:endParaRPr>
        </a:p>
        <a:p>
          <a:r>
            <a:rPr lang="en-PH" sz="1100" b="1" baseline="0">
              <a:solidFill>
                <a:schemeClr val="dk1"/>
              </a:solidFill>
              <a:effectLst/>
              <a:latin typeface="+mn-lt"/>
              <a:ea typeface="+mn-ea"/>
              <a:cs typeface="+mn-cs"/>
            </a:rPr>
            <a:t>⚠️</a:t>
          </a:r>
          <a:r>
            <a:rPr lang="en-PH" sz="1200" b="1" baseline="0">
              <a:solidFill>
                <a:schemeClr val="dk1"/>
              </a:solidFill>
              <a:effectLst/>
              <a:latin typeface="+mn-lt"/>
              <a:ea typeface="+mn-ea"/>
              <a:cs typeface="+mn-cs"/>
            </a:rPr>
            <a:t>Negative growth rates in Income and Net Income.</a:t>
          </a:r>
        </a:p>
        <a:p>
          <a:r>
            <a:rPr lang="en-PH" sz="1100" baseline="0">
              <a:solidFill>
                <a:schemeClr val="dk1"/>
              </a:solidFill>
              <a:effectLst/>
              <a:latin typeface="+mn-lt"/>
              <a:ea typeface="+mn-ea"/>
              <a:cs typeface="+mn-cs"/>
            </a:rPr>
            <a:t>    - Caused by higher than usual income spike of previous months, then followed by usually lower than median income.</a:t>
          </a:r>
        </a:p>
        <a:p>
          <a:r>
            <a:rPr lang="en-PH" sz="1100" baseline="0">
              <a:solidFill>
                <a:schemeClr val="dk1"/>
              </a:solidFill>
              <a:effectLst/>
              <a:latin typeface="+mn-lt"/>
              <a:ea typeface="+mn-ea"/>
              <a:cs typeface="+mn-cs"/>
            </a:rPr>
            <a:t>    - </a:t>
          </a:r>
          <a:r>
            <a:rPr lang="en-PH" sz="1100" b="1" i="1" baseline="0">
              <a:solidFill>
                <a:schemeClr val="dk1"/>
              </a:solidFill>
              <a:effectLst/>
              <a:latin typeface="+mn-lt"/>
              <a:ea typeface="+mn-ea"/>
              <a:cs typeface="+mn-cs"/>
            </a:rPr>
            <a:t>The drop of net income can be treated as return to normal rates</a:t>
          </a:r>
          <a:r>
            <a:rPr lang="en-PH" sz="1100" baseline="0">
              <a:solidFill>
                <a:schemeClr val="dk1"/>
              </a:solidFill>
              <a:effectLst/>
              <a:latin typeface="+mn-lt"/>
              <a:ea typeface="+mn-ea"/>
              <a:cs typeface="+mn-cs"/>
            </a:rPr>
            <a:t>, from its higher than usual rates (nothing to be alarmed, but minding expenses could mitigate this).</a:t>
          </a:r>
        </a:p>
        <a:p>
          <a:endParaRPr lang="en-PH" sz="1100" baseline="0">
            <a:solidFill>
              <a:schemeClr val="dk1"/>
            </a:solidFill>
            <a:effectLst/>
            <a:latin typeface="+mn-lt"/>
            <a:ea typeface="+mn-ea"/>
            <a:cs typeface="+mn-cs"/>
          </a:endParaRPr>
        </a:p>
        <a:p>
          <a:r>
            <a:rPr lang="en-PH" sz="1100" b="1" baseline="0">
              <a:solidFill>
                <a:schemeClr val="dk1"/>
              </a:solidFill>
              <a:effectLst/>
              <a:latin typeface="+mn-lt"/>
              <a:ea typeface="+mn-ea"/>
              <a:cs typeface="+mn-cs"/>
            </a:rPr>
            <a:t>⚠️</a:t>
          </a:r>
          <a:r>
            <a:rPr lang="en-PH" sz="1200" b="1" baseline="0">
              <a:solidFill>
                <a:schemeClr val="dk1"/>
              </a:solidFill>
              <a:effectLst/>
              <a:latin typeface="+mn-lt"/>
              <a:ea typeface="+mn-ea"/>
              <a:cs typeface="+mn-cs"/>
            </a:rPr>
            <a:t>Monthly median is more reliable than average for interpretation.</a:t>
          </a:r>
          <a:endParaRPr lang="en-PH" sz="1100" b="1" baseline="0">
            <a:solidFill>
              <a:schemeClr val="dk1"/>
            </a:solidFill>
            <a:effectLst/>
            <a:latin typeface="+mn-lt"/>
            <a:ea typeface="+mn-ea"/>
            <a:cs typeface="+mn-cs"/>
          </a:endParaRPr>
        </a:p>
        <a:p>
          <a:r>
            <a:rPr lang="en-PH" sz="1100" baseline="0">
              <a:solidFill>
                <a:schemeClr val="dk1"/>
              </a:solidFill>
              <a:effectLst/>
              <a:latin typeface="+mn-lt"/>
              <a:ea typeface="+mn-ea"/>
              <a:cs typeface="+mn-cs"/>
            </a:rPr>
            <a:t>- Based on the distribution, expenses, income, and net income have skewed distribution.</a:t>
          </a:r>
        </a:p>
        <a:p>
          <a:r>
            <a:rPr lang="en-PH" sz="1100" baseline="0">
              <a:solidFill>
                <a:schemeClr val="dk1"/>
              </a:solidFill>
              <a:effectLst/>
              <a:latin typeface="+mn-lt"/>
              <a:ea typeface="+mn-ea"/>
              <a:cs typeface="+mn-cs"/>
            </a:rPr>
            <a:t>- Skewed distributions distorts average interpretation.</a:t>
          </a:r>
        </a:p>
        <a:p>
          <a:r>
            <a:rPr lang="en-PH" sz="1100" baseline="0">
              <a:solidFill>
                <a:schemeClr val="dk1"/>
              </a:solidFill>
              <a:effectLst/>
              <a:latin typeface="+mn-lt"/>
              <a:ea typeface="+mn-ea"/>
              <a:cs typeface="+mn-cs"/>
            </a:rPr>
            <a:t>- Median provides more reliability in this kind of data distribution.</a:t>
          </a:r>
        </a:p>
      </xdr:txBody>
    </xdr:sp>
    <xdr:clientData/>
  </xdr:twoCellAnchor>
  <xdr:twoCellAnchor>
    <xdr:from>
      <xdr:col>0</xdr:col>
      <xdr:colOff>42454</xdr:colOff>
      <xdr:row>54</xdr:row>
      <xdr:rowOff>55517</xdr:rowOff>
    </xdr:from>
    <xdr:to>
      <xdr:col>5</xdr:col>
      <xdr:colOff>1386840</xdr:colOff>
      <xdr:row>73</xdr:row>
      <xdr:rowOff>10341</xdr:rowOff>
    </xdr:to>
    <xdr:graphicFrame macro="">
      <xdr:nvGraphicFramePr>
        <xdr:cNvPr id="76" name="Chart 75">
          <a:extLst>
            <a:ext uri="{FF2B5EF4-FFF2-40B4-BE49-F238E27FC236}">
              <a16:creationId xmlns:a16="http://schemas.microsoft.com/office/drawing/2014/main" id="{46050288-5BDE-4601-AC99-EAFFE0AD8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60958</xdr:colOff>
      <xdr:row>73</xdr:row>
      <xdr:rowOff>125185</xdr:rowOff>
    </xdr:from>
    <xdr:to>
      <xdr:col>5</xdr:col>
      <xdr:colOff>1379220</xdr:colOff>
      <xdr:row>92</xdr:row>
      <xdr:rowOff>79499</xdr:rowOff>
    </xdr:to>
    <xdr:graphicFrame macro="">
      <xdr:nvGraphicFramePr>
        <xdr:cNvPr id="77" name="Chart 76">
          <a:extLst>
            <a:ext uri="{FF2B5EF4-FFF2-40B4-BE49-F238E27FC236}">
              <a16:creationId xmlns:a16="http://schemas.microsoft.com/office/drawing/2014/main" id="{811D8FF8-27C1-4705-A201-84D884AD3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93</xdr:row>
      <xdr:rowOff>21771</xdr:rowOff>
    </xdr:from>
    <xdr:to>
      <xdr:col>5</xdr:col>
      <xdr:colOff>1371600</xdr:colOff>
      <xdr:row>111</xdr:row>
      <xdr:rowOff>161143</xdr:rowOff>
    </xdr:to>
    <xdr:graphicFrame macro="">
      <xdr:nvGraphicFramePr>
        <xdr:cNvPr id="78" name="Chart 77">
          <a:extLst>
            <a:ext uri="{FF2B5EF4-FFF2-40B4-BE49-F238E27FC236}">
              <a16:creationId xmlns:a16="http://schemas.microsoft.com/office/drawing/2014/main" id="{6C173F34-10C0-47B0-9ABD-F5AC2B3D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119</xdr:row>
      <xdr:rowOff>32658</xdr:rowOff>
    </xdr:from>
    <xdr:to>
      <xdr:col>5</xdr:col>
      <xdr:colOff>819150</xdr:colOff>
      <xdr:row>130</xdr:row>
      <xdr:rowOff>180975</xdr:rowOff>
    </xdr:to>
    <xdr:graphicFrame macro="">
      <xdr:nvGraphicFramePr>
        <xdr:cNvPr id="79" name="Chart 78">
          <a:extLst>
            <a:ext uri="{FF2B5EF4-FFF2-40B4-BE49-F238E27FC236}">
              <a16:creationId xmlns:a16="http://schemas.microsoft.com/office/drawing/2014/main" id="{0B85314F-4157-44EE-A4AC-766A8C03E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85725</xdr:colOff>
      <xdr:row>131</xdr:row>
      <xdr:rowOff>78378</xdr:rowOff>
    </xdr:from>
    <xdr:to>
      <xdr:col>5</xdr:col>
      <xdr:colOff>837504</xdr:colOff>
      <xdr:row>141</xdr:row>
      <xdr:rowOff>114300</xdr:rowOff>
    </xdr:to>
    <xdr:graphicFrame macro="">
      <xdr:nvGraphicFramePr>
        <xdr:cNvPr id="80" name="Chart 79">
          <a:extLst>
            <a:ext uri="{FF2B5EF4-FFF2-40B4-BE49-F238E27FC236}">
              <a16:creationId xmlns:a16="http://schemas.microsoft.com/office/drawing/2014/main" id="{9629C214-6DC6-4D81-AE53-83A9E170D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278080</xdr:colOff>
      <xdr:row>54</xdr:row>
      <xdr:rowOff>57298</xdr:rowOff>
    </xdr:from>
    <xdr:to>
      <xdr:col>14</xdr:col>
      <xdr:colOff>548640</xdr:colOff>
      <xdr:row>59</xdr:row>
      <xdr:rowOff>160020</xdr:rowOff>
    </xdr:to>
    <xdr:sp macro="" textlink="">
      <xdr:nvSpPr>
        <xdr:cNvPr id="3" name="TextBox 2">
          <a:extLst>
            <a:ext uri="{FF2B5EF4-FFF2-40B4-BE49-F238E27FC236}">
              <a16:creationId xmlns:a16="http://schemas.microsoft.com/office/drawing/2014/main" id="{F145C3CF-D4D1-830C-C4AC-6D4B6AE0FA70}"/>
            </a:ext>
          </a:extLst>
        </xdr:cNvPr>
        <xdr:cNvSpPr txBox="1"/>
      </xdr:nvSpPr>
      <xdr:spPr>
        <a:xfrm>
          <a:off x="7692340" y="10862458"/>
          <a:ext cx="5223560" cy="1017122"/>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baseline="0">
              <a:solidFill>
                <a:schemeClr val="dk1"/>
              </a:solidFill>
              <a:effectLst/>
              <a:latin typeface="+mn-lt"/>
              <a:ea typeface="+mn-ea"/>
              <a:cs typeface="+mn-cs"/>
            </a:rPr>
            <a:t>✅Decreasing Monthly Expenses Trend</a:t>
          </a:r>
        </a:p>
        <a:p>
          <a:r>
            <a:rPr lang="en-PH" sz="1100" b="0" baseline="0">
              <a:solidFill>
                <a:schemeClr val="dk1"/>
              </a:solidFill>
              <a:effectLst/>
              <a:latin typeface="+mn-lt"/>
              <a:ea typeface="+mn-ea"/>
              <a:cs typeface="+mn-cs"/>
            </a:rPr>
            <a:t>- This means that </a:t>
          </a:r>
          <a:r>
            <a:rPr lang="en-PH" sz="1100" b="1" baseline="0">
              <a:solidFill>
                <a:schemeClr val="dk1"/>
              </a:solidFill>
              <a:effectLst/>
              <a:latin typeface="+mn-lt"/>
              <a:ea typeface="+mn-ea"/>
              <a:cs typeface="+mn-cs"/>
            </a:rPr>
            <a:t>if the expenditure behavior stays the same, the preceeding monthly expenses would continue to decrease</a:t>
          </a:r>
          <a:r>
            <a:rPr lang="en-PH" sz="1100" b="0" baseline="0">
              <a:solidFill>
                <a:schemeClr val="dk1"/>
              </a:solidFill>
              <a:effectLst/>
              <a:latin typeface="+mn-lt"/>
              <a:ea typeface="+mn-ea"/>
              <a:cs typeface="+mn-cs"/>
            </a:rPr>
            <a:t>.</a:t>
          </a:r>
        </a:p>
        <a:p>
          <a:r>
            <a:rPr lang="en-PH" sz="1100" b="0" baseline="0">
              <a:solidFill>
                <a:schemeClr val="dk1"/>
              </a:solidFill>
              <a:effectLst/>
              <a:latin typeface="+mn-lt"/>
              <a:ea typeface="+mn-ea"/>
              <a:cs typeface="+mn-cs"/>
            </a:rPr>
            <a:t>- Could be positive sign of controlled expenditure behavior.</a:t>
          </a:r>
          <a:endParaRPr lang="en-PH" sz="1200" b="0" baseline="0">
            <a:solidFill>
              <a:schemeClr val="dk1"/>
            </a:solidFill>
            <a:effectLst/>
            <a:latin typeface="+mn-lt"/>
            <a:ea typeface="+mn-ea"/>
            <a:cs typeface="+mn-cs"/>
          </a:endParaRPr>
        </a:p>
      </xdr:txBody>
    </xdr:sp>
    <xdr:clientData/>
  </xdr:twoCellAnchor>
  <xdr:twoCellAnchor>
    <xdr:from>
      <xdr:col>6</xdr:col>
      <xdr:colOff>331420</xdr:colOff>
      <xdr:row>73</xdr:row>
      <xdr:rowOff>149826</xdr:rowOff>
    </xdr:from>
    <xdr:to>
      <xdr:col>14</xdr:col>
      <xdr:colOff>601980</xdr:colOff>
      <xdr:row>79</xdr:row>
      <xdr:rowOff>69668</xdr:rowOff>
    </xdr:to>
    <xdr:sp macro="" textlink="">
      <xdr:nvSpPr>
        <xdr:cNvPr id="7" name="TextBox 6">
          <a:extLst>
            <a:ext uri="{FF2B5EF4-FFF2-40B4-BE49-F238E27FC236}">
              <a16:creationId xmlns:a16="http://schemas.microsoft.com/office/drawing/2014/main" id="{FBB8A676-C5FF-AED1-2E27-5E55D43D6634}"/>
            </a:ext>
          </a:extLst>
        </xdr:cNvPr>
        <xdr:cNvSpPr txBox="1"/>
      </xdr:nvSpPr>
      <xdr:spPr>
        <a:xfrm>
          <a:off x="7745680" y="14429706"/>
          <a:ext cx="5223560" cy="1017122"/>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baseline="0">
              <a:solidFill>
                <a:schemeClr val="dk1"/>
              </a:solidFill>
              <a:effectLst/>
              <a:latin typeface="+mn-lt"/>
              <a:ea typeface="+mn-ea"/>
              <a:cs typeface="+mn-cs"/>
            </a:rPr>
            <a:t>✅Increasing Monthly Income Trend</a:t>
          </a:r>
        </a:p>
        <a:p>
          <a:r>
            <a:rPr lang="en-PH" sz="1100" b="0" baseline="0">
              <a:solidFill>
                <a:schemeClr val="dk1"/>
              </a:solidFill>
              <a:effectLst/>
              <a:latin typeface="+mn-lt"/>
              <a:ea typeface="+mn-ea"/>
              <a:cs typeface="+mn-cs"/>
            </a:rPr>
            <a:t>- This means that </a:t>
          </a:r>
          <a:r>
            <a:rPr lang="en-PH" sz="1100" b="1" baseline="0">
              <a:solidFill>
                <a:schemeClr val="dk1"/>
              </a:solidFill>
              <a:effectLst/>
              <a:latin typeface="+mn-lt"/>
              <a:ea typeface="+mn-ea"/>
              <a:cs typeface="+mn-cs"/>
            </a:rPr>
            <a:t>if the state stays the same, the preceeding monthly expenses would continue to increase</a:t>
          </a:r>
          <a:r>
            <a:rPr lang="en-PH" sz="1100" b="0" baseline="0">
              <a:solidFill>
                <a:schemeClr val="dk1"/>
              </a:solidFill>
              <a:effectLst/>
              <a:latin typeface="+mn-lt"/>
              <a:ea typeface="+mn-ea"/>
              <a:cs typeface="+mn-cs"/>
            </a:rPr>
            <a:t>.</a:t>
          </a:r>
        </a:p>
        <a:p>
          <a:r>
            <a:rPr lang="en-PH" sz="1100" b="0" baseline="0">
              <a:solidFill>
                <a:schemeClr val="dk1"/>
              </a:solidFill>
              <a:effectLst/>
              <a:latin typeface="+mn-lt"/>
              <a:ea typeface="+mn-ea"/>
              <a:cs typeface="+mn-cs"/>
            </a:rPr>
            <a:t>- Could be positive sign that income is increasing even without promotion in job.</a:t>
          </a:r>
          <a:endParaRPr lang="en-PH" sz="1200" b="0" baseline="0">
            <a:solidFill>
              <a:schemeClr val="dk1"/>
            </a:solidFill>
            <a:effectLst/>
            <a:latin typeface="+mn-lt"/>
            <a:ea typeface="+mn-ea"/>
            <a:cs typeface="+mn-cs"/>
          </a:endParaRPr>
        </a:p>
      </xdr:txBody>
    </xdr:sp>
    <xdr:clientData/>
  </xdr:twoCellAnchor>
  <xdr:twoCellAnchor>
    <xdr:from>
      <xdr:col>6</xdr:col>
      <xdr:colOff>146091</xdr:colOff>
      <xdr:row>93</xdr:row>
      <xdr:rowOff>33348</xdr:rowOff>
    </xdr:from>
    <xdr:to>
      <xdr:col>14</xdr:col>
      <xdr:colOff>416651</xdr:colOff>
      <xdr:row>101</xdr:row>
      <xdr:rowOff>15239</xdr:rowOff>
    </xdr:to>
    <xdr:sp macro="" textlink="">
      <xdr:nvSpPr>
        <xdr:cNvPr id="16" name="TextBox 15">
          <a:extLst>
            <a:ext uri="{FF2B5EF4-FFF2-40B4-BE49-F238E27FC236}">
              <a16:creationId xmlns:a16="http://schemas.microsoft.com/office/drawing/2014/main" id="{C980AB92-9990-C8D1-93A1-7D774CD24092}"/>
            </a:ext>
          </a:extLst>
        </xdr:cNvPr>
        <xdr:cNvSpPr txBox="1"/>
      </xdr:nvSpPr>
      <xdr:spPr>
        <a:xfrm>
          <a:off x="7689891" y="19073823"/>
          <a:ext cx="5918885" cy="1505891"/>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baseline="0">
              <a:solidFill>
                <a:schemeClr val="dk1"/>
              </a:solidFill>
              <a:effectLst/>
              <a:latin typeface="+mn-lt"/>
              <a:ea typeface="+mn-ea"/>
              <a:cs typeface="+mn-cs"/>
            </a:rPr>
            <a:t>✅Increasing Monthly Net Income Trend</a:t>
          </a:r>
        </a:p>
        <a:p>
          <a:r>
            <a:rPr lang="en-PH" sz="1100" b="0" baseline="0">
              <a:solidFill>
                <a:schemeClr val="dk1"/>
              </a:solidFill>
              <a:effectLst/>
              <a:latin typeface="+mn-lt"/>
              <a:ea typeface="+mn-ea"/>
              <a:cs typeface="+mn-cs"/>
            </a:rPr>
            <a:t>- Gradual increase of income and the decreasing trend of expenses could be the cause of incresing net income.</a:t>
          </a:r>
        </a:p>
        <a:p>
          <a:r>
            <a:rPr lang="en-PH" sz="1100" b="0" baseline="0">
              <a:solidFill>
                <a:schemeClr val="dk1"/>
              </a:solidFill>
              <a:effectLst/>
              <a:latin typeface="+mn-lt"/>
              <a:ea typeface="+mn-ea"/>
              <a:cs typeface="+mn-cs"/>
            </a:rPr>
            <a:t>- In long-term, monthly net income is increasing (high fluctuations are reduced).</a:t>
          </a:r>
          <a:endParaRPr lang="en-PH" sz="1200" b="0" baseline="0">
            <a:solidFill>
              <a:schemeClr val="dk1"/>
            </a:solidFill>
            <a:effectLst/>
            <a:latin typeface="+mn-lt"/>
            <a:ea typeface="+mn-ea"/>
            <a:cs typeface="+mn-cs"/>
          </a:endParaRPr>
        </a:p>
      </xdr:txBody>
    </xdr:sp>
    <xdr:clientData/>
  </xdr:twoCellAnchor>
  <xdr:twoCellAnchor>
    <xdr:from>
      <xdr:col>0</xdr:col>
      <xdr:colOff>78920</xdr:colOff>
      <xdr:row>13</xdr:row>
      <xdr:rowOff>2722</xdr:rowOff>
    </xdr:from>
    <xdr:to>
      <xdr:col>5</xdr:col>
      <xdr:colOff>1407995</xdr:colOff>
      <xdr:row>29</xdr:row>
      <xdr:rowOff>128508</xdr:rowOff>
    </xdr:to>
    <xdr:graphicFrame macro="">
      <xdr:nvGraphicFramePr>
        <xdr:cNvPr id="21" name="Chart 20">
          <a:extLst>
            <a:ext uri="{FF2B5EF4-FFF2-40B4-BE49-F238E27FC236}">
              <a16:creationId xmlns:a16="http://schemas.microsoft.com/office/drawing/2014/main" id="{8555CF27-7324-4B72-83DA-25ACFF93A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264199</xdr:colOff>
      <xdr:row>13</xdr:row>
      <xdr:rowOff>72541</xdr:rowOff>
    </xdr:from>
    <xdr:to>
      <xdr:col>14</xdr:col>
      <xdr:colOff>533670</xdr:colOff>
      <xdr:row>24</xdr:row>
      <xdr:rowOff>59872</xdr:rowOff>
    </xdr:to>
    <xdr:sp macro="" textlink="">
      <xdr:nvSpPr>
        <xdr:cNvPr id="22" name="TextBox 21">
          <a:extLst>
            <a:ext uri="{FF2B5EF4-FFF2-40B4-BE49-F238E27FC236}">
              <a16:creationId xmlns:a16="http://schemas.microsoft.com/office/drawing/2014/main" id="{BCEEF72C-8B79-70DF-2A11-73F64ECE52A3}"/>
            </a:ext>
          </a:extLst>
        </xdr:cNvPr>
        <xdr:cNvSpPr txBox="1"/>
      </xdr:nvSpPr>
      <xdr:spPr>
        <a:xfrm>
          <a:off x="7807999" y="3682516"/>
          <a:ext cx="5917796" cy="2130456"/>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baseline="0">
              <a:solidFill>
                <a:schemeClr val="dk1"/>
              </a:solidFill>
              <a:effectLst/>
              <a:latin typeface="+mn-lt"/>
              <a:ea typeface="+mn-ea"/>
              <a:cs typeface="+mn-cs"/>
            </a:rPr>
            <a:t>Insight:</a:t>
          </a:r>
          <a:endParaRPr lang="en-PH" sz="1100" b="1" baseline="0">
            <a:solidFill>
              <a:schemeClr val="dk1"/>
            </a:solidFill>
            <a:effectLst/>
            <a:latin typeface="+mn-lt"/>
            <a:ea typeface="+mn-ea"/>
            <a:cs typeface="+mn-cs"/>
          </a:endParaRPr>
        </a:p>
        <a:p>
          <a:r>
            <a:rPr lang="en-PH" sz="1200" b="1" baseline="0">
              <a:solidFill>
                <a:schemeClr val="dk1"/>
              </a:solidFill>
              <a:effectLst/>
              <a:latin typeface="+mn-lt"/>
              <a:ea typeface="+mn-ea"/>
              <a:cs typeface="+mn-cs"/>
            </a:rPr>
            <a:t>✅ Full Period Income Composition</a:t>
          </a:r>
        </a:p>
        <a:p>
          <a:r>
            <a:rPr lang="en-PH" sz="1100" baseline="0">
              <a:solidFill>
                <a:schemeClr val="dk1"/>
              </a:solidFill>
              <a:effectLst/>
              <a:latin typeface="+mn-lt"/>
              <a:ea typeface="+mn-ea"/>
              <a:cs typeface="+mn-cs"/>
            </a:rPr>
            <a:t>    - Income from the first record in year 2023 to latest.</a:t>
          </a:r>
        </a:p>
        <a:p>
          <a:r>
            <a:rPr lang="en-PH" sz="1100" baseline="0">
              <a:solidFill>
                <a:schemeClr val="dk1"/>
              </a:solidFill>
              <a:effectLst/>
              <a:latin typeface="+mn-lt"/>
              <a:ea typeface="+mn-ea"/>
              <a:cs typeface="+mn-cs"/>
            </a:rPr>
            <a:t>    - </a:t>
          </a:r>
          <a:r>
            <a:rPr lang="en-PH" sz="1100" b="1" baseline="0">
              <a:solidFill>
                <a:schemeClr val="dk1"/>
              </a:solidFill>
              <a:effectLst/>
              <a:latin typeface="+mn-lt"/>
              <a:ea typeface="+mn-ea"/>
              <a:cs typeface="+mn-cs"/>
            </a:rPr>
            <a:t>58.53% of the total income retained as net income.</a:t>
          </a:r>
        </a:p>
        <a:p>
          <a:r>
            <a:rPr lang="en-PH" sz="1100" b="1" baseline="0">
              <a:solidFill>
                <a:schemeClr val="dk1"/>
              </a:solidFill>
              <a:effectLst/>
              <a:latin typeface="+mn-lt"/>
              <a:ea typeface="+mn-ea"/>
              <a:cs typeface="+mn-cs"/>
            </a:rPr>
            <a:t>    </a:t>
          </a:r>
          <a:r>
            <a:rPr lang="en-PH" sz="1100" b="0" baseline="0">
              <a:solidFill>
                <a:schemeClr val="dk1"/>
              </a:solidFill>
              <a:effectLst/>
              <a:latin typeface="+mn-lt"/>
              <a:ea typeface="+mn-ea"/>
              <a:cs typeface="+mn-cs"/>
            </a:rPr>
            <a:t>- This means long-term financial management has been generally efficient (above 50% saving mark)</a:t>
          </a:r>
        </a:p>
        <a:p>
          <a:endParaRPr lang="en-PH" sz="1100" baseline="0">
            <a:solidFill>
              <a:schemeClr val="dk1"/>
            </a:solidFill>
            <a:effectLst/>
            <a:latin typeface="+mn-lt"/>
            <a:ea typeface="+mn-ea"/>
            <a:cs typeface="+mn-cs"/>
          </a:endParaRPr>
        </a:p>
        <a:p>
          <a:r>
            <a:rPr lang="en-PH" sz="1200" b="1" baseline="0">
              <a:solidFill>
                <a:schemeClr val="dk1"/>
              </a:solidFill>
              <a:effectLst/>
              <a:latin typeface="+mn-lt"/>
              <a:ea typeface="+mn-ea"/>
              <a:cs typeface="+mn-cs"/>
            </a:rPr>
            <a:t>✅ Latest Month's Income Composition</a:t>
          </a:r>
        </a:p>
        <a:p>
          <a:r>
            <a:rPr lang="en-PH" sz="1100" baseline="0">
              <a:solidFill>
                <a:schemeClr val="dk1"/>
              </a:solidFill>
              <a:effectLst/>
              <a:latin typeface="+mn-lt"/>
              <a:ea typeface="+mn-ea"/>
              <a:cs typeface="+mn-cs"/>
            </a:rPr>
            <a:t>    - Income composition of the latest month.</a:t>
          </a:r>
        </a:p>
        <a:p>
          <a:r>
            <a:rPr lang="en-PH" sz="1100" baseline="0">
              <a:solidFill>
                <a:schemeClr val="dk1"/>
              </a:solidFill>
              <a:effectLst/>
              <a:latin typeface="+mn-lt"/>
              <a:ea typeface="+mn-ea"/>
              <a:cs typeface="+mn-cs"/>
            </a:rPr>
            <a:t>    - Signals temporary expense spike because it is christmas and new years season.</a:t>
          </a:r>
        </a:p>
      </xdr:txBody>
    </xdr:sp>
    <xdr:clientData/>
  </xdr:twoCellAnchor>
  <xdr:twoCellAnchor>
    <xdr:from>
      <xdr:col>6</xdr:col>
      <xdr:colOff>202150</xdr:colOff>
      <xdr:row>32</xdr:row>
      <xdr:rowOff>5594</xdr:rowOff>
    </xdr:from>
    <xdr:to>
      <xdr:col>15</xdr:col>
      <xdr:colOff>280035</xdr:colOff>
      <xdr:row>42</xdr:row>
      <xdr:rowOff>26670</xdr:rowOff>
    </xdr:to>
    <xdr:sp macro="" textlink="">
      <xdr:nvSpPr>
        <xdr:cNvPr id="23" name="TextBox 22">
          <a:extLst>
            <a:ext uri="{FF2B5EF4-FFF2-40B4-BE49-F238E27FC236}">
              <a16:creationId xmlns:a16="http://schemas.microsoft.com/office/drawing/2014/main" id="{2F860039-CEC3-1555-E23F-68BCD850514E}"/>
            </a:ext>
          </a:extLst>
        </xdr:cNvPr>
        <xdr:cNvSpPr txBox="1"/>
      </xdr:nvSpPr>
      <xdr:spPr>
        <a:xfrm>
          <a:off x="7745950" y="7282694"/>
          <a:ext cx="6335810" cy="1926076"/>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baseline="0">
              <a:solidFill>
                <a:schemeClr val="dk1"/>
              </a:solidFill>
              <a:effectLst/>
              <a:latin typeface="+mn-lt"/>
              <a:ea typeface="+mn-ea"/>
              <a:cs typeface="+mn-cs"/>
            </a:rPr>
            <a:t>Insight:</a:t>
          </a:r>
        </a:p>
        <a:p>
          <a:r>
            <a:rPr lang="en-PH" sz="1100" b="1" baseline="0">
              <a:solidFill>
                <a:schemeClr val="dk1"/>
              </a:solidFill>
              <a:effectLst/>
              <a:latin typeface="+mn-lt"/>
              <a:ea typeface="+mn-ea"/>
              <a:cs typeface="+mn-cs"/>
            </a:rPr>
            <a:t>1. Highest Income: </a:t>
          </a:r>
          <a:r>
            <a:rPr lang="en-PH" sz="1100" b="0" baseline="0">
              <a:solidFill>
                <a:schemeClr val="dk1"/>
              </a:solidFill>
              <a:effectLst/>
              <a:latin typeface="+mn-lt"/>
              <a:ea typeface="+mn-ea"/>
              <a:cs typeface="+mn-cs"/>
            </a:rPr>
            <a:t>November 2023</a:t>
          </a:r>
          <a:endParaRPr lang="en-PH" sz="1100" baseline="0">
            <a:solidFill>
              <a:schemeClr val="dk1"/>
            </a:solidFill>
            <a:effectLst/>
            <a:latin typeface="+mn-lt"/>
            <a:ea typeface="+mn-ea"/>
            <a:cs typeface="+mn-cs"/>
          </a:endParaRPr>
        </a:p>
        <a:p>
          <a:r>
            <a:rPr lang="en-PH" sz="1100" b="1" baseline="0">
              <a:solidFill>
                <a:schemeClr val="dk1"/>
              </a:solidFill>
              <a:effectLst/>
              <a:latin typeface="+mn-lt"/>
              <a:ea typeface="+mn-ea"/>
              <a:cs typeface="+mn-cs"/>
            </a:rPr>
            <a:t>2. Highest Expenses: </a:t>
          </a:r>
          <a:r>
            <a:rPr lang="en-PH" sz="1100" b="0" baseline="0">
              <a:solidFill>
                <a:schemeClr val="dk1"/>
              </a:solidFill>
              <a:effectLst/>
              <a:latin typeface="+mn-lt"/>
              <a:ea typeface="+mn-ea"/>
              <a:cs typeface="+mn-cs"/>
            </a:rPr>
            <a:t>December 2023</a:t>
          </a:r>
          <a:endParaRPr lang="en-PH" sz="1100" baseline="0">
            <a:solidFill>
              <a:schemeClr val="dk1"/>
            </a:solidFill>
            <a:effectLst/>
            <a:latin typeface="+mn-lt"/>
            <a:ea typeface="+mn-ea"/>
            <a:cs typeface="+mn-cs"/>
          </a:endParaRPr>
        </a:p>
        <a:p>
          <a:r>
            <a:rPr lang="en-PH" sz="1100" b="1" baseline="0">
              <a:solidFill>
                <a:schemeClr val="dk1"/>
              </a:solidFill>
              <a:effectLst/>
              <a:latin typeface="+mn-lt"/>
              <a:ea typeface="+mn-ea"/>
              <a:cs typeface="+mn-cs"/>
            </a:rPr>
            <a:t>3. Highest Net Income:</a:t>
          </a:r>
          <a:r>
            <a:rPr lang="en-PH" sz="1100" b="0" baseline="0">
              <a:solidFill>
                <a:schemeClr val="dk1"/>
              </a:solidFill>
              <a:effectLst/>
              <a:latin typeface="+mn-lt"/>
              <a:ea typeface="+mn-ea"/>
              <a:cs typeface="+mn-cs"/>
            </a:rPr>
            <a:t> November 2023</a:t>
          </a:r>
        </a:p>
        <a:p>
          <a:r>
            <a:rPr lang="en-PH" sz="1100" b="1" baseline="0">
              <a:solidFill>
                <a:schemeClr val="dk1"/>
              </a:solidFill>
              <a:effectLst/>
              <a:latin typeface="+mn-lt"/>
              <a:ea typeface="+mn-ea"/>
              <a:cs typeface="+mn-cs"/>
            </a:rPr>
            <a:t>4. Notable patterns:</a:t>
          </a:r>
        </a:p>
        <a:p>
          <a:r>
            <a:rPr lang="en-PH" sz="1100" baseline="0">
              <a:solidFill>
                <a:schemeClr val="dk1"/>
              </a:solidFill>
              <a:effectLst/>
              <a:latin typeface="+mn-lt"/>
              <a:ea typeface="+mn-ea"/>
              <a:cs typeface="+mn-cs"/>
            </a:rPr>
            <a:t>    - </a:t>
          </a:r>
          <a:r>
            <a:rPr lang="en-PH" sz="1100" i="1" baseline="0">
              <a:solidFill>
                <a:schemeClr val="dk1"/>
              </a:solidFill>
              <a:effectLst/>
              <a:latin typeface="+mn-lt"/>
              <a:ea typeface="+mn-ea"/>
              <a:cs typeface="+mn-cs"/>
            </a:rPr>
            <a:t>Net Income Trend:</a:t>
          </a:r>
          <a:r>
            <a:rPr lang="en-PH" sz="1100" baseline="0">
              <a:solidFill>
                <a:schemeClr val="dk1"/>
              </a:solidFill>
              <a:effectLst/>
              <a:latin typeface="+mn-lt"/>
              <a:ea typeface="+mn-ea"/>
              <a:cs typeface="+mn-cs"/>
            </a:rPr>
            <a:t> In raw terms, it tends to go downward.</a:t>
          </a:r>
        </a:p>
        <a:p>
          <a:r>
            <a:rPr lang="en-PH" sz="1100" baseline="0">
              <a:solidFill>
                <a:schemeClr val="dk1"/>
              </a:solidFill>
              <a:effectLst/>
              <a:latin typeface="+mn-lt"/>
              <a:ea typeface="+mn-ea"/>
              <a:cs typeface="+mn-cs"/>
            </a:rPr>
            <a:t>    - </a:t>
          </a:r>
          <a:r>
            <a:rPr lang="en-PH" sz="1100" i="1" baseline="0">
              <a:solidFill>
                <a:schemeClr val="dk1"/>
              </a:solidFill>
              <a:effectLst/>
              <a:latin typeface="+mn-lt"/>
              <a:ea typeface="+mn-ea"/>
              <a:cs typeface="+mn-cs"/>
            </a:rPr>
            <a:t>Income Spikes:</a:t>
          </a:r>
          <a:r>
            <a:rPr lang="en-PH" sz="1100" baseline="0">
              <a:solidFill>
                <a:schemeClr val="dk1"/>
              </a:solidFill>
              <a:effectLst/>
              <a:latin typeface="+mn-lt"/>
              <a:ea typeface="+mn-ea"/>
              <a:cs typeface="+mn-cs"/>
            </a:rPr>
            <a:t> Months of November tend to have higher than usual income.</a:t>
          </a:r>
        </a:p>
        <a:p>
          <a:r>
            <a:rPr lang="en-PH" sz="1100" baseline="0">
              <a:solidFill>
                <a:schemeClr val="dk1"/>
              </a:solidFill>
              <a:effectLst/>
              <a:latin typeface="+mn-lt"/>
              <a:ea typeface="+mn-ea"/>
              <a:cs typeface="+mn-cs"/>
            </a:rPr>
            <a:t>    - </a:t>
          </a:r>
          <a:r>
            <a:rPr lang="en-PH" sz="1100" i="1" baseline="0">
              <a:solidFill>
                <a:schemeClr val="dk1"/>
              </a:solidFill>
              <a:effectLst/>
              <a:latin typeface="+mn-lt"/>
              <a:ea typeface="+mn-ea"/>
              <a:cs typeface="+mn-cs"/>
            </a:rPr>
            <a:t>Low Expenses Months:</a:t>
          </a:r>
          <a:r>
            <a:rPr lang="en-PH" sz="1100" baseline="0">
              <a:solidFill>
                <a:schemeClr val="dk1"/>
              </a:solidFill>
              <a:effectLst/>
              <a:latin typeface="+mn-lt"/>
              <a:ea typeface="+mn-ea"/>
              <a:cs typeface="+mn-cs"/>
            </a:rPr>
            <a:t> Months of November tend do have lower expenses than other months.</a:t>
          </a:r>
        </a:p>
        <a:p>
          <a:r>
            <a:rPr lang="en-PH" sz="1100" baseline="0">
              <a:solidFill>
                <a:schemeClr val="dk1"/>
              </a:solidFill>
              <a:effectLst/>
              <a:latin typeface="+mn-lt"/>
              <a:ea typeface="+mn-ea"/>
              <a:cs typeface="+mn-cs"/>
            </a:rPr>
            <a:t>    - </a:t>
          </a:r>
          <a:r>
            <a:rPr lang="en-PH" sz="1100" i="1" baseline="0">
              <a:solidFill>
                <a:schemeClr val="dk1"/>
              </a:solidFill>
              <a:effectLst/>
              <a:latin typeface="+mn-lt"/>
              <a:ea typeface="+mn-ea"/>
              <a:cs typeface="+mn-cs"/>
            </a:rPr>
            <a:t>Mid-year Income Spike:</a:t>
          </a:r>
          <a:r>
            <a:rPr lang="en-PH" sz="1100" baseline="0">
              <a:solidFill>
                <a:schemeClr val="dk1"/>
              </a:solidFill>
              <a:effectLst/>
              <a:latin typeface="+mn-lt"/>
              <a:ea typeface="+mn-ea"/>
              <a:cs typeface="+mn-cs"/>
            </a:rPr>
            <a:t> Month of May have higher than usual income.</a:t>
          </a:r>
        </a:p>
      </xdr:txBody>
    </xdr:sp>
    <xdr:clientData/>
  </xdr:twoCellAnchor>
  <xdr:twoCellAnchor>
    <xdr:from>
      <xdr:col>5</xdr:col>
      <xdr:colOff>1060492</xdr:colOff>
      <xdr:row>119</xdr:row>
      <xdr:rowOff>61923</xdr:rowOff>
    </xdr:from>
    <xdr:to>
      <xdr:col>12</xdr:col>
      <xdr:colOff>476251</xdr:colOff>
      <xdr:row>124</xdr:row>
      <xdr:rowOff>57150</xdr:rowOff>
    </xdr:to>
    <xdr:sp macro="" textlink="">
      <xdr:nvSpPr>
        <xdr:cNvPr id="4" name="TextBox 3">
          <a:extLst>
            <a:ext uri="{FF2B5EF4-FFF2-40B4-BE49-F238E27FC236}">
              <a16:creationId xmlns:a16="http://schemas.microsoft.com/office/drawing/2014/main" id="{7CAD478D-8308-5518-4B25-E23244E83F00}"/>
            </a:ext>
          </a:extLst>
        </xdr:cNvPr>
        <xdr:cNvSpPr txBox="1"/>
      </xdr:nvSpPr>
      <xdr:spPr>
        <a:xfrm>
          <a:off x="7080292" y="24198273"/>
          <a:ext cx="5368884" cy="947727"/>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baseline="0">
              <a:solidFill>
                <a:schemeClr val="dk1"/>
              </a:solidFill>
              <a:effectLst/>
              <a:latin typeface="+mn-lt"/>
              <a:ea typeface="+mn-ea"/>
              <a:cs typeface="+mn-cs"/>
            </a:rPr>
            <a:t>Income source mostly comes from </a:t>
          </a:r>
          <a:r>
            <a:rPr lang="en-PH" sz="1400" b="1" i="1" baseline="0">
              <a:solidFill>
                <a:schemeClr val="dk1"/>
              </a:solidFill>
              <a:effectLst/>
              <a:latin typeface="+mn-lt"/>
              <a:ea typeface="+mn-ea"/>
              <a:cs typeface="+mn-cs"/>
            </a:rPr>
            <a:t>"Salary"</a:t>
          </a:r>
        </a:p>
        <a:p>
          <a:r>
            <a:rPr lang="en-PH" sz="1100" b="0" baseline="0">
              <a:solidFill>
                <a:schemeClr val="dk1"/>
              </a:solidFill>
              <a:effectLst/>
              <a:latin typeface="+mn-lt"/>
              <a:ea typeface="+mn-ea"/>
              <a:cs typeface="+mn-cs"/>
            </a:rPr>
            <a:t>- Income mostly depends on the monthly salary.</a:t>
          </a:r>
        </a:p>
        <a:p>
          <a:r>
            <a:rPr lang="en-PH" sz="1100" b="0" baseline="0">
              <a:solidFill>
                <a:schemeClr val="dk1"/>
              </a:solidFill>
              <a:effectLst/>
              <a:latin typeface="+mn-lt"/>
              <a:ea typeface="+mn-ea"/>
              <a:cs typeface="+mn-cs"/>
            </a:rPr>
            <a:t>- ⚠️</a:t>
          </a:r>
          <a:r>
            <a:rPr lang="en-PH" sz="1100" b="1" baseline="0">
              <a:solidFill>
                <a:schemeClr val="dk1"/>
              </a:solidFill>
              <a:effectLst/>
              <a:latin typeface="+mn-lt"/>
              <a:ea typeface="+mn-ea"/>
              <a:cs typeface="+mn-cs"/>
            </a:rPr>
            <a:t>When there's no longer monthly salary, income will decrease drastically.</a:t>
          </a:r>
          <a:endParaRPr lang="en-PH" sz="1200" b="1" baseline="0">
            <a:solidFill>
              <a:schemeClr val="dk1"/>
            </a:solidFill>
            <a:effectLst/>
            <a:latin typeface="+mn-lt"/>
            <a:ea typeface="+mn-ea"/>
            <a:cs typeface="+mn-cs"/>
          </a:endParaRPr>
        </a:p>
      </xdr:txBody>
    </xdr:sp>
    <xdr:clientData/>
  </xdr:twoCellAnchor>
  <xdr:twoCellAnchor>
    <xdr:from>
      <xdr:col>0</xdr:col>
      <xdr:colOff>12469</xdr:colOff>
      <xdr:row>2</xdr:row>
      <xdr:rowOff>69273</xdr:rowOff>
    </xdr:from>
    <xdr:to>
      <xdr:col>1</xdr:col>
      <xdr:colOff>558994</xdr:colOff>
      <xdr:row>11</xdr:row>
      <xdr:rowOff>68580</xdr:rowOff>
    </xdr:to>
    <xdr:grpSp>
      <xdr:nvGrpSpPr>
        <xdr:cNvPr id="19" name="Group 18">
          <a:extLst>
            <a:ext uri="{FF2B5EF4-FFF2-40B4-BE49-F238E27FC236}">
              <a16:creationId xmlns:a16="http://schemas.microsoft.com/office/drawing/2014/main" id="{642C62E9-63EF-E779-4DEA-F3D6382066FF}"/>
            </a:ext>
          </a:extLst>
        </xdr:cNvPr>
        <xdr:cNvGrpSpPr/>
      </xdr:nvGrpSpPr>
      <xdr:grpSpPr>
        <a:xfrm>
          <a:off x="10564" y="977958"/>
          <a:ext cx="2295315" cy="2331027"/>
          <a:chOff x="12469" y="497898"/>
          <a:chExt cx="2296391" cy="2323407"/>
        </a:xfrm>
      </xdr:grpSpPr>
      <xdr:grpSp>
        <xdr:nvGrpSpPr>
          <xdr:cNvPr id="39" name="Group 38">
            <a:extLst>
              <a:ext uri="{FF2B5EF4-FFF2-40B4-BE49-F238E27FC236}">
                <a16:creationId xmlns:a16="http://schemas.microsoft.com/office/drawing/2014/main" id="{888B3536-7AE2-C50E-BC0F-481B9D77F91C}"/>
              </a:ext>
            </a:extLst>
          </xdr:cNvPr>
          <xdr:cNvGrpSpPr/>
        </xdr:nvGrpSpPr>
        <xdr:grpSpPr>
          <a:xfrm>
            <a:off x="12469" y="497898"/>
            <a:ext cx="2296391" cy="2323407"/>
            <a:chOff x="2976649" y="724593"/>
            <a:chExt cx="2349731" cy="2193867"/>
          </a:xfrm>
        </xdr:grpSpPr>
        <xdr:sp macro="" textlink="">
          <xdr:nvSpPr>
            <xdr:cNvPr id="40" name="TextBox 39">
              <a:extLst>
                <a:ext uri="{FF2B5EF4-FFF2-40B4-BE49-F238E27FC236}">
                  <a16:creationId xmlns:a16="http://schemas.microsoft.com/office/drawing/2014/main" id="{F08840F9-294C-FF90-25FE-320808A91569}"/>
                </a:ext>
              </a:extLst>
            </xdr:cNvPr>
            <xdr:cNvSpPr txBox="1"/>
          </xdr:nvSpPr>
          <xdr:spPr>
            <a:xfrm>
              <a:off x="2976649" y="724593"/>
              <a:ext cx="2349731" cy="2193867"/>
            </a:xfrm>
            <a:prstGeom prst="rect">
              <a:avLst/>
            </a:prstGeom>
            <a:solidFill>
              <a:schemeClr val="accent1">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xdr:txBody>
        </xdr:sp>
        <xdr:grpSp>
          <xdr:nvGrpSpPr>
            <xdr:cNvPr id="41" name="Group 40">
              <a:extLst>
                <a:ext uri="{FF2B5EF4-FFF2-40B4-BE49-F238E27FC236}">
                  <a16:creationId xmlns:a16="http://schemas.microsoft.com/office/drawing/2014/main" id="{47DBC9C0-F1D7-5865-53F4-1746E9E044D5}"/>
                </a:ext>
              </a:extLst>
            </xdr:cNvPr>
            <xdr:cNvGrpSpPr/>
          </xdr:nvGrpSpPr>
          <xdr:grpSpPr>
            <a:xfrm>
              <a:off x="3022369" y="793173"/>
              <a:ext cx="2235431" cy="2117667"/>
              <a:chOff x="3022369" y="793173"/>
              <a:chExt cx="2235431" cy="2117667"/>
            </a:xfrm>
          </xdr:grpSpPr>
          <xdr:sp macro="" textlink="">
            <xdr:nvSpPr>
              <xdr:cNvPr id="42" name="TextBox 41">
                <a:extLst>
                  <a:ext uri="{FF2B5EF4-FFF2-40B4-BE49-F238E27FC236}">
                    <a16:creationId xmlns:a16="http://schemas.microsoft.com/office/drawing/2014/main" id="{20B9275B-09E6-1F47-F5D4-AC180C4F61B0}"/>
                  </a:ext>
                </a:extLst>
              </xdr:cNvPr>
              <xdr:cNvSpPr txBox="1"/>
            </xdr:nvSpPr>
            <xdr:spPr>
              <a:xfrm>
                <a:off x="3060469" y="793173"/>
                <a:ext cx="1122911" cy="342207"/>
              </a:xfrm>
              <a:prstGeom prst="rect">
                <a:avLst/>
              </a:prstGeom>
              <a:solidFill>
                <a:schemeClr val="accent1">
                  <a:lumMod val="20000"/>
                  <a:lumOff val="8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u="none" strike="noStrike" baseline="0">
                    <a:solidFill>
                      <a:srgbClr val="000000"/>
                    </a:solidFill>
                    <a:effectLst/>
                    <a:latin typeface="Aptos Narrow"/>
                    <a:ea typeface="+mn-ea"/>
                    <a:cs typeface="+mn-cs"/>
                  </a:rPr>
                  <a:t>Expenses</a:t>
                </a:r>
              </a:p>
            </xdr:txBody>
          </xdr:sp>
          <xdr:sp macro="" textlink="">
            <xdr:nvSpPr>
              <xdr:cNvPr id="43" name="TextBox 42">
                <a:extLst>
                  <a:ext uri="{FF2B5EF4-FFF2-40B4-BE49-F238E27FC236}">
                    <a16:creationId xmlns:a16="http://schemas.microsoft.com/office/drawing/2014/main" id="{C512043D-5CB0-9F15-05C9-AF46942A2C5D}"/>
                  </a:ext>
                </a:extLst>
              </xdr:cNvPr>
              <xdr:cNvSpPr txBox="1"/>
            </xdr:nvSpPr>
            <xdr:spPr>
              <a:xfrm>
                <a:off x="3022369" y="1486593"/>
                <a:ext cx="121435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Monthly Average:</a:t>
                </a:r>
              </a:p>
            </xdr:txBody>
          </xdr:sp>
          <xdr:sp macro="" textlink="">
            <xdr:nvSpPr>
              <xdr:cNvPr id="44" name="TextBox 43">
                <a:extLst>
                  <a:ext uri="{FF2B5EF4-FFF2-40B4-BE49-F238E27FC236}">
                    <a16:creationId xmlns:a16="http://schemas.microsoft.com/office/drawing/2014/main" id="{9E56F53A-3B8F-9802-8C3C-BB3AB9506D54}"/>
                  </a:ext>
                </a:extLst>
              </xdr:cNvPr>
              <xdr:cNvSpPr txBox="1"/>
            </xdr:nvSpPr>
            <xdr:spPr>
              <a:xfrm>
                <a:off x="3022369" y="2058093"/>
                <a:ext cx="848591" cy="2888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Total:</a:t>
                </a:r>
              </a:p>
            </xdr:txBody>
          </xdr:sp>
          <xdr:sp macro="" textlink="">
            <xdr:nvSpPr>
              <xdr:cNvPr id="45" name="TextBox 44">
                <a:extLst>
                  <a:ext uri="{FF2B5EF4-FFF2-40B4-BE49-F238E27FC236}">
                    <a16:creationId xmlns:a16="http://schemas.microsoft.com/office/drawing/2014/main" id="{4A84D2C5-FB3D-B8F0-FEFC-F3FA8FCE3A10}"/>
                  </a:ext>
                </a:extLst>
              </xdr:cNvPr>
              <xdr:cNvSpPr txBox="1"/>
            </xdr:nvSpPr>
            <xdr:spPr>
              <a:xfrm>
                <a:off x="3037609" y="2439093"/>
                <a:ext cx="2083031" cy="47174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Latest </a:t>
                </a:r>
              </a:p>
              <a:p>
                <a:pPr algn="l"/>
                <a:r>
                  <a:rPr lang="en-US" sz="1100" b="1" i="0" u="none" strike="noStrike" baseline="0">
                    <a:solidFill>
                      <a:srgbClr val="000000"/>
                    </a:solidFill>
                    <a:effectLst/>
                    <a:latin typeface="Aptos Narrow"/>
                    <a:ea typeface="+mn-ea"/>
                    <a:cs typeface="+mn-cs"/>
                  </a:rPr>
                  <a:t>Month Record:</a:t>
                </a:r>
              </a:p>
            </xdr:txBody>
          </xdr:sp>
          <xdr:sp macro="" textlink="">
            <xdr:nvSpPr>
              <xdr:cNvPr id="46" name="TextBox 45">
                <a:extLst>
                  <a:ext uri="{FF2B5EF4-FFF2-40B4-BE49-F238E27FC236}">
                    <a16:creationId xmlns:a16="http://schemas.microsoft.com/office/drawing/2014/main" id="{6D3FB533-4BD7-3367-FBA9-860EB1F94225}"/>
                  </a:ext>
                </a:extLst>
              </xdr:cNvPr>
              <xdr:cNvSpPr txBox="1"/>
            </xdr:nvSpPr>
            <xdr:spPr>
              <a:xfrm>
                <a:off x="3022369" y="1197033"/>
                <a:ext cx="145057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Growth Rate: </a:t>
                </a:r>
              </a:p>
            </xdr:txBody>
          </xdr:sp>
          <xdr:sp macro="" textlink="$A$4">
            <xdr:nvSpPr>
              <xdr:cNvPr id="47" name="TextBox 46">
                <a:extLst>
                  <a:ext uri="{FF2B5EF4-FFF2-40B4-BE49-F238E27FC236}">
                    <a16:creationId xmlns:a16="http://schemas.microsoft.com/office/drawing/2014/main" id="{B3759E48-D644-97D4-4733-2AACC520B16F}"/>
                  </a:ext>
                </a:extLst>
              </xdr:cNvPr>
              <xdr:cNvSpPr txBox="1"/>
            </xdr:nvSpPr>
            <xdr:spPr>
              <a:xfrm>
                <a:off x="4272049" y="1212273"/>
                <a:ext cx="88669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558DC6D-3A66-4FB5-A8DC-944CA64DE152}" type="TxLink">
                  <a:rPr lang="en-US" sz="1100" b="1" i="0" u="none" strike="noStrike" baseline="0">
                    <a:solidFill>
                      <a:srgbClr val="000000"/>
                    </a:solidFill>
                    <a:effectLst/>
                    <a:latin typeface="Aptos Narrow"/>
                    <a:ea typeface="+mn-ea"/>
                    <a:cs typeface="+mn-cs"/>
                  </a:rPr>
                  <a:pPr algn="l"/>
                  <a:t>-4.21%</a:t>
                </a:fld>
                <a:endParaRPr lang="en-PH" sz="1100" b="1" baseline="0">
                  <a:solidFill>
                    <a:schemeClr val="dk1"/>
                  </a:solidFill>
                  <a:effectLst/>
                  <a:latin typeface="+mn-lt"/>
                  <a:ea typeface="+mn-ea"/>
                  <a:cs typeface="+mn-cs"/>
                </a:endParaRPr>
              </a:p>
            </xdr:txBody>
          </xdr:sp>
          <xdr:sp macro="" textlink="$A$5">
            <xdr:nvSpPr>
              <xdr:cNvPr id="48" name="TextBox 47">
                <a:extLst>
                  <a:ext uri="{FF2B5EF4-FFF2-40B4-BE49-F238E27FC236}">
                    <a16:creationId xmlns:a16="http://schemas.microsoft.com/office/drawing/2014/main" id="{8AFB9849-CE29-D0AF-E5ED-68C21FCDF01E}"/>
                  </a:ext>
                </a:extLst>
              </xdr:cNvPr>
              <xdr:cNvSpPr txBox="1"/>
            </xdr:nvSpPr>
            <xdr:spPr>
              <a:xfrm>
                <a:off x="4249189" y="1478973"/>
                <a:ext cx="100861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7A2B9B7-7CE7-4803-AA49-1F745DD27B44}" type="TxLink">
                  <a:rPr lang="en-US" sz="1100" b="0" i="0" u="none" strike="noStrike" baseline="0">
                    <a:solidFill>
                      <a:srgbClr val="000000"/>
                    </a:solidFill>
                    <a:effectLst/>
                    <a:latin typeface="Aptos Narrow"/>
                    <a:ea typeface="+mn-ea"/>
                    <a:cs typeface="+mn-cs"/>
                  </a:rPr>
                  <a:pPr algn="l"/>
                  <a:t>₱ 17,122.6</a:t>
                </a:fld>
                <a:endParaRPr lang="en-US" sz="1100" b="1" i="0" u="none" strike="noStrike" baseline="0">
                  <a:solidFill>
                    <a:srgbClr val="000000"/>
                  </a:solidFill>
                  <a:effectLst/>
                  <a:latin typeface="Aptos Narrow"/>
                  <a:ea typeface="+mn-ea"/>
                  <a:cs typeface="+mn-cs"/>
                </a:endParaRPr>
              </a:p>
            </xdr:txBody>
          </xdr:sp>
          <xdr:sp macro="" textlink="$A$7">
            <xdr:nvSpPr>
              <xdr:cNvPr id="49" name="TextBox 48">
                <a:extLst>
                  <a:ext uri="{FF2B5EF4-FFF2-40B4-BE49-F238E27FC236}">
                    <a16:creationId xmlns:a16="http://schemas.microsoft.com/office/drawing/2014/main" id="{BC55603C-C710-1E58-1211-70741A4C002B}"/>
                  </a:ext>
                </a:extLst>
              </xdr:cNvPr>
              <xdr:cNvSpPr txBox="1"/>
            </xdr:nvSpPr>
            <xdr:spPr>
              <a:xfrm>
                <a:off x="4249189" y="2042853"/>
                <a:ext cx="940031" cy="2888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AD48209-FBFE-4628-B153-A2D41595B6E2}" type="TxLink">
                  <a:rPr lang="en-US" sz="1100" b="0" i="0" u="none" strike="noStrike" baseline="0">
                    <a:solidFill>
                      <a:srgbClr val="000000"/>
                    </a:solidFill>
                    <a:effectLst/>
                    <a:latin typeface="Aptos Narrow"/>
                    <a:ea typeface="+mn-ea"/>
                    <a:cs typeface="+mn-cs"/>
                  </a:rPr>
                  <a:pPr algn="l"/>
                  <a:t>₱ 256,839</a:t>
                </a:fld>
                <a:endParaRPr lang="en-US" sz="1100" b="1" i="0" u="none" strike="noStrike" baseline="0">
                  <a:solidFill>
                    <a:srgbClr val="000000"/>
                  </a:solidFill>
                  <a:effectLst/>
                  <a:latin typeface="Aptos Narrow"/>
                  <a:ea typeface="+mn-ea"/>
                  <a:cs typeface="+mn-cs"/>
                </a:endParaRPr>
              </a:p>
            </xdr:txBody>
          </xdr:sp>
          <xdr:sp macro="" textlink="$A$8">
            <xdr:nvSpPr>
              <xdr:cNvPr id="50" name="TextBox 49">
                <a:extLst>
                  <a:ext uri="{FF2B5EF4-FFF2-40B4-BE49-F238E27FC236}">
                    <a16:creationId xmlns:a16="http://schemas.microsoft.com/office/drawing/2014/main" id="{FE3925C1-99D8-7902-ABB4-7566A77075DD}"/>
                  </a:ext>
                </a:extLst>
              </xdr:cNvPr>
              <xdr:cNvSpPr txBox="1"/>
            </xdr:nvSpPr>
            <xdr:spPr>
              <a:xfrm>
                <a:off x="4256809" y="2522913"/>
                <a:ext cx="72667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1C3E073-C705-4D8A-9565-3635F54AE7F4}" type="TxLink">
                  <a:rPr lang="en-US" sz="1100" b="1" i="0" u="none" strike="noStrike" baseline="0">
                    <a:solidFill>
                      <a:srgbClr val="000000"/>
                    </a:solidFill>
                    <a:effectLst/>
                    <a:latin typeface="Aptos Narrow"/>
                    <a:ea typeface="+mn-ea"/>
                    <a:cs typeface="+mn-cs"/>
                  </a:rPr>
                  <a:pPr algn="l"/>
                  <a:t>₱ 19,636</a:t>
                </a:fld>
                <a:endParaRPr lang="en-US" sz="1100" b="1" i="0" u="none" strike="noStrike" baseline="0">
                  <a:solidFill>
                    <a:srgbClr val="000000"/>
                  </a:solidFill>
                  <a:effectLst/>
                  <a:latin typeface="Aptos Narrow"/>
                  <a:ea typeface="+mn-ea"/>
                  <a:cs typeface="+mn-cs"/>
                </a:endParaRPr>
              </a:p>
            </xdr:txBody>
          </xdr:sp>
          <xdr:sp macro="" textlink="">
            <xdr:nvSpPr>
              <xdr:cNvPr id="8" name="TextBox 7">
                <a:extLst>
                  <a:ext uri="{FF2B5EF4-FFF2-40B4-BE49-F238E27FC236}">
                    <a16:creationId xmlns:a16="http://schemas.microsoft.com/office/drawing/2014/main" id="{9884E0C1-9623-3CB0-2A81-E7C6AFF3BAE6}"/>
                  </a:ext>
                </a:extLst>
              </xdr:cNvPr>
              <xdr:cNvSpPr txBox="1"/>
            </xdr:nvSpPr>
            <xdr:spPr>
              <a:xfrm>
                <a:off x="3022369" y="1753293"/>
                <a:ext cx="121435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Monthly Median:</a:t>
                </a:r>
              </a:p>
            </xdr:txBody>
          </xdr:sp>
          <xdr:sp macro="" textlink="$A$6">
            <xdr:nvSpPr>
              <xdr:cNvPr id="9" name="TextBox 8">
                <a:extLst>
                  <a:ext uri="{FF2B5EF4-FFF2-40B4-BE49-F238E27FC236}">
                    <a16:creationId xmlns:a16="http://schemas.microsoft.com/office/drawing/2014/main" id="{7FFD17DD-A00B-1C48-8919-F92B954CD3F1}"/>
                  </a:ext>
                </a:extLst>
              </xdr:cNvPr>
              <xdr:cNvSpPr txBox="1"/>
            </xdr:nvSpPr>
            <xdr:spPr>
              <a:xfrm>
                <a:off x="4249189" y="1745673"/>
                <a:ext cx="100861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C3E8641-724C-45D4-A562-4D1B23C50722}" type="TxLink">
                  <a:rPr lang="en-US" sz="1100" b="0" i="0" u="none" strike="noStrike" baseline="0">
                    <a:solidFill>
                      <a:srgbClr val="000000"/>
                    </a:solidFill>
                    <a:effectLst/>
                    <a:latin typeface="Aptos Narrow"/>
                    <a:ea typeface="+mn-ea"/>
                    <a:cs typeface="+mn-cs"/>
                  </a:rPr>
                  <a:pPr algn="l"/>
                  <a:t>₱ 17,583</a:t>
                </a:fld>
                <a:endParaRPr lang="en-US" sz="1100" b="1" i="0" u="none" strike="noStrike" baseline="0">
                  <a:solidFill>
                    <a:srgbClr val="000000"/>
                  </a:solidFill>
                  <a:effectLst/>
                  <a:latin typeface="Aptos Narrow"/>
                  <a:ea typeface="+mn-ea"/>
                  <a:cs typeface="+mn-cs"/>
                </a:endParaRPr>
              </a:p>
            </xdr:txBody>
          </xdr:sp>
        </xdr:grpSp>
      </xdr:grpSp>
      <xdr:sp macro="" textlink="">
        <xdr:nvSpPr>
          <xdr:cNvPr id="5" name="Isosceles Triangle 4">
            <a:extLst>
              <a:ext uri="{FF2B5EF4-FFF2-40B4-BE49-F238E27FC236}">
                <a16:creationId xmlns:a16="http://schemas.microsoft.com/office/drawing/2014/main" id="{59967356-9FD2-C43E-1419-4CA541952941}"/>
              </a:ext>
            </a:extLst>
          </xdr:cNvPr>
          <xdr:cNvSpPr/>
        </xdr:nvSpPr>
        <xdr:spPr>
          <a:xfrm flipV="1">
            <a:off x="1866900" y="647700"/>
            <a:ext cx="238125" cy="180975"/>
          </a:xfrm>
          <a:prstGeom prst="triangle">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1</xdr:col>
      <xdr:colOff>743989</xdr:colOff>
      <xdr:row>2</xdr:row>
      <xdr:rowOff>61653</xdr:rowOff>
    </xdr:from>
    <xdr:to>
      <xdr:col>3</xdr:col>
      <xdr:colOff>1005840</xdr:colOff>
      <xdr:row>11</xdr:row>
      <xdr:rowOff>60960</xdr:rowOff>
    </xdr:to>
    <xdr:grpSp>
      <xdr:nvGrpSpPr>
        <xdr:cNvPr id="24" name="Group 23">
          <a:extLst>
            <a:ext uri="{FF2B5EF4-FFF2-40B4-BE49-F238E27FC236}">
              <a16:creationId xmlns:a16="http://schemas.microsoft.com/office/drawing/2014/main" id="{9DC60764-932E-A953-116C-899C54037DDC}"/>
            </a:ext>
          </a:extLst>
        </xdr:cNvPr>
        <xdr:cNvGrpSpPr/>
      </xdr:nvGrpSpPr>
      <xdr:grpSpPr>
        <a:xfrm>
          <a:off x="2492779" y="972243"/>
          <a:ext cx="2288771" cy="2331027"/>
          <a:chOff x="2534689" y="490278"/>
          <a:chExt cx="2290676" cy="2323407"/>
        </a:xfrm>
      </xdr:grpSpPr>
      <xdr:grpSp>
        <xdr:nvGrpSpPr>
          <xdr:cNvPr id="10" name="Group 9">
            <a:extLst>
              <a:ext uri="{FF2B5EF4-FFF2-40B4-BE49-F238E27FC236}">
                <a16:creationId xmlns:a16="http://schemas.microsoft.com/office/drawing/2014/main" id="{7812D6C4-61FA-CDB3-D2B1-6C178D53D582}"/>
              </a:ext>
            </a:extLst>
          </xdr:cNvPr>
          <xdr:cNvGrpSpPr/>
        </xdr:nvGrpSpPr>
        <xdr:grpSpPr>
          <a:xfrm>
            <a:off x="2534689" y="490278"/>
            <a:ext cx="2290676" cy="2323407"/>
            <a:chOff x="2976649" y="724593"/>
            <a:chExt cx="2349731" cy="2193867"/>
          </a:xfrm>
          <a:solidFill>
            <a:schemeClr val="accent2">
              <a:lumMod val="20000"/>
              <a:lumOff val="80000"/>
            </a:schemeClr>
          </a:solidFill>
        </xdr:grpSpPr>
        <xdr:sp macro="" textlink="">
          <xdr:nvSpPr>
            <xdr:cNvPr id="11" name="TextBox 10">
              <a:extLst>
                <a:ext uri="{FF2B5EF4-FFF2-40B4-BE49-F238E27FC236}">
                  <a16:creationId xmlns:a16="http://schemas.microsoft.com/office/drawing/2014/main" id="{98301676-3353-7DDD-A8E0-E5C0759B521C}"/>
                </a:ext>
              </a:extLst>
            </xdr:cNvPr>
            <xdr:cNvSpPr txBox="1"/>
          </xdr:nvSpPr>
          <xdr:spPr>
            <a:xfrm>
              <a:off x="2976649" y="724593"/>
              <a:ext cx="2349731" cy="2193867"/>
            </a:xfrm>
            <a:prstGeom prst="rect">
              <a:avLst/>
            </a:prstGeom>
            <a:grp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xdr:txBody>
        </xdr:sp>
        <xdr:grpSp>
          <xdr:nvGrpSpPr>
            <xdr:cNvPr id="12" name="Group 11">
              <a:extLst>
                <a:ext uri="{FF2B5EF4-FFF2-40B4-BE49-F238E27FC236}">
                  <a16:creationId xmlns:a16="http://schemas.microsoft.com/office/drawing/2014/main" id="{738F3810-D8EB-2500-AD91-D4C81351BCB2}"/>
                </a:ext>
              </a:extLst>
            </xdr:cNvPr>
            <xdr:cNvGrpSpPr/>
          </xdr:nvGrpSpPr>
          <xdr:grpSpPr>
            <a:xfrm>
              <a:off x="3022369" y="793173"/>
              <a:ext cx="2235431" cy="2117667"/>
              <a:chOff x="3022369" y="793173"/>
              <a:chExt cx="2235431" cy="2117667"/>
            </a:xfrm>
            <a:grpFill/>
          </xdr:grpSpPr>
          <xdr:sp macro="" textlink="">
            <xdr:nvSpPr>
              <xdr:cNvPr id="13" name="TextBox 12">
                <a:extLst>
                  <a:ext uri="{FF2B5EF4-FFF2-40B4-BE49-F238E27FC236}">
                    <a16:creationId xmlns:a16="http://schemas.microsoft.com/office/drawing/2014/main" id="{04C5EA1A-384E-40C7-B3D7-AEC413337D8E}"/>
                  </a:ext>
                </a:extLst>
              </xdr:cNvPr>
              <xdr:cNvSpPr txBox="1"/>
            </xdr:nvSpPr>
            <xdr:spPr>
              <a:xfrm>
                <a:off x="3060469" y="793173"/>
                <a:ext cx="1122911" cy="342207"/>
              </a:xfrm>
              <a:prstGeom prst="rect">
                <a:avLst/>
              </a:prstGeom>
              <a:grp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u="none" strike="noStrike" baseline="0">
                    <a:solidFill>
                      <a:srgbClr val="000000"/>
                    </a:solidFill>
                    <a:effectLst/>
                    <a:latin typeface="Aptos Narrow"/>
                    <a:ea typeface="+mn-ea"/>
                    <a:cs typeface="+mn-cs"/>
                  </a:rPr>
                  <a:t>Income</a:t>
                </a:r>
              </a:p>
            </xdr:txBody>
          </xdr:sp>
          <xdr:sp macro="" textlink="">
            <xdr:nvSpPr>
              <xdr:cNvPr id="14" name="TextBox 13">
                <a:extLst>
                  <a:ext uri="{FF2B5EF4-FFF2-40B4-BE49-F238E27FC236}">
                    <a16:creationId xmlns:a16="http://schemas.microsoft.com/office/drawing/2014/main" id="{83F7F498-A7F9-F814-CA92-43D27AE89E50}"/>
                  </a:ext>
                </a:extLst>
              </xdr:cNvPr>
              <xdr:cNvSpPr txBox="1"/>
            </xdr:nvSpPr>
            <xdr:spPr>
              <a:xfrm>
                <a:off x="3022369" y="1486593"/>
                <a:ext cx="121435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Monthly Average:</a:t>
                </a:r>
              </a:p>
            </xdr:txBody>
          </xdr:sp>
          <xdr:sp macro="" textlink="">
            <xdr:nvSpPr>
              <xdr:cNvPr id="15" name="TextBox 14">
                <a:extLst>
                  <a:ext uri="{FF2B5EF4-FFF2-40B4-BE49-F238E27FC236}">
                    <a16:creationId xmlns:a16="http://schemas.microsoft.com/office/drawing/2014/main" id="{045BD183-B602-A4A4-AD32-CE383CEEE770}"/>
                  </a:ext>
                </a:extLst>
              </xdr:cNvPr>
              <xdr:cNvSpPr txBox="1"/>
            </xdr:nvSpPr>
            <xdr:spPr>
              <a:xfrm>
                <a:off x="3022369" y="2058093"/>
                <a:ext cx="848591" cy="2888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Total:</a:t>
                </a:r>
              </a:p>
            </xdr:txBody>
          </xdr:sp>
          <xdr:sp macro="" textlink="">
            <xdr:nvSpPr>
              <xdr:cNvPr id="27" name="TextBox 26">
                <a:extLst>
                  <a:ext uri="{FF2B5EF4-FFF2-40B4-BE49-F238E27FC236}">
                    <a16:creationId xmlns:a16="http://schemas.microsoft.com/office/drawing/2014/main" id="{083A1E0B-E0B9-5769-3C94-B9E84B946D7E}"/>
                  </a:ext>
                </a:extLst>
              </xdr:cNvPr>
              <xdr:cNvSpPr txBox="1"/>
            </xdr:nvSpPr>
            <xdr:spPr>
              <a:xfrm>
                <a:off x="3037609" y="2439093"/>
                <a:ext cx="2083031" cy="47174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Latest </a:t>
                </a:r>
              </a:p>
              <a:p>
                <a:pPr algn="l"/>
                <a:r>
                  <a:rPr lang="en-US" sz="1100" b="1" i="0" u="none" strike="noStrike" baseline="0">
                    <a:solidFill>
                      <a:srgbClr val="000000"/>
                    </a:solidFill>
                    <a:effectLst/>
                    <a:latin typeface="Aptos Narrow"/>
                    <a:ea typeface="+mn-ea"/>
                    <a:cs typeface="+mn-cs"/>
                  </a:rPr>
                  <a:t>Month Record:</a:t>
                </a:r>
              </a:p>
            </xdr:txBody>
          </xdr:sp>
          <xdr:sp macro="" textlink="">
            <xdr:nvSpPr>
              <xdr:cNvPr id="28" name="TextBox 27">
                <a:extLst>
                  <a:ext uri="{FF2B5EF4-FFF2-40B4-BE49-F238E27FC236}">
                    <a16:creationId xmlns:a16="http://schemas.microsoft.com/office/drawing/2014/main" id="{A614C73D-18AF-B543-3569-650FCD5955A6}"/>
                  </a:ext>
                </a:extLst>
              </xdr:cNvPr>
              <xdr:cNvSpPr txBox="1"/>
            </xdr:nvSpPr>
            <xdr:spPr>
              <a:xfrm>
                <a:off x="3022369" y="1197033"/>
                <a:ext cx="145057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Growth Rate: </a:t>
                </a:r>
              </a:p>
            </xdr:txBody>
          </xdr:sp>
          <xdr:sp macro="" textlink="$C$4">
            <xdr:nvSpPr>
              <xdr:cNvPr id="29" name="TextBox 28">
                <a:extLst>
                  <a:ext uri="{FF2B5EF4-FFF2-40B4-BE49-F238E27FC236}">
                    <a16:creationId xmlns:a16="http://schemas.microsoft.com/office/drawing/2014/main" id="{40A9F0EC-9E9F-FAA7-3EE2-4EE5677077A8}"/>
                  </a:ext>
                </a:extLst>
              </xdr:cNvPr>
              <xdr:cNvSpPr txBox="1"/>
            </xdr:nvSpPr>
            <xdr:spPr>
              <a:xfrm>
                <a:off x="4272049" y="1212273"/>
                <a:ext cx="88669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4CF4455-19AC-4367-B5AC-36DB04ADA15D}" type="TxLink">
                  <a:rPr lang="en-US" sz="1100" b="1" i="0" u="none" strike="noStrike" baseline="0">
                    <a:solidFill>
                      <a:srgbClr val="000000"/>
                    </a:solidFill>
                    <a:effectLst/>
                    <a:latin typeface="Aptos Narrow"/>
                    <a:ea typeface="+mn-ea"/>
                    <a:cs typeface="+mn-cs"/>
                  </a:rPr>
                  <a:pPr algn="l"/>
                  <a:t>-48.71%</a:t>
                </a:fld>
                <a:endParaRPr lang="en-PH" sz="1100" b="1" baseline="0">
                  <a:solidFill>
                    <a:schemeClr val="dk1"/>
                  </a:solidFill>
                  <a:effectLst/>
                  <a:latin typeface="+mn-lt"/>
                  <a:ea typeface="+mn-ea"/>
                  <a:cs typeface="+mn-cs"/>
                </a:endParaRPr>
              </a:p>
            </xdr:txBody>
          </xdr:sp>
          <xdr:sp macro="" textlink="$C$5">
            <xdr:nvSpPr>
              <xdr:cNvPr id="30" name="TextBox 29">
                <a:extLst>
                  <a:ext uri="{FF2B5EF4-FFF2-40B4-BE49-F238E27FC236}">
                    <a16:creationId xmlns:a16="http://schemas.microsoft.com/office/drawing/2014/main" id="{BCA60008-3593-3F5B-3BEB-4D97783F3521}"/>
                  </a:ext>
                </a:extLst>
              </xdr:cNvPr>
              <xdr:cNvSpPr txBox="1"/>
            </xdr:nvSpPr>
            <xdr:spPr>
              <a:xfrm>
                <a:off x="4249189" y="1478973"/>
                <a:ext cx="100861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D7DE602-3017-47C0-B7E4-DD020559C422}" type="TxLink">
                  <a:rPr lang="en-US" sz="1100" b="0" i="0" u="none" strike="noStrike" baseline="0">
                    <a:solidFill>
                      <a:srgbClr val="000000"/>
                    </a:solidFill>
                    <a:effectLst/>
                    <a:latin typeface="Aptos Narrow"/>
                    <a:ea typeface="+mn-ea"/>
                    <a:cs typeface="+mn-cs"/>
                  </a:rPr>
                  <a:pPr algn="l"/>
                  <a:t>₱ 36,427.47</a:t>
                </a:fld>
                <a:endParaRPr lang="en-US" sz="1100" b="1" i="0" u="none" strike="noStrike" baseline="0">
                  <a:solidFill>
                    <a:srgbClr val="000000"/>
                  </a:solidFill>
                  <a:effectLst/>
                  <a:latin typeface="Aptos Narrow"/>
                  <a:ea typeface="+mn-ea"/>
                  <a:cs typeface="+mn-cs"/>
                </a:endParaRPr>
              </a:p>
            </xdr:txBody>
          </xdr:sp>
          <xdr:sp macro="" textlink="$C$7">
            <xdr:nvSpPr>
              <xdr:cNvPr id="31" name="TextBox 30">
                <a:extLst>
                  <a:ext uri="{FF2B5EF4-FFF2-40B4-BE49-F238E27FC236}">
                    <a16:creationId xmlns:a16="http://schemas.microsoft.com/office/drawing/2014/main" id="{FC1679B6-521F-3A51-1C36-ECE01BC7D13F}"/>
                  </a:ext>
                </a:extLst>
              </xdr:cNvPr>
              <xdr:cNvSpPr txBox="1"/>
            </xdr:nvSpPr>
            <xdr:spPr>
              <a:xfrm>
                <a:off x="4249189" y="2042853"/>
                <a:ext cx="940031" cy="2888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82F8BA6-E8CE-4C61-9B4A-12C34DA5AA09}" type="TxLink">
                  <a:rPr lang="en-US" sz="1100" b="0" i="0" u="none" strike="noStrike" baseline="0">
                    <a:solidFill>
                      <a:srgbClr val="000000"/>
                    </a:solidFill>
                    <a:effectLst/>
                    <a:latin typeface="Aptos Narrow"/>
                    <a:ea typeface="+mn-ea"/>
                    <a:cs typeface="+mn-cs"/>
                  </a:rPr>
                  <a:pPr algn="l"/>
                  <a:t>₱ 619,267</a:t>
                </a:fld>
                <a:endParaRPr lang="en-US" sz="1100" b="1" i="0" u="none" strike="noStrike" baseline="0">
                  <a:solidFill>
                    <a:srgbClr val="000000"/>
                  </a:solidFill>
                  <a:effectLst/>
                  <a:latin typeface="Aptos Narrow"/>
                  <a:ea typeface="+mn-ea"/>
                  <a:cs typeface="+mn-cs"/>
                </a:endParaRPr>
              </a:p>
            </xdr:txBody>
          </xdr:sp>
          <xdr:sp macro="" textlink="$C$8">
            <xdr:nvSpPr>
              <xdr:cNvPr id="32" name="TextBox 31">
                <a:extLst>
                  <a:ext uri="{FF2B5EF4-FFF2-40B4-BE49-F238E27FC236}">
                    <a16:creationId xmlns:a16="http://schemas.microsoft.com/office/drawing/2014/main" id="{53A12F2E-FD5E-56A4-CD15-BE5AD79E89E9}"/>
                  </a:ext>
                </a:extLst>
              </xdr:cNvPr>
              <xdr:cNvSpPr txBox="1"/>
            </xdr:nvSpPr>
            <xdr:spPr>
              <a:xfrm>
                <a:off x="4256809" y="2522913"/>
                <a:ext cx="72667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631A3C0-2134-4774-A1B6-FD98E805A81E}" type="TxLink">
                  <a:rPr lang="en-US" sz="1100" b="1" i="0" u="none" strike="noStrike" baseline="0">
                    <a:solidFill>
                      <a:srgbClr val="000000"/>
                    </a:solidFill>
                    <a:effectLst/>
                    <a:latin typeface="Aptos Narrow"/>
                    <a:ea typeface="+mn-ea"/>
                    <a:cs typeface="+mn-cs"/>
                  </a:rPr>
                  <a:pPr algn="l"/>
                  <a:t>₱ 26,403</a:t>
                </a:fld>
                <a:endParaRPr lang="en-US" sz="1100" b="1" i="0" u="none" strike="noStrike" baseline="0">
                  <a:solidFill>
                    <a:srgbClr val="000000"/>
                  </a:solidFill>
                  <a:effectLst/>
                  <a:latin typeface="Aptos Narrow"/>
                  <a:ea typeface="+mn-ea"/>
                  <a:cs typeface="+mn-cs"/>
                </a:endParaRPr>
              </a:p>
            </xdr:txBody>
          </xdr:sp>
          <xdr:sp macro="" textlink="">
            <xdr:nvSpPr>
              <xdr:cNvPr id="33" name="TextBox 32">
                <a:extLst>
                  <a:ext uri="{FF2B5EF4-FFF2-40B4-BE49-F238E27FC236}">
                    <a16:creationId xmlns:a16="http://schemas.microsoft.com/office/drawing/2014/main" id="{4CD8C7D0-FD65-A923-9AE9-66CED6F326FC}"/>
                  </a:ext>
                </a:extLst>
              </xdr:cNvPr>
              <xdr:cNvSpPr txBox="1"/>
            </xdr:nvSpPr>
            <xdr:spPr>
              <a:xfrm>
                <a:off x="3022369" y="1753293"/>
                <a:ext cx="121435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Monthly Median:</a:t>
                </a:r>
              </a:p>
            </xdr:txBody>
          </xdr:sp>
          <xdr:sp macro="" textlink="$C$6">
            <xdr:nvSpPr>
              <xdr:cNvPr id="34" name="TextBox 33">
                <a:extLst>
                  <a:ext uri="{FF2B5EF4-FFF2-40B4-BE49-F238E27FC236}">
                    <a16:creationId xmlns:a16="http://schemas.microsoft.com/office/drawing/2014/main" id="{88A7EDBD-382B-38CA-252F-1C7AFBA2DBA1}"/>
                  </a:ext>
                </a:extLst>
              </xdr:cNvPr>
              <xdr:cNvSpPr txBox="1"/>
            </xdr:nvSpPr>
            <xdr:spPr>
              <a:xfrm>
                <a:off x="4249189" y="1745673"/>
                <a:ext cx="100861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FE5CD3C-8641-4222-BC5F-C25C50E646B2}" type="TxLink">
                  <a:rPr lang="en-US" sz="1100" b="0" i="0" u="none" strike="noStrike" baseline="0">
                    <a:solidFill>
                      <a:srgbClr val="000000"/>
                    </a:solidFill>
                    <a:effectLst/>
                    <a:latin typeface="Aptos Narrow"/>
                    <a:ea typeface="+mn-ea"/>
                    <a:cs typeface="+mn-cs"/>
                  </a:rPr>
                  <a:pPr algn="l"/>
                  <a:t>₱ 30,278</a:t>
                </a:fld>
                <a:endParaRPr lang="en-US" sz="1100" b="1" i="0" u="none" strike="noStrike" baseline="0">
                  <a:solidFill>
                    <a:srgbClr val="000000"/>
                  </a:solidFill>
                  <a:effectLst/>
                  <a:latin typeface="Aptos Narrow"/>
                  <a:ea typeface="+mn-ea"/>
                  <a:cs typeface="+mn-cs"/>
                </a:endParaRPr>
              </a:p>
            </xdr:txBody>
          </xdr:sp>
        </xdr:grpSp>
      </xdr:grpSp>
      <xdr:sp macro="" textlink="">
        <xdr:nvSpPr>
          <xdr:cNvPr id="18" name="Isosceles Triangle 17">
            <a:extLst>
              <a:ext uri="{FF2B5EF4-FFF2-40B4-BE49-F238E27FC236}">
                <a16:creationId xmlns:a16="http://schemas.microsoft.com/office/drawing/2014/main" id="{094F22DB-CBFA-6A8F-BCC6-5EB9FE6C6FBD}"/>
              </a:ext>
            </a:extLst>
          </xdr:cNvPr>
          <xdr:cNvSpPr/>
        </xdr:nvSpPr>
        <xdr:spPr>
          <a:xfrm flipV="1">
            <a:off x="4438650" y="638175"/>
            <a:ext cx="238125" cy="180975"/>
          </a:xfrm>
          <a:prstGeom prst="triangl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3</xdr:col>
      <xdr:colOff>1262149</xdr:colOff>
      <xdr:row>2</xdr:row>
      <xdr:rowOff>52129</xdr:rowOff>
    </xdr:from>
    <xdr:to>
      <xdr:col>5</xdr:col>
      <xdr:colOff>1303849</xdr:colOff>
      <xdr:row>11</xdr:row>
      <xdr:rowOff>50029</xdr:rowOff>
    </xdr:to>
    <xdr:grpSp>
      <xdr:nvGrpSpPr>
        <xdr:cNvPr id="25" name="Group 24">
          <a:extLst>
            <a:ext uri="{FF2B5EF4-FFF2-40B4-BE49-F238E27FC236}">
              <a16:creationId xmlns:a16="http://schemas.microsoft.com/office/drawing/2014/main" id="{831CC2F0-C9E1-3992-F362-73ABC961CA26}"/>
            </a:ext>
          </a:extLst>
        </xdr:cNvPr>
        <xdr:cNvGrpSpPr/>
      </xdr:nvGrpSpPr>
      <xdr:grpSpPr>
        <a:xfrm>
          <a:off x="5032144" y="957004"/>
          <a:ext cx="2289600" cy="2329620"/>
          <a:chOff x="4967374" y="490279"/>
          <a:chExt cx="2279246" cy="2323407"/>
        </a:xfrm>
      </xdr:grpSpPr>
      <xdr:grpSp>
        <xdr:nvGrpSpPr>
          <xdr:cNvPr id="35" name="Group 34">
            <a:extLst>
              <a:ext uri="{FF2B5EF4-FFF2-40B4-BE49-F238E27FC236}">
                <a16:creationId xmlns:a16="http://schemas.microsoft.com/office/drawing/2014/main" id="{FA4757A5-03EA-D2DC-BFA4-C477559B76EC}"/>
              </a:ext>
            </a:extLst>
          </xdr:cNvPr>
          <xdr:cNvGrpSpPr/>
        </xdr:nvGrpSpPr>
        <xdr:grpSpPr>
          <a:xfrm>
            <a:off x="4967374" y="490279"/>
            <a:ext cx="2279246" cy="2323407"/>
            <a:chOff x="2976649" y="724594"/>
            <a:chExt cx="2349731" cy="2193867"/>
          </a:xfrm>
          <a:solidFill>
            <a:schemeClr val="accent1">
              <a:lumMod val="20000"/>
              <a:lumOff val="80000"/>
            </a:schemeClr>
          </a:solidFill>
        </xdr:grpSpPr>
        <xdr:sp macro="" textlink="">
          <xdr:nvSpPr>
            <xdr:cNvPr id="36" name="TextBox 35">
              <a:extLst>
                <a:ext uri="{FF2B5EF4-FFF2-40B4-BE49-F238E27FC236}">
                  <a16:creationId xmlns:a16="http://schemas.microsoft.com/office/drawing/2014/main" id="{336AD6A9-2014-8B7B-55D0-F21296A3540B}"/>
                </a:ext>
              </a:extLst>
            </xdr:cNvPr>
            <xdr:cNvSpPr txBox="1"/>
          </xdr:nvSpPr>
          <xdr:spPr>
            <a:xfrm>
              <a:off x="2976649" y="724594"/>
              <a:ext cx="2349731" cy="2193867"/>
            </a:xfrm>
            <a:prstGeom prst="rect">
              <a:avLst/>
            </a:prstGeom>
            <a:grp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xdr:txBody>
        </xdr:sp>
        <xdr:grpSp>
          <xdr:nvGrpSpPr>
            <xdr:cNvPr id="37" name="Group 36">
              <a:extLst>
                <a:ext uri="{FF2B5EF4-FFF2-40B4-BE49-F238E27FC236}">
                  <a16:creationId xmlns:a16="http://schemas.microsoft.com/office/drawing/2014/main" id="{42112EA8-15AE-2F83-90DE-EED1B91AAB0F}"/>
                </a:ext>
              </a:extLst>
            </xdr:cNvPr>
            <xdr:cNvGrpSpPr/>
          </xdr:nvGrpSpPr>
          <xdr:grpSpPr>
            <a:xfrm>
              <a:off x="3022369" y="793173"/>
              <a:ext cx="2235431" cy="2117667"/>
              <a:chOff x="3022369" y="793173"/>
              <a:chExt cx="2235431" cy="2117667"/>
            </a:xfrm>
            <a:grpFill/>
          </xdr:grpSpPr>
          <xdr:sp macro="" textlink="">
            <xdr:nvSpPr>
              <xdr:cNvPr id="63" name="TextBox 62">
                <a:extLst>
                  <a:ext uri="{FF2B5EF4-FFF2-40B4-BE49-F238E27FC236}">
                    <a16:creationId xmlns:a16="http://schemas.microsoft.com/office/drawing/2014/main" id="{8F983642-05F4-CE2A-10CC-ED99B0F154F9}"/>
                  </a:ext>
                </a:extLst>
              </xdr:cNvPr>
              <xdr:cNvSpPr txBox="1"/>
            </xdr:nvSpPr>
            <xdr:spPr>
              <a:xfrm>
                <a:off x="3060469" y="793173"/>
                <a:ext cx="1328651" cy="342207"/>
              </a:xfrm>
              <a:prstGeom prst="rect">
                <a:avLst/>
              </a:prstGeom>
              <a:grp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u="none" strike="noStrike" baseline="0">
                    <a:solidFill>
                      <a:srgbClr val="000000"/>
                    </a:solidFill>
                    <a:effectLst/>
                    <a:latin typeface="Aptos Narrow"/>
                    <a:ea typeface="+mn-ea"/>
                    <a:cs typeface="+mn-cs"/>
                  </a:rPr>
                  <a:t>Net Income</a:t>
                </a:r>
              </a:p>
            </xdr:txBody>
          </xdr:sp>
          <xdr:sp macro="" textlink="">
            <xdr:nvSpPr>
              <xdr:cNvPr id="64" name="TextBox 63">
                <a:extLst>
                  <a:ext uri="{FF2B5EF4-FFF2-40B4-BE49-F238E27FC236}">
                    <a16:creationId xmlns:a16="http://schemas.microsoft.com/office/drawing/2014/main" id="{9D68FA2D-6F18-4F94-6205-D70794C29B00}"/>
                  </a:ext>
                </a:extLst>
              </xdr:cNvPr>
              <xdr:cNvSpPr txBox="1"/>
            </xdr:nvSpPr>
            <xdr:spPr>
              <a:xfrm>
                <a:off x="3022369" y="1486593"/>
                <a:ext cx="121435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Monthly Average:</a:t>
                </a:r>
              </a:p>
            </xdr:txBody>
          </xdr:sp>
          <xdr:sp macro="" textlink="">
            <xdr:nvSpPr>
              <xdr:cNvPr id="65" name="TextBox 64">
                <a:extLst>
                  <a:ext uri="{FF2B5EF4-FFF2-40B4-BE49-F238E27FC236}">
                    <a16:creationId xmlns:a16="http://schemas.microsoft.com/office/drawing/2014/main" id="{C6439251-4EE6-CDD6-6692-4C192E8F8835}"/>
                  </a:ext>
                </a:extLst>
              </xdr:cNvPr>
              <xdr:cNvSpPr txBox="1"/>
            </xdr:nvSpPr>
            <xdr:spPr>
              <a:xfrm>
                <a:off x="3022369" y="2058093"/>
                <a:ext cx="848591" cy="2888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Total:</a:t>
                </a:r>
              </a:p>
            </xdr:txBody>
          </xdr:sp>
          <xdr:sp macro="" textlink="">
            <xdr:nvSpPr>
              <xdr:cNvPr id="66" name="TextBox 65">
                <a:extLst>
                  <a:ext uri="{FF2B5EF4-FFF2-40B4-BE49-F238E27FC236}">
                    <a16:creationId xmlns:a16="http://schemas.microsoft.com/office/drawing/2014/main" id="{1FD2F030-E8C4-3FFD-3B6E-79B64019C0C5}"/>
                  </a:ext>
                </a:extLst>
              </xdr:cNvPr>
              <xdr:cNvSpPr txBox="1"/>
            </xdr:nvSpPr>
            <xdr:spPr>
              <a:xfrm>
                <a:off x="3037609" y="2439093"/>
                <a:ext cx="2083031" cy="47174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Latest </a:t>
                </a:r>
              </a:p>
              <a:p>
                <a:pPr algn="l"/>
                <a:r>
                  <a:rPr lang="en-US" sz="1100" b="1" i="0" u="none" strike="noStrike" baseline="0">
                    <a:solidFill>
                      <a:srgbClr val="000000"/>
                    </a:solidFill>
                    <a:effectLst/>
                    <a:latin typeface="Aptos Narrow"/>
                    <a:ea typeface="+mn-ea"/>
                    <a:cs typeface="+mn-cs"/>
                  </a:rPr>
                  <a:t>Month Record:</a:t>
                </a:r>
              </a:p>
            </xdr:txBody>
          </xdr:sp>
          <xdr:sp macro="" textlink="">
            <xdr:nvSpPr>
              <xdr:cNvPr id="67" name="TextBox 66">
                <a:extLst>
                  <a:ext uri="{FF2B5EF4-FFF2-40B4-BE49-F238E27FC236}">
                    <a16:creationId xmlns:a16="http://schemas.microsoft.com/office/drawing/2014/main" id="{110D42E4-55A0-6165-46FB-FF978E7F00B9}"/>
                  </a:ext>
                </a:extLst>
              </xdr:cNvPr>
              <xdr:cNvSpPr txBox="1"/>
            </xdr:nvSpPr>
            <xdr:spPr>
              <a:xfrm>
                <a:off x="3022369" y="1197033"/>
                <a:ext cx="145057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Growth Rate: </a:t>
                </a:r>
              </a:p>
            </xdr:txBody>
          </xdr:sp>
          <xdr:sp macro="" textlink="$F$4">
            <xdr:nvSpPr>
              <xdr:cNvPr id="68" name="TextBox 67">
                <a:extLst>
                  <a:ext uri="{FF2B5EF4-FFF2-40B4-BE49-F238E27FC236}">
                    <a16:creationId xmlns:a16="http://schemas.microsoft.com/office/drawing/2014/main" id="{7537F4FC-9021-5E44-2F30-16AE041B8672}"/>
                  </a:ext>
                </a:extLst>
              </xdr:cNvPr>
              <xdr:cNvSpPr txBox="1"/>
            </xdr:nvSpPr>
            <xdr:spPr>
              <a:xfrm>
                <a:off x="4272049" y="1212273"/>
                <a:ext cx="88669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FBD9161-1832-4AE7-BC95-08B1063641FC}" type="TxLink">
                  <a:rPr lang="en-US" sz="1100" b="1" i="0" u="none" strike="noStrike" baseline="0">
                    <a:solidFill>
                      <a:srgbClr val="000000"/>
                    </a:solidFill>
                    <a:effectLst/>
                    <a:latin typeface="Aptos Narrow"/>
                    <a:ea typeface="+mn-ea"/>
                    <a:cs typeface="+mn-cs"/>
                  </a:rPr>
                  <a:pPr algn="l"/>
                  <a:t>-78.16%</a:t>
                </a:fld>
                <a:endParaRPr lang="en-PH" sz="1100" b="1" baseline="0">
                  <a:solidFill>
                    <a:schemeClr val="dk1"/>
                  </a:solidFill>
                  <a:effectLst/>
                  <a:latin typeface="+mn-lt"/>
                  <a:ea typeface="+mn-ea"/>
                  <a:cs typeface="+mn-cs"/>
                </a:endParaRPr>
              </a:p>
            </xdr:txBody>
          </xdr:sp>
          <xdr:sp macro="" textlink="$F$5">
            <xdr:nvSpPr>
              <xdr:cNvPr id="69" name="TextBox 68">
                <a:extLst>
                  <a:ext uri="{FF2B5EF4-FFF2-40B4-BE49-F238E27FC236}">
                    <a16:creationId xmlns:a16="http://schemas.microsoft.com/office/drawing/2014/main" id="{59405403-CF92-B8BE-5D62-804A60AB48B6}"/>
                  </a:ext>
                </a:extLst>
              </xdr:cNvPr>
              <xdr:cNvSpPr txBox="1"/>
            </xdr:nvSpPr>
            <xdr:spPr>
              <a:xfrm>
                <a:off x="4249189" y="1478973"/>
                <a:ext cx="100861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B8A8F84-09D5-4881-A12C-C5680D038425}" type="TxLink">
                  <a:rPr lang="en-US" sz="1100" b="0" i="0" u="none" strike="noStrike" baseline="0">
                    <a:solidFill>
                      <a:srgbClr val="000000"/>
                    </a:solidFill>
                    <a:effectLst/>
                    <a:latin typeface="Aptos Narrow"/>
                    <a:ea typeface="+mn-ea"/>
                    <a:cs typeface="+mn-cs"/>
                  </a:rPr>
                  <a:pPr algn="l"/>
                  <a:t>₱ 21,273.87</a:t>
                </a:fld>
                <a:endParaRPr lang="en-US" sz="1100" b="1" i="0" u="none" strike="noStrike" baseline="0">
                  <a:solidFill>
                    <a:srgbClr val="000000"/>
                  </a:solidFill>
                  <a:effectLst/>
                  <a:latin typeface="Aptos Narrow"/>
                  <a:ea typeface="+mn-ea"/>
                  <a:cs typeface="+mn-cs"/>
                </a:endParaRPr>
              </a:p>
            </xdr:txBody>
          </xdr:sp>
          <xdr:sp macro="" textlink="$F$7">
            <xdr:nvSpPr>
              <xdr:cNvPr id="70" name="TextBox 69">
                <a:extLst>
                  <a:ext uri="{FF2B5EF4-FFF2-40B4-BE49-F238E27FC236}">
                    <a16:creationId xmlns:a16="http://schemas.microsoft.com/office/drawing/2014/main" id="{4D4BBBF1-5A67-9DAA-E14A-0197FDA44D1D}"/>
                  </a:ext>
                </a:extLst>
              </xdr:cNvPr>
              <xdr:cNvSpPr txBox="1"/>
            </xdr:nvSpPr>
            <xdr:spPr>
              <a:xfrm>
                <a:off x="4249189" y="2042853"/>
                <a:ext cx="940031" cy="2888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37191EE-48EA-4F63-B545-A97B8C176098}" type="TxLink">
                  <a:rPr lang="en-US" sz="1100" b="0" i="0" u="none" strike="noStrike" baseline="0">
                    <a:solidFill>
                      <a:srgbClr val="000000"/>
                    </a:solidFill>
                    <a:effectLst/>
                    <a:latin typeface="Aptos Narrow"/>
                    <a:ea typeface="+mn-ea"/>
                    <a:cs typeface="+mn-cs"/>
                  </a:rPr>
                  <a:pPr algn="l"/>
                  <a:t>₱ 362,428</a:t>
                </a:fld>
                <a:endParaRPr lang="en-US" sz="1100" b="1" i="0" u="none" strike="noStrike" baseline="0">
                  <a:solidFill>
                    <a:srgbClr val="000000"/>
                  </a:solidFill>
                  <a:effectLst/>
                  <a:latin typeface="Aptos Narrow"/>
                  <a:ea typeface="+mn-ea"/>
                  <a:cs typeface="+mn-cs"/>
                </a:endParaRPr>
              </a:p>
            </xdr:txBody>
          </xdr:sp>
          <xdr:sp macro="" textlink="$F$8">
            <xdr:nvSpPr>
              <xdr:cNvPr id="71" name="TextBox 70">
                <a:extLst>
                  <a:ext uri="{FF2B5EF4-FFF2-40B4-BE49-F238E27FC236}">
                    <a16:creationId xmlns:a16="http://schemas.microsoft.com/office/drawing/2014/main" id="{7290BBAF-C413-6F94-08D7-783490036D52}"/>
                  </a:ext>
                </a:extLst>
              </xdr:cNvPr>
              <xdr:cNvSpPr txBox="1"/>
            </xdr:nvSpPr>
            <xdr:spPr>
              <a:xfrm>
                <a:off x="4256809" y="2522913"/>
                <a:ext cx="72667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3A0B1F4-5C30-4E12-971D-8FC6198FE4C9}" type="TxLink">
                  <a:rPr lang="en-US" sz="1100" b="1" i="0" u="none" strike="noStrike" baseline="0">
                    <a:solidFill>
                      <a:srgbClr val="000000"/>
                    </a:solidFill>
                    <a:effectLst/>
                    <a:latin typeface="Aptos Narrow"/>
                    <a:ea typeface="+mn-ea"/>
                    <a:cs typeface="+mn-cs"/>
                  </a:rPr>
                  <a:pPr algn="l"/>
                  <a:t>₱ 6,767</a:t>
                </a:fld>
                <a:endParaRPr lang="en-US" sz="1100" b="1" i="0" u="none" strike="noStrike" baseline="0">
                  <a:solidFill>
                    <a:srgbClr val="000000"/>
                  </a:solidFill>
                  <a:effectLst/>
                  <a:latin typeface="Aptos Narrow"/>
                  <a:ea typeface="+mn-ea"/>
                  <a:cs typeface="+mn-cs"/>
                </a:endParaRPr>
              </a:p>
            </xdr:txBody>
          </xdr:sp>
          <xdr:sp macro="" textlink="">
            <xdr:nvSpPr>
              <xdr:cNvPr id="72" name="TextBox 71">
                <a:extLst>
                  <a:ext uri="{FF2B5EF4-FFF2-40B4-BE49-F238E27FC236}">
                    <a16:creationId xmlns:a16="http://schemas.microsoft.com/office/drawing/2014/main" id="{4488EB5A-0752-79D6-F8CC-249DC3C87886}"/>
                  </a:ext>
                </a:extLst>
              </xdr:cNvPr>
              <xdr:cNvSpPr txBox="1"/>
            </xdr:nvSpPr>
            <xdr:spPr>
              <a:xfrm>
                <a:off x="3022369" y="1753293"/>
                <a:ext cx="121435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Monthly Median:</a:t>
                </a:r>
              </a:p>
            </xdr:txBody>
          </xdr:sp>
          <xdr:sp macro="" textlink="$F$6">
            <xdr:nvSpPr>
              <xdr:cNvPr id="73" name="TextBox 72">
                <a:extLst>
                  <a:ext uri="{FF2B5EF4-FFF2-40B4-BE49-F238E27FC236}">
                    <a16:creationId xmlns:a16="http://schemas.microsoft.com/office/drawing/2014/main" id="{99722EAB-BEF2-F669-959B-AFF6C30D754B}"/>
                  </a:ext>
                </a:extLst>
              </xdr:cNvPr>
              <xdr:cNvSpPr txBox="1"/>
            </xdr:nvSpPr>
            <xdr:spPr>
              <a:xfrm>
                <a:off x="4249189" y="1745673"/>
                <a:ext cx="100861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B92F838-B398-4AAB-A538-49EC6682E614}" type="TxLink">
                  <a:rPr lang="en-US" sz="1100" b="0" i="0" u="none" strike="noStrike" baseline="0">
                    <a:solidFill>
                      <a:srgbClr val="000000"/>
                    </a:solidFill>
                    <a:effectLst/>
                    <a:latin typeface="Aptos Narrow"/>
                    <a:ea typeface="+mn-ea"/>
                    <a:cs typeface="+mn-cs"/>
                  </a:rPr>
                  <a:pPr algn="l"/>
                  <a:t>₱ 15,819</a:t>
                </a:fld>
                <a:endParaRPr lang="en-US" sz="1100" b="1" i="0" u="none" strike="noStrike" baseline="0">
                  <a:solidFill>
                    <a:srgbClr val="000000"/>
                  </a:solidFill>
                  <a:effectLst/>
                  <a:latin typeface="Aptos Narrow"/>
                  <a:ea typeface="+mn-ea"/>
                  <a:cs typeface="+mn-cs"/>
                </a:endParaRPr>
              </a:p>
            </xdr:txBody>
          </xdr:sp>
        </xdr:grpSp>
      </xdr:grpSp>
      <xdr:sp macro="" textlink="">
        <xdr:nvSpPr>
          <xdr:cNvPr id="20" name="Isosceles Triangle 19">
            <a:extLst>
              <a:ext uri="{FF2B5EF4-FFF2-40B4-BE49-F238E27FC236}">
                <a16:creationId xmlns:a16="http://schemas.microsoft.com/office/drawing/2014/main" id="{08BBBF7B-B6B6-610B-597B-8D752717ECDC}"/>
              </a:ext>
            </a:extLst>
          </xdr:cNvPr>
          <xdr:cNvSpPr/>
        </xdr:nvSpPr>
        <xdr:spPr>
          <a:xfrm flipV="1">
            <a:off x="6867525" y="619125"/>
            <a:ext cx="238125" cy="180975"/>
          </a:xfrm>
          <a:prstGeom prst="triangl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152400</xdr:colOff>
      <xdr:row>148</xdr:row>
      <xdr:rowOff>9525</xdr:rowOff>
    </xdr:from>
    <xdr:to>
      <xdr:col>4</xdr:col>
      <xdr:colOff>657225</xdr:colOff>
      <xdr:row>162</xdr:row>
      <xdr:rowOff>85725</xdr:rowOff>
    </xdr:to>
    <xdr:graphicFrame macro="">
      <xdr:nvGraphicFramePr>
        <xdr:cNvPr id="17" name="Chart 16">
          <a:extLst>
            <a:ext uri="{FF2B5EF4-FFF2-40B4-BE49-F238E27FC236}">
              <a16:creationId xmlns:a16="http://schemas.microsoft.com/office/drawing/2014/main" id="{6C6558F2-8D88-4C04-B948-5860FD2C1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0</xdr:colOff>
      <xdr:row>148</xdr:row>
      <xdr:rowOff>9525</xdr:rowOff>
    </xdr:from>
    <xdr:to>
      <xdr:col>11</xdr:col>
      <xdr:colOff>294075</xdr:colOff>
      <xdr:row>162</xdr:row>
      <xdr:rowOff>85725</xdr:rowOff>
    </xdr:to>
    <xdr:graphicFrame macro="">
      <xdr:nvGraphicFramePr>
        <xdr:cNvPr id="38" name="Chart 37">
          <a:extLst>
            <a:ext uri="{FF2B5EF4-FFF2-40B4-BE49-F238E27FC236}">
              <a16:creationId xmlns:a16="http://schemas.microsoft.com/office/drawing/2014/main" id="{557ED5F9-7702-672E-EE63-A9C9F7905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171449</xdr:colOff>
      <xdr:row>163</xdr:row>
      <xdr:rowOff>66675</xdr:rowOff>
    </xdr:from>
    <xdr:to>
      <xdr:col>5</xdr:col>
      <xdr:colOff>1304925</xdr:colOff>
      <xdr:row>177</xdr:row>
      <xdr:rowOff>142875</xdr:rowOff>
    </xdr:to>
    <xdr:graphicFrame macro="">
      <xdr:nvGraphicFramePr>
        <xdr:cNvPr id="51" name="Chart 50">
          <a:extLst>
            <a:ext uri="{FF2B5EF4-FFF2-40B4-BE49-F238E27FC236}">
              <a16:creationId xmlns:a16="http://schemas.microsoft.com/office/drawing/2014/main" id="{B7A3A0BC-C335-64A3-18C4-D31A937B2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12742</xdr:colOff>
      <xdr:row>163</xdr:row>
      <xdr:rowOff>109548</xdr:rowOff>
    </xdr:from>
    <xdr:to>
      <xdr:col>13</xdr:col>
      <xdr:colOff>342901</xdr:colOff>
      <xdr:row>172</xdr:row>
      <xdr:rowOff>114300</xdr:rowOff>
    </xdr:to>
    <xdr:sp macro="" textlink="">
      <xdr:nvSpPr>
        <xdr:cNvPr id="52" name="TextBox 51">
          <a:extLst>
            <a:ext uri="{FF2B5EF4-FFF2-40B4-BE49-F238E27FC236}">
              <a16:creationId xmlns:a16="http://schemas.microsoft.com/office/drawing/2014/main" id="{5E431CF0-33B0-56DD-998E-A1E65CE6E28F}"/>
            </a:ext>
          </a:extLst>
        </xdr:cNvPr>
        <xdr:cNvSpPr txBox="1"/>
      </xdr:nvSpPr>
      <xdr:spPr>
        <a:xfrm>
          <a:off x="7556542" y="32770773"/>
          <a:ext cx="5368884" cy="1719252"/>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baseline="0">
              <a:solidFill>
                <a:schemeClr val="dk1"/>
              </a:solidFill>
              <a:effectLst/>
              <a:latin typeface="+mn-lt"/>
              <a:ea typeface="+mn-ea"/>
              <a:cs typeface="+mn-cs"/>
            </a:rPr>
            <a:t> </a:t>
          </a:r>
          <a:r>
            <a:rPr lang="en-PH" sz="1400" b="1" i="1" baseline="0">
              <a:solidFill>
                <a:schemeClr val="dk1"/>
              </a:solidFill>
              <a:effectLst/>
              <a:latin typeface="+mn-lt"/>
              <a:ea typeface="+mn-ea"/>
              <a:cs typeface="+mn-cs"/>
            </a:rPr>
            <a:t>"Supa" </a:t>
          </a:r>
          <a:r>
            <a:rPr lang="en-PH" sz="1400" b="1" i="0" baseline="0">
              <a:solidFill>
                <a:schemeClr val="dk1"/>
              </a:solidFill>
              <a:effectLst/>
              <a:latin typeface="+mn-lt"/>
              <a:ea typeface="+mn-ea"/>
              <a:cs typeface="+mn-cs"/>
            </a:rPr>
            <a:t>stands out the most among the detail transaction</a:t>
          </a:r>
          <a:endParaRPr lang="en-PH" sz="1400" b="1" i="1" baseline="0">
            <a:solidFill>
              <a:schemeClr val="dk1"/>
            </a:solidFill>
            <a:effectLst/>
            <a:latin typeface="+mn-lt"/>
            <a:ea typeface="+mn-ea"/>
            <a:cs typeface="+mn-cs"/>
          </a:endParaRPr>
        </a:p>
        <a:p>
          <a:r>
            <a:rPr lang="en-PH" sz="1100" b="0" baseline="0">
              <a:solidFill>
                <a:schemeClr val="dk1"/>
              </a:solidFill>
              <a:effectLst/>
              <a:latin typeface="+mn-lt"/>
              <a:ea typeface="+mn-ea"/>
              <a:cs typeface="+mn-cs"/>
            </a:rPr>
            <a:t>- "Supa" have the highest total income.</a:t>
          </a:r>
        </a:p>
        <a:p>
          <a:r>
            <a:rPr lang="en-PH" sz="1100" b="0" baseline="0">
              <a:solidFill>
                <a:schemeClr val="dk1"/>
              </a:solidFill>
              <a:effectLst/>
              <a:latin typeface="+mn-lt"/>
              <a:ea typeface="+mn-ea"/>
              <a:cs typeface="+mn-cs"/>
            </a:rPr>
            <a:t>- "Supa" also have the highest purchase count.</a:t>
          </a:r>
        </a:p>
        <a:p>
          <a:r>
            <a:rPr lang="en-PH" sz="1100" b="0" baseline="0">
              <a:solidFill>
                <a:schemeClr val="dk1"/>
              </a:solidFill>
              <a:effectLst/>
              <a:latin typeface="+mn-lt"/>
              <a:ea typeface="+mn-ea"/>
              <a:cs typeface="+mn-cs"/>
            </a:rPr>
            <a:t>- On the other hand, "Supa" is one of the least average expenses.</a:t>
          </a:r>
        </a:p>
        <a:p>
          <a:r>
            <a:rPr lang="en-PH" sz="1100" b="0" baseline="0">
              <a:solidFill>
                <a:schemeClr val="dk1"/>
              </a:solidFill>
              <a:effectLst/>
              <a:latin typeface="+mn-lt"/>
              <a:ea typeface="+mn-ea"/>
              <a:cs typeface="+mn-cs"/>
            </a:rPr>
            <a:t>- ⚠️</a:t>
          </a:r>
          <a:r>
            <a:rPr lang="en-PH" sz="1100" b="1" baseline="0">
              <a:solidFill>
                <a:schemeClr val="dk1"/>
              </a:solidFill>
              <a:effectLst/>
              <a:latin typeface="+mn-lt"/>
              <a:ea typeface="+mn-ea"/>
              <a:cs typeface="+mn-cs"/>
            </a:rPr>
            <a:t>"Supa" could be one of the creeping expenses.</a:t>
          </a:r>
        </a:p>
        <a:p>
          <a:r>
            <a:rPr lang="en-PH" sz="1100" b="0" baseline="0">
              <a:solidFill>
                <a:schemeClr val="dk1"/>
              </a:solidFill>
              <a:effectLst/>
              <a:latin typeface="+mn-lt"/>
              <a:ea typeface="+mn-ea"/>
              <a:cs typeface="+mn-cs"/>
            </a:rPr>
            <a:t>    - </a:t>
          </a:r>
          <a:r>
            <a:rPr lang="en-PH" sz="1100" b="0" i="1" baseline="0">
              <a:solidFill>
                <a:schemeClr val="dk1"/>
              </a:solidFill>
              <a:effectLst/>
              <a:latin typeface="+mn-lt"/>
              <a:ea typeface="+mn-ea"/>
              <a:cs typeface="+mn-cs"/>
            </a:rPr>
            <a:t>Creeping expenses </a:t>
          </a:r>
          <a:r>
            <a:rPr lang="en-PH" sz="1100" b="0" baseline="0">
              <a:solidFill>
                <a:schemeClr val="dk1"/>
              </a:solidFill>
              <a:effectLst/>
              <a:latin typeface="+mn-lt"/>
              <a:ea typeface="+mn-ea"/>
              <a:cs typeface="+mn-cs"/>
            </a:rPr>
            <a:t>- w</a:t>
          </a:r>
          <a:r>
            <a:rPr lang="en-PH"/>
            <a:t>hen small, repeated costs accumulate over time and inflate total spending without you realizing.</a:t>
          </a:r>
          <a:endParaRPr lang="en-PH" sz="1200" b="0" baseline="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462915</xdr:colOff>
      <xdr:row>21</xdr:row>
      <xdr:rowOff>51435</xdr:rowOff>
    </xdr:from>
    <xdr:to>
      <xdr:col>10</xdr:col>
      <xdr:colOff>64770</xdr:colOff>
      <xdr:row>34</xdr:row>
      <xdr:rowOff>158115</xdr:rowOff>
    </xdr:to>
    <xdr:graphicFrame macro="">
      <xdr:nvGraphicFramePr>
        <xdr:cNvPr id="31" name="Chart 30">
          <a:extLst>
            <a:ext uri="{FF2B5EF4-FFF2-40B4-BE49-F238E27FC236}">
              <a16:creationId xmlns:a16="http://schemas.microsoft.com/office/drawing/2014/main" id="{75399C61-F8B5-4B01-A29F-E507872DE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182881</xdr:colOff>
      <xdr:row>21</xdr:row>
      <xdr:rowOff>74295</xdr:rowOff>
    </xdr:from>
    <xdr:to>
      <xdr:col>19</xdr:col>
      <xdr:colOff>171451</xdr:colOff>
      <xdr:row>31</xdr:row>
      <xdr:rowOff>95251</xdr:rowOff>
    </xdr:to>
    <xdr:sp macro="" textlink="">
      <xdr:nvSpPr>
        <xdr:cNvPr id="19" name="TextBox 18">
          <a:extLst>
            <a:ext uri="{FF2B5EF4-FFF2-40B4-BE49-F238E27FC236}">
              <a16:creationId xmlns:a16="http://schemas.microsoft.com/office/drawing/2014/main" id="{D7468DB1-3C7E-C184-DB38-AC4175E8B45A}"/>
            </a:ext>
          </a:extLst>
        </xdr:cNvPr>
        <xdr:cNvSpPr txBox="1"/>
      </xdr:nvSpPr>
      <xdr:spPr>
        <a:xfrm>
          <a:off x="9879331" y="13409295"/>
          <a:ext cx="5474970" cy="1925956"/>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baseline="0">
              <a:solidFill>
                <a:schemeClr val="dk1"/>
              </a:solidFill>
              <a:effectLst/>
              <a:latin typeface="+mn-lt"/>
              <a:ea typeface="+mn-ea"/>
              <a:cs typeface="+mn-cs"/>
            </a:rPr>
            <a:t>Interpretation:</a:t>
          </a:r>
          <a:endParaRPr lang="en-PH" sz="1600">
            <a:effectLst/>
          </a:endParaRPr>
        </a:p>
        <a:p>
          <a:r>
            <a:rPr lang="en-PH" sz="1200" b="1" baseline="0">
              <a:solidFill>
                <a:schemeClr val="dk1"/>
              </a:solidFill>
              <a:effectLst/>
              <a:latin typeface="+mn-lt"/>
              <a:ea typeface="+mn-ea"/>
              <a:cs typeface="+mn-cs"/>
            </a:rPr>
            <a:t>⚠️Net Income is decreasing as months pass by.</a:t>
          </a:r>
          <a:endParaRPr lang="en-PH" sz="1200">
            <a:effectLst/>
          </a:endParaRPr>
        </a:p>
        <a:p>
          <a:r>
            <a:rPr lang="en-PH" sz="1100" baseline="0">
              <a:solidFill>
                <a:schemeClr val="dk1"/>
              </a:solidFill>
              <a:effectLst/>
              <a:latin typeface="+mn-lt"/>
              <a:ea typeface="+mn-ea"/>
              <a:cs typeface="+mn-cs"/>
            </a:rPr>
            <a:t>    - Income and net income are decreasing over time in these months.</a:t>
          </a:r>
        </a:p>
        <a:p>
          <a:r>
            <a:rPr lang="en-PH" sz="1100" baseline="0">
              <a:solidFill>
                <a:schemeClr val="dk1"/>
              </a:solidFill>
              <a:effectLst/>
              <a:latin typeface="+mn-lt"/>
              <a:ea typeface="+mn-ea"/>
              <a:cs typeface="+mn-cs"/>
            </a:rPr>
            <a:t>    - Meanwhile expenses is increasing over time in these months.</a:t>
          </a:r>
        </a:p>
        <a:p>
          <a:r>
            <a:rPr lang="en-PH" sz="1100" baseline="0">
              <a:solidFill>
                <a:schemeClr val="dk1"/>
              </a:solidFill>
              <a:effectLst/>
              <a:latin typeface="+mn-lt"/>
              <a:ea typeface="+mn-ea"/>
              <a:cs typeface="+mn-cs"/>
            </a:rPr>
            <a:t>    </a:t>
          </a:r>
          <a:r>
            <a:rPr lang="en-PH" sz="1100" b="1" baseline="0">
              <a:solidFill>
                <a:schemeClr val="dk1"/>
              </a:solidFill>
              <a:effectLst/>
              <a:latin typeface="+mn-lt"/>
              <a:ea typeface="+mn-ea"/>
              <a:cs typeface="+mn-cs"/>
            </a:rPr>
            <a:t>- Decreasing income and increasing expenses results to decreasing net income.</a:t>
          </a:r>
        </a:p>
        <a:p>
          <a:r>
            <a:rPr lang="en-PH" sz="1100" baseline="0">
              <a:solidFill>
                <a:schemeClr val="dk1"/>
              </a:solidFill>
              <a:effectLst/>
              <a:latin typeface="+mn-lt"/>
              <a:ea typeface="+mn-ea"/>
              <a:cs typeface="+mn-cs"/>
            </a:rPr>
            <a:t>    - Caused by higher than usual income spike of previous months, then followed by usually lower than median income.</a:t>
          </a:r>
          <a:endParaRPr lang="en-PH">
            <a:effectLst/>
          </a:endParaRPr>
        </a:p>
        <a:p>
          <a:r>
            <a:rPr lang="en-PH" sz="1100" baseline="0">
              <a:solidFill>
                <a:schemeClr val="dk1"/>
              </a:solidFill>
              <a:effectLst/>
              <a:latin typeface="+mn-lt"/>
              <a:ea typeface="+mn-ea"/>
              <a:cs typeface="+mn-cs"/>
            </a:rPr>
            <a:t>    - </a:t>
          </a:r>
          <a:r>
            <a:rPr lang="en-PH" sz="1100" b="1" i="0" baseline="0">
              <a:solidFill>
                <a:schemeClr val="dk1"/>
              </a:solidFill>
              <a:effectLst/>
              <a:latin typeface="+mn-lt"/>
              <a:ea typeface="+mn-ea"/>
              <a:cs typeface="+mn-cs"/>
            </a:rPr>
            <a:t>The drop of net income can be treated as return to normal rates</a:t>
          </a:r>
          <a:r>
            <a:rPr lang="en-PH" sz="1100" baseline="0">
              <a:solidFill>
                <a:schemeClr val="dk1"/>
              </a:solidFill>
              <a:effectLst/>
              <a:latin typeface="+mn-lt"/>
              <a:ea typeface="+mn-ea"/>
              <a:cs typeface="+mn-cs"/>
            </a:rPr>
            <a:t>, from its higher than usual rates (nothing to be alarmed, but minding expenses could further mitigate this).</a:t>
          </a:r>
          <a:endParaRPr lang="en-PH">
            <a:effectLst/>
          </a:endParaRPr>
        </a:p>
      </xdr:txBody>
    </xdr:sp>
    <xdr:clientData/>
  </xdr:twoCellAnchor>
  <xdr:twoCellAnchor>
    <xdr:from>
      <xdr:col>0</xdr:col>
      <xdr:colOff>104775</xdr:colOff>
      <xdr:row>2</xdr:row>
      <xdr:rowOff>74294</xdr:rowOff>
    </xdr:from>
    <xdr:to>
      <xdr:col>2</xdr:col>
      <xdr:colOff>356025</xdr:colOff>
      <xdr:row>14</xdr:row>
      <xdr:rowOff>111701</xdr:rowOff>
    </xdr:to>
    <xdr:grpSp>
      <xdr:nvGrpSpPr>
        <xdr:cNvPr id="20" name="Group 19">
          <a:extLst>
            <a:ext uri="{FF2B5EF4-FFF2-40B4-BE49-F238E27FC236}">
              <a16:creationId xmlns:a16="http://schemas.microsoft.com/office/drawing/2014/main" id="{745EC0C0-F859-40AA-906B-1F470C65E0D1}"/>
            </a:ext>
          </a:extLst>
        </xdr:cNvPr>
        <xdr:cNvGrpSpPr/>
      </xdr:nvGrpSpPr>
      <xdr:grpSpPr>
        <a:xfrm>
          <a:off x="104775" y="892323"/>
          <a:ext cx="2290721" cy="2323407"/>
          <a:chOff x="12469" y="497898"/>
          <a:chExt cx="2296391" cy="2323407"/>
        </a:xfrm>
      </xdr:grpSpPr>
      <xdr:grpSp>
        <xdr:nvGrpSpPr>
          <xdr:cNvPr id="21" name="Group 20">
            <a:extLst>
              <a:ext uri="{FF2B5EF4-FFF2-40B4-BE49-F238E27FC236}">
                <a16:creationId xmlns:a16="http://schemas.microsoft.com/office/drawing/2014/main" id="{172166F8-AFBA-B895-F72C-0CA079171AA8}"/>
              </a:ext>
            </a:extLst>
          </xdr:cNvPr>
          <xdr:cNvGrpSpPr/>
        </xdr:nvGrpSpPr>
        <xdr:grpSpPr>
          <a:xfrm>
            <a:off x="12469" y="497898"/>
            <a:ext cx="2296391" cy="2323407"/>
            <a:chOff x="2976649" y="724593"/>
            <a:chExt cx="2349731" cy="2193867"/>
          </a:xfrm>
        </xdr:grpSpPr>
        <xdr:sp macro="" textlink="">
          <xdr:nvSpPr>
            <xdr:cNvPr id="23" name="TextBox 22">
              <a:extLst>
                <a:ext uri="{FF2B5EF4-FFF2-40B4-BE49-F238E27FC236}">
                  <a16:creationId xmlns:a16="http://schemas.microsoft.com/office/drawing/2014/main" id="{DC3EFEE9-B15E-8F4F-CDB8-3FCBF10C9DFC}"/>
                </a:ext>
              </a:extLst>
            </xdr:cNvPr>
            <xdr:cNvSpPr txBox="1"/>
          </xdr:nvSpPr>
          <xdr:spPr>
            <a:xfrm>
              <a:off x="2976649" y="724593"/>
              <a:ext cx="2349731" cy="2193867"/>
            </a:xfrm>
            <a:prstGeom prst="rect">
              <a:avLst/>
            </a:prstGeom>
            <a:solidFill>
              <a:schemeClr val="accent1">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xdr:txBody>
        </xdr:sp>
        <xdr:grpSp>
          <xdr:nvGrpSpPr>
            <xdr:cNvPr id="24" name="Group 23">
              <a:extLst>
                <a:ext uri="{FF2B5EF4-FFF2-40B4-BE49-F238E27FC236}">
                  <a16:creationId xmlns:a16="http://schemas.microsoft.com/office/drawing/2014/main" id="{E79BE026-0E65-54B2-CB50-3BAD6C25088A}"/>
                </a:ext>
              </a:extLst>
            </xdr:cNvPr>
            <xdr:cNvGrpSpPr/>
          </xdr:nvGrpSpPr>
          <xdr:grpSpPr>
            <a:xfrm>
              <a:off x="3022369" y="793173"/>
              <a:ext cx="2235431" cy="2117667"/>
              <a:chOff x="3022369" y="793173"/>
              <a:chExt cx="2235431" cy="2117667"/>
            </a:xfrm>
          </xdr:grpSpPr>
          <xdr:sp macro="" textlink="">
            <xdr:nvSpPr>
              <xdr:cNvPr id="25" name="TextBox 24">
                <a:extLst>
                  <a:ext uri="{FF2B5EF4-FFF2-40B4-BE49-F238E27FC236}">
                    <a16:creationId xmlns:a16="http://schemas.microsoft.com/office/drawing/2014/main" id="{D1F86764-C0ED-46AE-A77A-354224871DCA}"/>
                  </a:ext>
                </a:extLst>
              </xdr:cNvPr>
              <xdr:cNvSpPr txBox="1"/>
            </xdr:nvSpPr>
            <xdr:spPr>
              <a:xfrm>
                <a:off x="3060469" y="793173"/>
                <a:ext cx="1122911" cy="342207"/>
              </a:xfrm>
              <a:prstGeom prst="rect">
                <a:avLst/>
              </a:prstGeom>
              <a:solidFill>
                <a:schemeClr val="accent1">
                  <a:lumMod val="20000"/>
                  <a:lumOff val="8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u="none" strike="noStrike" baseline="0">
                    <a:solidFill>
                      <a:srgbClr val="000000"/>
                    </a:solidFill>
                    <a:effectLst/>
                    <a:latin typeface="Aptos Narrow"/>
                    <a:ea typeface="+mn-ea"/>
                    <a:cs typeface="+mn-cs"/>
                  </a:rPr>
                  <a:t>Expenses</a:t>
                </a:r>
              </a:p>
            </xdr:txBody>
          </xdr:sp>
          <xdr:sp macro="" textlink="">
            <xdr:nvSpPr>
              <xdr:cNvPr id="26" name="TextBox 25">
                <a:extLst>
                  <a:ext uri="{FF2B5EF4-FFF2-40B4-BE49-F238E27FC236}">
                    <a16:creationId xmlns:a16="http://schemas.microsoft.com/office/drawing/2014/main" id="{9AFD9BFE-3E15-2906-DF55-F3F9F51430AB}"/>
                  </a:ext>
                </a:extLst>
              </xdr:cNvPr>
              <xdr:cNvSpPr txBox="1"/>
            </xdr:nvSpPr>
            <xdr:spPr>
              <a:xfrm>
                <a:off x="3022369" y="1486593"/>
                <a:ext cx="121435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Monthly Average:</a:t>
                </a:r>
              </a:p>
            </xdr:txBody>
          </xdr:sp>
          <xdr:sp macro="" textlink="">
            <xdr:nvSpPr>
              <xdr:cNvPr id="27" name="TextBox 26">
                <a:extLst>
                  <a:ext uri="{FF2B5EF4-FFF2-40B4-BE49-F238E27FC236}">
                    <a16:creationId xmlns:a16="http://schemas.microsoft.com/office/drawing/2014/main" id="{BCE49113-E648-1DA6-8644-FAF6DB898B78}"/>
                  </a:ext>
                </a:extLst>
              </xdr:cNvPr>
              <xdr:cNvSpPr txBox="1"/>
            </xdr:nvSpPr>
            <xdr:spPr>
              <a:xfrm>
                <a:off x="3022369" y="2058093"/>
                <a:ext cx="848591" cy="2888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Total:</a:t>
                </a:r>
              </a:p>
            </xdr:txBody>
          </xdr:sp>
          <xdr:sp macro="" textlink="">
            <xdr:nvSpPr>
              <xdr:cNvPr id="28" name="TextBox 27">
                <a:extLst>
                  <a:ext uri="{FF2B5EF4-FFF2-40B4-BE49-F238E27FC236}">
                    <a16:creationId xmlns:a16="http://schemas.microsoft.com/office/drawing/2014/main" id="{6A688CB1-EB14-56FE-60C7-4FDF82010BD6}"/>
                  </a:ext>
                </a:extLst>
              </xdr:cNvPr>
              <xdr:cNvSpPr txBox="1"/>
            </xdr:nvSpPr>
            <xdr:spPr>
              <a:xfrm>
                <a:off x="3037609" y="2439093"/>
                <a:ext cx="2083031" cy="47174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Latest </a:t>
                </a:r>
              </a:p>
              <a:p>
                <a:pPr algn="l"/>
                <a:r>
                  <a:rPr lang="en-US" sz="1100" b="1" i="0" u="none" strike="noStrike" baseline="0">
                    <a:solidFill>
                      <a:srgbClr val="000000"/>
                    </a:solidFill>
                    <a:effectLst/>
                    <a:latin typeface="Aptos Narrow"/>
                    <a:ea typeface="+mn-ea"/>
                    <a:cs typeface="+mn-cs"/>
                  </a:rPr>
                  <a:t>Month Record:</a:t>
                </a:r>
              </a:p>
            </xdr:txBody>
          </xdr:sp>
          <xdr:sp macro="" textlink="">
            <xdr:nvSpPr>
              <xdr:cNvPr id="29" name="TextBox 28">
                <a:extLst>
                  <a:ext uri="{FF2B5EF4-FFF2-40B4-BE49-F238E27FC236}">
                    <a16:creationId xmlns:a16="http://schemas.microsoft.com/office/drawing/2014/main" id="{6E09946B-DE52-31BF-CCAC-500650FE7218}"/>
                  </a:ext>
                </a:extLst>
              </xdr:cNvPr>
              <xdr:cNvSpPr txBox="1"/>
            </xdr:nvSpPr>
            <xdr:spPr>
              <a:xfrm>
                <a:off x="3022369" y="1197033"/>
                <a:ext cx="145057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Growth Rate: </a:t>
                </a:r>
              </a:p>
            </xdr:txBody>
          </xdr:sp>
          <xdr:sp macro="" textlink="$A$4">
            <xdr:nvSpPr>
              <xdr:cNvPr id="30" name="TextBox 29">
                <a:extLst>
                  <a:ext uri="{FF2B5EF4-FFF2-40B4-BE49-F238E27FC236}">
                    <a16:creationId xmlns:a16="http://schemas.microsoft.com/office/drawing/2014/main" id="{E10F2B75-FE4B-9027-5663-720380E7E4B8}"/>
                  </a:ext>
                </a:extLst>
              </xdr:cNvPr>
              <xdr:cNvSpPr txBox="1"/>
            </xdr:nvSpPr>
            <xdr:spPr>
              <a:xfrm>
                <a:off x="4272049" y="1212273"/>
                <a:ext cx="88669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558DC6D-3A66-4FB5-A8DC-944CA64DE152}" type="TxLink">
                  <a:rPr lang="en-US" sz="1100" b="1" i="0" u="none" strike="noStrike" baseline="0">
                    <a:solidFill>
                      <a:srgbClr val="000000"/>
                    </a:solidFill>
                    <a:effectLst/>
                    <a:latin typeface="Aptos Narrow"/>
                    <a:ea typeface="+mn-ea"/>
                    <a:cs typeface="+mn-cs"/>
                  </a:rPr>
                  <a:pPr algn="l"/>
                  <a:t> </a:t>
                </a:fld>
                <a:endParaRPr lang="en-PH" sz="1100" b="1" baseline="0">
                  <a:solidFill>
                    <a:schemeClr val="dk1"/>
                  </a:solidFill>
                  <a:effectLst/>
                  <a:latin typeface="+mn-lt"/>
                  <a:ea typeface="+mn-ea"/>
                  <a:cs typeface="+mn-cs"/>
                </a:endParaRPr>
              </a:p>
            </xdr:txBody>
          </xdr:sp>
          <xdr:sp macro="" textlink="$A$5">
            <xdr:nvSpPr>
              <xdr:cNvPr id="33" name="TextBox 32">
                <a:extLst>
                  <a:ext uri="{FF2B5EF4-FFF2-40B4-BE49-F238E27FC236}">
                    <a16:creationId xmlns:a16="http://schemas.microsoft.com/office/drawing/2014/main" id="{0F86B1B6-0063-7E02-E0CE-FCDFE45B17B6}"/>
                  </a:ext>
                </a:extLst>
              </xdr:cNvPr>
              <xdr:cNvSpPr txBox="1"/>
            </xdr:nvSpPr>
            <xdr:spPr>
              <a:xfrm>
                <a:off x="4249189" y="1478973"/>
                <a:ext cx="100861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7A2B9B7-7CE7-4803-AA49-1F745DD27B44}" type="TxLink">
                  <a:rPr lang="en-US" sz="1100" b="0" i="0" u="none" strike="noStrike" baseline="0">
                    <a:solidFill>
                      <a:srgbClr val="000000"/>
                    </a:solidFill>
                    <a:effectLst/>
                    <a:latin typeface="Aptos Narrow"/>
                    <a:ea typeface="+mn-ea"/>
                    <a:cs typeface="+mn-cs"/>
                  </a:rPr>
                  <a:pPr algn="l"/>
                  <a:t> </a:t>
                </a:fld>
                <a:endParaRPr lang="en-US" sz="1100" b="1" i="0" u="none" strike="noStrike" baseline="0">
                  <a:solidFill>
                    <a:srgbClr val="000000"/>
                  </a:solidFill>
                  <a:effectLst/>
                  <a:latin typeface="Aptos Narrow"/>
                  <a:ea typeface="+mn-ea"/>
                  <a:cs typeface="+mn-cs"/>
                </a:endParaRPr>
              </a:p>
            </xdr:txBody>
          </xdr:sp>
          <xdr:sp macro="" textlink="$A$7">
            <xdr:nvSpPr>
              <xdr:cNvPr id="35" name="TextBox 34">
                <a:extLst>
                  <a:ext uri="{FF2B5EF4-FFF2-40B4-BE49-F238E27FC236}">
                    <a16:creationId xmlns:a16="http://schemas.microsoft.com/office/drawing/2014/main" id="{26AD236E-A586-D3F0-7D0C-6D412F9523B5}"/>
                  </a:ext>
                </a:extLst>
              </xdr:cNvPr>
              <xdr:cNvSpPr txBox="1"/>
            </xdr:nvSpPr>
            <xdr:spPr>
              <a:xfrm>
                <a:off x="4249189" y="2042853"/>
                <a:ext cx="940031" cy="2888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AD48209-FBFE-4628-B153-A2D41595B6E2}" type="TxLink">
                  <a:rPr lang="en-US" sz="1100" b="0" i="0" u="none" strike="noStrike" baseline="0">
                    <a:solidFill>
                      <a:srgbClr val="000000"/>
                    </a:solidFill>
                    <a:effectLst/>
                    <a:latin typeface="Aptos Narrow"/>
                    <a:ea typeface="+mn-ea"/>
                    <a:cs typeface="+mn-cs"/>
                  </a:rPr>
                  <a:pPr algn="l"/>
                  <a:t> </a:t>
                </a:fld>
                <a:endParaRPr lang="en-US" sz="1100" b="1" i="0" u="none" strike="noStrike" baseline="0">
                  <a:solidFill>
                    <a:srgbClr val="000000"/>
                  </a:solidFill>
                  <a:effectLst/>
                  <a:latin typeface="Aptos Narrow"/>
                  <a:ea typeface="+mn-ea"/>
                  <a:cs typeface="+mn-cs"/>
                </a:endParaRPr>
              </a:p>
            </xdr:txBody>
          </xdr:sp>
          <xdr:sp macro="" textlink="$A$8">
            <xdr:nvSpPr>
              <xdr:cNvPr id="36" name="TextBox 35">
                <a:extLst>
                  <a:ext uri="{FF2B5EF4-FFF2-40B4-BE49-F238E27FC236}">
                    <a16:creationId xmlns:a16="http://schemas.microsoft.com/office/drawing/2014/main" id="{56209E6E-71D7-1FC7-96BB-E24BEB5AAB16}"/>
                  </a:ext>
                </a:extLst>
              </xdr:cNvPr>
              <xdr:cNvSpPr txBox="1"/>
            </xdr:nvSpPr>
            <xdr:spPr>
              <a:xfrm>
                <a:off x="4256809" y="2522913"/>
                <a:ext cx="72667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1C3E073-C705-4D8A-9565-3635F54AE7F4}" type="TxLink">
                  <a:rPr lang="en-US" sz="1100" b="1" i="0" u="none" strike="noStrike" baseline="0">
                    <a:solidFill>
                      <a:srgbClr val="000000"/>
                    </a:solidFill>
                    <a:effectLst/>
                    <a:latin typeface="Aptos Narrow"/>
                    <a:ea typeface="+mn-ea"/>
                    <a:cs typeface="+mn-cs"/>
                  </a:rPr>
                  <a:pPr algn="l"/>
                  <a:t> </a:t>
                </a:fld>
                <a:endParaRPr lang="en-US" sz="1100" b="1" i="0" u="none" strike="noStrike" baseline="0">
                  <a:solidFill>
                    <a:srgbClr val="000000"/>
                  </a:solidFill>
                  <a:effectLst/>
                  <a:latin typeface="Aptos Narrow"/>
                  <a:ea typeface="+mn-ea"/>
                  <a:cs typeface="+mn-cs"/>
                </a:endParaRPr>
              </a:p>
            </xdr:txBody>
          </xdr:sp>
          <xdr:sp macro="" textlink="">
            <xdr:nvSpPr>
              <xdr:cNvPr id="37" name="TextBox 36">
                <a:extLst>
                  <a:ext uri="{FF2B5EF4-FFF2-40B4-BE49-F238E27FC236}">
                    <a16:creationId xmlns:a16="http://schemas.microsoft.com/office/drawing/2014/main" id="{0673E0FD-1C7D-FF04-2DAF-62AE6AB48F70}"/>
                  </a:ext>
                </a:extLst>
              </xdr:cNvPr>
              <xdr:cNvSpPr txBox="1"/>
            </xdr:nvSpPr>
            <xdr:spPr>
              <a:xfrm>
                <a:off x="3022369" y="1753293"/>
                <a:ext cx="121435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Monthly Median:</a:t>
                </a:r>
              </a:p>
            </xdr:txBody>
          </xdr:sp>
          <xdr:sp macro="" textlink="$A$6">
            <xdr:nvSpPr>
              <xdr:cNvPr id="38" name="TextBox 37">
                <a:extLst>
                  <a:ext uri="{FF2B5EF4-FFF2-40B4-BE49-F238E27FC236}">
                    <a16:creationId xmlns:a16="http://schemas.microsoft.com/office/drawing/2014/main" id="{95ACE481-63EF-4FB2-387E-1A0C3BB29F5C}"/>
                  </a:ext>
                </a:extLst>
              </xdr:cNvPr>
              <xdr:cNvSpPr txBox="1"/>
            </xdr:nvSpPr>
            <xdr:spPr>
              <a:xfrm>
                <a:off x="4249189" y="1745673"/>
                <a:ext cx="1008611" cy="326967"/>
              </a:xfrm>
              <a:prstGeom prst="rect">
                <a:avLst/>
              </a:prstGeom>
              <a:solidFill>
                <a:schemeClr val="accent1">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C3E8641-724C-45D4-A562-4D1B23C50722}" type="TxLink">
                  <a:rPr lang="en-US" sz="1100" b="0" i="0" u="none" strike="noStrike" baseline="0">
                    <a:solidFill>
                      <a:srgbClr val="000000"/>
                    </a:solidFill>
                    <a:effectLst/>
                    <a:latin typeface="Aptos Narrow"/>
                    <a:ea typeface="+mn-ea"/>
                    <a:cs typeface="+mn-cs"/>
                  </a:rPr>
                  <a:pPr algn="l"/>
                  <a:t> </a:t>
                </a:fld>
                <a:endParaRPr lang="en-US" sz="1100" b="1" i="0" u="none" strike="noStrike" baseline="0">
                  <a:solidFill>
                    <a:srgbClr val="000000"/>
                  </a:solidFill>
                  <a:effectLst/>
                  <a:latin typeface="Aptos Narrow"/>
                  <a:ea typeface="+mn-ea"/>
                  <a:cs typeface="+mn-cs"/>
                </a:endParaRPr>
              </a:p>
            </xdr:txBody>
          </xdr:sp>
        </xdr:grpSp>
      </xdr:grpSp>
      <xdr:sp macro="" textlink="">
        <xdr:nvSpPr>
          <xdr:cNvPr id="22" name="Isosceles Triangle 21">
            <a:extLst>
              <a:ext uri="{FF2B5EF4-FFF2-40B4-BE49-F238E27FC236}">
                <a16:creationId xmlns:a16="http://schemas.microsoft.com/office/drawing/2014/main" id="{E3183AF7-58DE-6B40-E5C7-D216C6355F41}"/>
              </a:ext>
            </a:extLst>
          </xdr:cNvPr>
          <xdr:cNvSpPr/>
        </xdr:nvSpPr>
        <xdr:spPr>
          <a:xfrm flipV="1">
            <a:off x="1866900" y="647700"/>
            <a:ext cx="238125" cy="180975"/>
          </a:xfrm>
          <a:prstGeom prst="triangle">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64770</xdr:colOff>
      <xdr:row>21</xdr:row>
      <xdr:rowOff>38099</xdr:rowOff>
    </xdr:from>
    <xdr:to>
      <xdr:col>2</xdr:col>
      <xdr:colOff>317096</xdr:colOff>
      <xdr:row>33</xdr:row>
      <xdr:rowOff>75506</xdr:rowOff>
    </xdr:to>
    <xdr:grpSp>
      <xdr:nvGrpSpPr>
        <xdr:cNvPr id="39" name="Group 38">
          <a:extLst>
            <a:ext uri="{FF2B5EF4-FFF2-40B4-BE49-F238E27FC236}">
              <a16:creationId xmlns:a16="http://schemas.microsoft.com/office/drawing/2014/main" id="{5BF2DA8E-7708-4B3A-82EF-CF3FFF9C1983}"/>
            </a:ext>
          </a:extLst>
        </xdr:cNvPr>
        <xdr:cNvGrpSpPr/>
      </xdr:nvGrpSpPr>
      <xdr:grpSpPr>
        <a:xfrm>
          <a:off x="64770" y="4621305"/>
          <a:ext cx="2291797" cy="2323407"/>
          <a:chOff x="2534689" y="490278"/>
          <a:chExt cx="2290676" cy="2323407"/>
        </a:xfrm>
      </xdr:grpSpPr>
      <xdr:grpSp>
        <xdr:nvGrpSpPr>
          <xdr:cNvPr id="40" name="Group 39">
            <a:extLst>
              <a:ext uri="{FF2B5EF4-FFF2-40B4-BE49-F238E27FC236}">
                <a16:creationId xmlns:a16="http://schemas.microsoft.com/office/drawing/2014/main" id="{4A514E4F-6165-5492-082B-FD23622FF1BD}"/>
              </a:ext>
            </a:extLst>
          </xdr:cNvPr>
          <xdr:cNvGrpSpPr/>
        </xdr:nvGrpSpPr>
        <xdr:grpSpPr>
          <a:xfrm>
            <a:off x="2534689" y="490278"/>
            <a:ext cx="2290676" cy="2323407"/>
            <a:chOff x="2976649" y="724593"/>
            <a:chExt cx="2349731" cy="2193867"/>
          </a:xfrm>
          <a:solidFill>
            <a:schemeClr val="accent2">
              <a:lumMod val="20000"/>
              <a:lumOff val="80000"/>
            </a:schemeClr>
          </a:solidFill>
        </xdr:grpSpPr>
        <xdr:sp macro="" textlink="">
          <xdr:nvSpPr>
            <xdr:cNvPr id="42" name="TextBox 41">
              <a:extLst>
                <a:ext uri="{FF2B5EF4-FFF2-40B4-BE49-F238E27FC236}">
                  <a16:creationId xmlns:a16="http://schemas.microsoft.com/office/drawing/2014/main" id="{A7FDB862-547A-0B0E-6183-9168DB6769C4}"/>
                </a:ext>
              </a:extLst>
            </xdr:cNvPr>
            <xdr:cNvSpPr txBox="1"/>
          </xdr:nvSpPr>
          <xdr:spPr>
            <a:xfrm>
              <a:off x="2976649" y="724593"/>
              <a:ext cx="2349731" cy="2193867"/>
            </a:xfrm>
            <a:prstGeom prst="rect">
              <a:avLst/>
            </a:prstGeom>
            <a:grp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xdr:txBody>
        </xdr:sp>
        <xdr:grpSp>
          <xdr:nvGrpSpPr>
            <xdr:cNvPr id="43" name="Group 42">
              <a:extLst>
                <a:ext uri="{FF2B5EF4-FFF2-40B4-BE49-F238E27FC236}">
                  <a16:creationId xmlns:a16="http://schemas.microsoft.com/office/drawing/2014/main" id="{DA39B266-EE37-2823-0502-378B20AE2493}"/>
                </a:ext>
              </a:extLst>
            </xdr:cNvPr>
            <xdr:cNvGrpSpPr/>
          </xdr:nvGrpSpPr>
          <xdr:grpSpPr>
            <a:xfrm>
              <a:off x="3022369" y="793173"/>
              <a:ext cx="2235431" cy="2117667"/>
              <a:chOff x="3022369" y="793173"/>
              <a:chExt cx="2235431" cy="2117667"/>
            </a:xfrm>
            <a:grpFill/>
          </xdr:grpSpPr>
          <xdr:sp macro="" textlink="">
            <xdr:nvSpPr>
              <xdr:cNvPr id="44" name="TextBox 43">
                <a:extLst>
                  <a:ext uri="{FF2B5EF4-FFF2-40B4-BE49-F238E27FC236}">
                    <a16:creationId xmlns:a16="http://schemas.microsoft.com/office/drawing/2014/main" id="{4BA387B1-319C-6A61-1717-1BDF738A00F1}"/>
                  </a:ext>
                </a:extLst>
              </xdr:cNvPr>
              <xdr:cNvSpPr txBox="1"/>
            </xdr:nvSpPr>
            <xdr:spPr>
              <a:xfrm>
                <a:off x="3060469" y="793173"/>
                <a:ext cx="1122911" cy="342207"/>
              </a:xfrm>
              <a:prstGeom prst="rect">
                <a:avLst/>
              </a:prstGeom>
              <a:grp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u="none" strike="noStrike" baseline="0">
                    <a:solidFill>
                      <a:srgbClr val="000000"/>
                    </a:solidFill>
                    <a:effectLst/>
                    <a:latin typeface="Aptos Narrow"/>
                    <a:ea typeface="+mn-ea"/>
                    <a:cs typeface="+mn-cs"/>
                  </a:rPr>
                  <a:t>Income</a:t>
                </a:r>
              </a:p>
            </xdr:txBody>
          </xdr:sp>
          <xdr:sp macro="" textlink="">
            <xdr:nvSpPr>
              <xdr:cNvPr id="45" name="TextBox 44">
                <a:extLst>
                  <a:ext uri="{FF2B5EF4-FFF2-40B4-BE49-F238E27FC236}">
                    <a16:creationId xmlns:a16="http://schemas.microsoft.com/office/drawing/2014/main" id="{A448291F-7CF9-170B-4480-B3D6681B77F1}"/>
                  </a:ext>
                </a:extLst>
              </xdr:cNvPr>
              <xdr:cNvSpPr txBox="1"/>
            </xdr:nvSpPr>
            <xdr:spPr>
              <a:xfrm>
                <a:off x="3022369" y="1486593"/>
                <a:ext cx="121435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Monthly Average:</a:t>
                </a:r>
              </a:p>
            </xdr:txBody>
          </xdr:sp>
          <xdr:sp macro="" textlink="">
            <xdr:nvSpPr>
              <xdr:cNvPr id="46" name="TextBox 45">
                <a:extLst>
                  <a:ext uri="{FF2B5EF4-FFF2-40B4-BE49-F238E27FC236}">
                    <a16:creationId xmlns:a16="http://schemas.microsoft.com/office/drawing/2014/main" id="{70963710-F710-C9EA-03D9-1549663A82B7}"/>
                  </a:ext>
                </a:extLst>
              </xdr:cNvPr>
              <xdr:cNvSpPr txBox="1"/>
            </xdr:nvSpPr>
            <xdr:spPr>
              <a:xfrm>
                <a:off x="3022369" y="2058093"/>
                <a:ext cx="848591" cy="2888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Total:</a:t>
                </a:r>
              </a:p>
            </xdr:txBody>
          </xdr:sp>
          <xdr:sp macro="" textlink="">
            <xdr:nvSpPr>
              <xdr:cNvPr id="47" name="TextBox 46">
                <a:extLst>
                  <a:ext uri="{FF2B5EF4-FFF2-40B4-BE49-F238E27FC236}">
                    <a16:creationId xmlns:a16="http://schemas.microsoft.com/office/drawing/2014/main" id="{444DC8C1-3787-654D-D6EF-FB9DC27736DE}"/>
                  </a:ext>
                </a:extLst>
              </xdr:cNvPr>
              <xdr:cNvSpPr txBox="1"/>
            </xdr:nvSpPr>
            <xdr:spPr>
              <a:xfrm>
                <a:off x="3037609" y="2439093"/>
                <a:ext cx="2083031" cy="47174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Latest </a:t>
                </a:r>
              </a:p>
              <a:p>
                <a:pPr algn="l"/>
                <a:r>
                  <a:rPr lang="en-US" sz="1100" b="1" i="0" u="none" strike="noStrike" baseline="0">
                    <a:solidFill>
                      <a:srgbClr val="000000"/>
                    </a:solidFill>
                    <a:effectLst/>
                    <a:latin typeface="Aptos Narrow"/>
                    <a:ea typeface="+mn-ea"/>
                    <a:cs typeface="+mn-cs"/>
                  </a:rPr>
                  <a:t>Month Record:</a:t>
                </a:r>
              </a:p>
            </xdr:txBody>
          </xdr:sp>
          <xdr:sp macro="" textlink="">
            <xdr:nvSpPr>
              <xdr:cNvPr id="48" name="TextBox 47">
                <a:extLst>
                  <a:ext uri="{FF2B5EF4-FFF2-40B4-BE49-F238E27FC236}">
                    <a16:creationId xmlns:a16="http://schemas.microsoft.com/office/drawing/2014/main" id="{59FC6019-60A5-9B75-9C01-26B4725512AD}"/>
                  </a:ext>
                </a:extLst>
              </xdr:cNvPr>
              <xdr:cNvSpPr txBox="1"/>
            </xdr:nvSpPr>
            <xdr:spPr>
              <a:xfrm>
                <a:off x="3022369" y="1197033"/>
                <a:ext cx="145057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Growth Rate: </a:t>
                </a:r>
              </a:p>
            </xdr:txBody>
          </xdr:sp>
          <xdr:sp macro="" textlink="$C$4">
            <xdr:nvSpPr>
              <xdr:cNvPr id="49" name="TextBox 48">
                <a:extLst>
                  <a:ext uri="{FF2B5EF4-FFF2-40B4-BE49-F238E27FC236}">
                    <a16:creationId xmlns:a16="http://schemas.microsoft.com/office/drawing/2014/main" id="{6C6263E2-A244-F8E6-27E7-72C2F2829AD7}"/>
                  </a:ext>
                </a:extLst>
              </xdr:cNvPr>
              <xdr:cNvSpPr txBox="1"/>
            </xdr:nvSpPr>
            <xdr:spPr>
              <a:xfrm>
                <a:off x="4272049" y="1212273"/>
                <a:ext cx="88669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4CF4455-19AC-4367-B5AC-36DB04ADA15D}" type="TxLink">
                  <a:rPr lang="en-US" sz="1100" b="1" i="0" u="none" strike="noStrike" baseline="0">
                    <a:solidFill>
                      <a:srgbClr val="000000"/>
                    </a:solidFill>
                    <a:effectLst/>
                    <a:latin typeface="Aptos Narrow"/>
                    <a:ea typeface="+mn-ea"/>
                    <a:cs typeface="+mn-cs"/>
                  </a:rPr>
                  <a:pPr algn="l"/>
                  <a:t> </a:t>
                </a:fld>
                <a:endParaRPr lang="en-PH" sz="1100" b="1" baseline="0">
                  <a:solidFill>
                    <a:schemeClr val="dk1"/>
                  </a:solidFill>
                  <a:effectLst/>
                  <a:latin typeface="+mn-lt"/>
                  <a:ea typeface="+mn-ea"/>
                  <a:cs typeface="+mn-cs"/>
                </a:endParaRPr>
              </a:p>
            </xdr:txBody>
          </xdr:sp>
          <xdr:sp macro="" textlink="$C$5">
            <xdr:nvSpPr>
              <xdr:cNvPr id="50" name="TextBox 49">
                <a:extLst>
                  <a:ext uri="{FF2B5EF4-FFF2-40B4-BE49-F238E27FC236}">
                    <a16:creationId xmlns:a16="http://schemas.microsoft.com/office/drawing/2014/main" id="{412EC3C0-7281-41C0-5915-B9384B6D5ABB}"/>
                  </a:ext>
                </a:extLst>
              </xdr:cNvPr>
              <xdr:cNvSpPr txBox="1"/>
            </xdr:nvSpPr>
            <xdr:spPr>
              <a:xfrm>
                <a:off x="4249189" y="1478973"/>
                <a:ext cx="100861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D7DE602-3017-47C0-B7E4-DD020559C422}" type="TxLink">
                  <a:rPr lang="en-US" sz="1100" b="0" i="0" u="none" strike="noStrike" baseline="0">
                    <a:solidFill>
                      <a:srgbClr val="000000"/>
                    </a:solidFill>
                    <a:effectLst/>
                    <a:latin typeface="Aptos Narrow"/>
                    <a:ea typeface="+mn-ea"/>
                    <a:cs typeface="+mn-cs"/>
                  </a:rPr>
                  <a:pPr algn="l"/>
                  <a:t> </a:t>
                </a:fld>
                <a:endParaRPr lang="en-US" sz="1100" b="1" i="0" u="none" strike="noStrike" baseline="0">
                  <a:solidFill>
                    <a:srgbClr val="000000"/>
                  </a:solidFill>
                  <a:effectLst/>
                  <a:latin typeface="Aptos Narrow"/>
                  <a:ea typeface="+mn-ea"/>
                  <a:cs typeface="+mn-cs"/>
                </a:endParaRPr>
              </a:p>
            </xdr:txBody>
          </xdr:sp>
          <xdr:sp macro="" textlink="$C$7">
            <xdr:nvSpPr>
              <xdr:cNvPr id="51" name="TextBox 50">
                <a:extLst>
                  <a:ext uri="{FF2B5EF4-FFF2-40B4-BE49-F238E27FC236}">
                    <a16:creationId xmlns:a16="http://schemas.microsoft.com/office/drawing/2014/main" id="{5698F63F-63B6-443C-9C98-4D125E37BDA9}"/>
                  </a:ext>
                </a:extLst>
              </xdr:cNvPr>
              <xdr:cNvSpPr txBox="1"/>
            </xdr:nvSpPr>
            <xdr:spPr>
              <a:xfrm>
                <a:off x="4249189" y="2042853"/>
                <a:ext cx="940031" cy="2888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82F8BA6-E8CE-4C61-9B4A-12C34DA5AA09}" type="TxLink">
                  <a:rPr lang="en-US" sz="1100" b="0" i="0" u="none" strike="noStrike" baseline="0">
                    <a:solidFill>
                      <a:srgbClr val="000000"/>
                    </a:solidFill>
                    <a:effectLst/>
                    <a:latin typeface="Aptos Narrow"/>
                    <a:ea typeface="+mn-ea"/>
                    <a:cs typeface="+mn-cs"/>
                  </a:rPr>
                  <a:pPr algn="l"/>
                  <a:t> </a:t>
                </a:fld>
                <a:endParaRPr lang="en-US" sz="1100" b="1" i="0" u="none" strike="noStrike" baseline="0">
                  <a:solidFill>
                    <a:srgbClr val="000000"/>
                  </a:solidFill>
                  <a:effectLst/>
                  <a:latin typeface="Aptos Narrow"/>
                  <a:ea typeface="+mn-ea"/>
                  <a:cs typeface="+mn-cs"/>
                </a:endParaRPr>
              </a:p>
            </xdr:txBody>
          </xdr:sp>
          <xdr:sp macro="" textlink="$C$8">
            <xdr:nvSpPr>
              <xdr:cNvPr id="52" name="TextBox 51">
                <a:extLst>
                  <a:ext uri="{FF2B5EF4-FFF2-40B4-BE49-F238E27FC236}">
                    <a16:creationId xmlns:a16="http://schemas.microsoft.com/office/drawing/2014/main" id="{308E0213-66C1-9F58-BE66-3C9B0AB5C838}"/>
                  </a:ext>
                </a:extLst>
              </xdr:cNvPr>
              <xdr:cNvSpPr txBox="1"/>
            </xdr:nvSpPr>
            <xdr:spPr>
              <a:xfrm>
                <a:off x="4256809" y="2522913"/>
                <a:ext cx="72667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631A3C0-2134-4774-A1B6-FD98E805A81E}" type="TxLink">
                  <a:rPr lang="en-US" sz="1100" b="1" i="0" u="none" strike="noStrike" baseline="0">
                    <a:solidFill>
                      <a:srgbClr val="000000"/>
                    </a:solidFill>
                    <a:effectLst/>
                    <a:latin typeface="Aptos Narrow"/>
                    <a:ea typeface="+mn-ea"/>
                    <a:cs typeface="+mn-cs"/>
                  </a:rPr>
                  <a:pPr algn="l"/>
                  <a:t> </a:t>
                </a:fld>
                <a:endParaRPr lang="en-US" sz="1100" b="1" i="0" u="none" strike="noStrike" baseline="0">
                  <a:solidFill>
                    <a:srgbClr val="000000"/>
                  </a:solidFill>
                  <a:effectLst/>
                  <a:latin typeface="Aptos Narrow"/>
                  <a:ea typeface="+mn-ea"/>
                  <a:cs typeface="+mn-cs"/>
                </a:endParaRPr>
              </a:p>
            </xdr:txBody>
          </xdr:sp>
          <xdr:sp macro="" textlink="">
            <xdr:nvSpPr>
              <xdr:cNvPr id="53" name="TextBox 52">
                <a:extLst>
                  <a:ext uri="{FF2B5EF4-FFF2-40B4-BE49-F238E27FC236}">
                    <a16:creationId xmlns:a16="http://schemas.microsoft.com/office/drawing/2014/main" id="{527CEDEE-01F1-D723-8D07-AA4816D548B7}"/>
                  </a:ext>
                </a:extLst>
              </xdr:cNvPr>
              <xdr:cNvSpPr txBox="1"/>
            </xdr:nvSpPr>
            <xdr:spPr>
              <a:xfrm>
                <a:off x="3022369" y="1753293"/>
                <a:ext cx="121435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Monthly Median:</a:t>
                </a:r>
              </a:p>
            </xdr:txBody>
          </xdr:sp>
          <xdr:sp macro="" textlink="$C$6">
            <xdr:nvSpPr>
              <xdr:cNvPr id="54" name="TextBox 53">
                <a:extLst>
                  <a:ext uri="{FF2B5EF4-FFF2-40B4-BE49-F238E27FC236}">
                    <a16:creationId xmlns:a16="http://schemas.microsoft.com/office/drawing/2014/main" id="{9BCF697C-BD9A-FC57-02E1-0C2E9256EC4D}"/>
                  </a:ext>
                </a:extLst>
              </xdr:cNvPr>
              <xdr:cNvSpPr txBox="1"/>
            </xdr:nvSpPr>
            <xdr:spPr>
              <a:xfrm>
                <a:off x="4249189" y="1745673"/>
                <a:ext cx="100861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FE5CD3C-8641-4222-BC5F-C25C50E646B2}" type="TxLink">
                  <a:rPr lang="en-US" sz="1100" b="0" i="0" u="none" strike="noStrike" baseline="0">
                    <a:solidFill>
                      <a:srgbClr val="000000"/>
                    </a:solidFill>
                    <a:effectLst/>
                    <a:latin typeface="Aptos Narrow"/>
                    <a:ea typeface="+mn-ea"/>
                    <a:cs typeface="+mn-cs"/>
                  </a:rPr>
                  <a:pPr algn="l"/>
                  <a:t> </a:t>
                </a:fld>
                <a:endParaRPr lang="en-US" sz="1100" b="1" i="0" u="none" strike="noStrike" baseline="0">
                  <a:solidFill>
                    <a:srgbClr val="000000"/>
                  </a:solidFill>
                  <a:effectLst/>
                  <a:latin typeface="Aptos Narrow"/>
                  <a:ea typeface="+mn-ea"/>
                  <a:cs typeface="+mn-cs"/>
                </a:endParaRPr>
              </a:p>
            </xdr:txBody>
          </xdr:sp>
        </xdr:grpSp>
      </xdr:grpSp>
      <xdr:sp macro="" textlink="">
        <xdr:nvSpPr>
          <xdr:cNvPr id="41" name="Isosceles Triangle 40">
            <a:extLst>
              <a:ext uri="{FF2B5EF4-FFF2-40B4-BE49-F238E27FC236}">
                <a16:creationId xmlns:a16="http://schemas.microsoft.com/office/drawing/2014/main" id="{DC44DACC-CA24-F226-A1FF-74A337CCED0B}"/>
              </a:ext>
            </a:extLst>
          </xdr:cNvPr>
          <xdr:cNvSpPr/>
        </xdr:nvSpPr>
        <xdr:spPr>
          <a:xfrm flipV="1">
            <a:off x="4438650" y="638175"/>
            <a:ext cx="238125" cy="180975"/>
          </a:xfrm>
          <a:prstGeom prst="triangl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2</xdr:col>
      <xdr:colOff>592455</xdr:colOff>
      <xdr:row>21</xdr:row>
      <xdr:rowOff>28575</xdr:rowOff>
    </xdr:from>
    <xdr:to>
      <xdr:col>4</xdr:col>
      <xdr:colOff>834180</xdr:colOff>
      <xdr:row>33</xdr:row>
      <xdr:rowOff>64575</xdr:rowOff>
    </xdr:to>
    <xdr:grpSp>
      <xdr:nvGrpSpPr>
        <xdr:cNvPr id="55" name="Group 54">
          <a:extLst>
            <a:ext uri="{FF2B5EF4-FFF2-40B4-BE49-F238E27FC236}">
              <a16:creationId xmlns:a16="http://schemas.microsoft.com/office/drawing/2014/main" id="{1D1639E6-64B5-4CCC-B35B-1F45211B69BF}"/>
            </a:ext>
          </a:extLst>
        </xdr:cNvPr>
        <xdr:cNvGrpSpPr/>
      </xdr:nvGrpSpPr>
      <xdr:grpSpPr>
        <a:xfrm>
          <a:off x="2631926" y="4611781"/>
          <a:ext cx="2292401" cy="2322000"/>
          <a:chOff x="4967374" y="490279"/>
          <a:chExt cx="2279246" cy="2323407"/>
        </a:xfrm>
      </xdr:grpSpPr>
      <xdr:grpSp>
        <xdr:nvGrpSpPr>
          <xdr:cNvPr id="56" name="Group 55">
            <a:extLst>
              <a:ext uri="{FF2B5EF4-FFF2-40B4-BE49-F238E27FC236}">
                <a16:creationId xmlns:a16="http://schemas.microsoft.com/office/drawing/2014/main" id="{7EAACDE3-0075-D4FF-D80F-3B6C79908BFD}"/>
              </a:ext>
            </a:extLst>
          </xdr:cNvPr>
          <xdr:cNvGrpSpPr/>
        </xdr:nvGrpSpPr>
        <xdr:grpSpPr>
          <a:xfrm>
            <a:off x="4967374" y="490279"/>
            <a:ext cx="2279246" cy="2323407"/>
            <a:chOff x="2976649" y="724594"/>
            <a:chExt cx="2349731" cy="2193867"/>
          </a:xfrm>
          <a:solidFill>
            <a:schemeClr val="accent1">
              <a:lumMod val="20000"/>
              <a:lumOff val="80000"/>
            </a:schemeClr>
          </a:solidFill>
        </xdr:grpSpPr>
        <xdr:sp macro="" textlink="">
          <xdr:nvSpPr>
            <xdr:cNvPr id="58" name="TextBox 57">
              <a:extLst>
                <a:ext uri="{FF2B5EF4-FFF2-40B4-BE49-F238E27FC236}">
                  <a16:creationId xmlns:a16="http://schemas.microsoft.com/office/drawing/2014/main" id="{7C8C6BF8-C999-0302-1B22-599864AE085A}"/>
                </a:ext>
              </a:extLst>
            </xdr:cNvPr>
            <xdr:cNvSpPr txBox="1"/>
          </xdr:nvSpPr>
          <xdr:spPr>
            <a:xfrm>
              <a:off x="2976649" y="724594"/>
              <a:ext cx="2349731" cy="2193867"/>
            </a:xfrm>
            <a:prstGeom prst="rect">
              <a:avLst/>
            </a:prstGeom>
            <a:grp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xdr:txBody>
        </xdr:sp>
        <xdr:grpSp>
          <xdr:nvGrpSpPr>
            <xdr:cNvPr id="59" name="Group 58">
              <a:extLst>
                <a:ext uri="{FF2B5EF4-FFF2-40B4-BE49-F238E27FC236}">
                  <a16:creationId xmlns:a16="http://schemas.microsoft.com/office/drawing/2014/main" id="{22440C0F-7F3F-04E4-92AC-44C1C79B0C16}"/>
                </a:ext>
              </a:extLst>
            </xdr:cNvPr>
            <xdr:cNvGrpSpPr/>
          </xdr:nvGrpSpPr>
          <xdr:grpSpPr>
            <a:xfrm>
              <a:off x="3022369" y="793173"/>
              <a:ext cx="2235431" cy="2117667"/>
              <a:chOff x="3022369" y="793173"/>
              <a:chExt cx="2235431" cy="2117667"/>
            </a:xfrm>
            <a:grpFill/>
          </xdr:grpSpPr>
          <xdr:sp macro="" textlink="">
            <xdr:nvSpPr>
              <xdr:cNvPr id="60" name="TextBox 59">
                <a:extLst>
                  <a:ext uri="{FF2B5EF4-FFF2-40B4-BE49-F238E27FC236}">
                    <a16:creationId xmlns:a16="http://schemas.microsoft.com/office/drawing/2014/main" id="{3645B788-DA64-09FD-B87E-94C4EF997522}"/>
                  </a:ext>
                </a:extLst>
              </xdr:cNvPr>
              <xdr:cNvSpPr txBox="1"/>
            </xdr:nvSpPr>
            <xdr:spPr>
              <a:xfrm>
                <a:off x="3060469" y="793173"/>
                <a:ext cx="1328651" cy="342207"/>
              </a:xfrm>
              <a:prstGeom prst="rect">
                <a:avLst/>
              </a:prstGeom>
              <a:grp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u="none" strike="noStrike" baseline="0">
                    <a:solidFill>
                      <a:srgbClr val="000000"/>
                    </a:solidFill>
                    <a:effectLst/>
                    <a:latin typeface="Aptos Narrow"/>
                    <a:ea typeface="+mn-ea"/>
                    <a:cs typeface="+mn-cs"/>
                  </a:rPr>
                  <a:t>Net Income</a:t>
                </a:r>
              </a:p>
            </xdr:txBody>
          </xdr:sp>
          <xdr:sp macro="" textlink="">
            <xdr:nvSpPr>
              <xdr:cNvPr id="61" name="TextBox 60">
                <a:extLst>
                  <a:ext uri="{FF2B5EF4-FFF2-40B4-BE49-F238E27FC236}">
                    <a16:creationId xmlns:a16="http://schemas.microsoft.com/office/drawing/2014/main" id="{06EF4CD3-244D-69E3-029B-9FD18B18BCF4}"/>
                  </a:ext>
                </a:extLst>
              </xdr:cNvPr>
              <xdr:cNvSpPr txBox="1"/>
            </xdr:nvSpPr>
            <xdr:spPr>
              <a:xfrm>
                <a:off x="3022369" y="1486593"/>
                <a:ext cx="121435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Monthly Average:</a:t>
                </a:r>
              </a:p>
            </xdr:txBody>
          </xdr:sp>
          <xdr:sp macro="" textlink="">
            <xdr:nvSpPr>
              <xdr:cNvPr id="62" name="TextBox 61">
                <a:extLst>
                  <a:ext uri="{FF2B5EF4-FFF2-40B4-BE49-F238E27FC236}">
                    <a16:creationId xmlns:a16="http://schemas.microsoft.com/office/drawing/2014/main" id="{8896F990-B9A2-21AD-9B5C-7D719E8D4172}"/>
                  </a:ext>
                </a:extLst>
              </xdr:cNvPr>
              <xdr:cNvSpPr txBox="1"/>
            </xdr:nvSpPr>
            <xdr:spPr>
              <a:xfrm>
                <a:off x="3022369" y="2058093"/>
                <a:ext cx="848591" cy="2888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Total:</a:t>
                </a:r>
              </a:p>
            </xdr:txBody>
          </xdr:sp>
          <xdr:sp macro="" textlink="">
            <xdr:nvSpPr>
              <xdr:cNvPr id="63" name="TextBox 62">
                <a:extLst>
                  <a:ext uri="{FF2B5EF4-FFF2-40B4-BE49-F238E27FC236}">
                    <a16:creationId xmlns:a16="http://schemas.microsoft.com/office/drawing/2014/main" id="{6DFD8FB8-C5CA-5888-4A3F-18699B4BC6EB}"/>
                  </a:ext>
                </a:extLst>
              </xdr:cNvPr>
              <xdr:cNvSpPr txBox="1"/>
            </xdr:nvSpPr>
            <xdr:spPr>
              <a:xfrm>
                <a:off x="3037609" y="2439093"/>
                <a:ext cx="2083031" cy="47174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Latest </a:t>
                </a:r>
              </a:p>
              <a:p>
                <a:pPr algn="l"/>
                <a:r>
                  <a:rPr lang="en-US" sz="1100" b="1" i="0" u="none" strike="noStrike" baseline="0">
                    <a:solidFill>
                      <a:srgbClr val="000000"/>
                    </a:solidFill>
                    <a:effectLst/>
                    <a:latin typeface="Aptos Narrow"/>
                    <a:ea typeface="+mn-ea"/>
                    <a:cs typeface="+mn-cs"/>
                  </a:rPr>
                  <a:t>Month Record:</a:t>
                </a:r>
              </a:p>
            </xdr:txBody>
          </xdr:sp>
          <xdr:sp macro="" textlink="">
            <xdr:nvSpPr>
              <xdr:cNvPr id="64" name="TextBox 63">
                <a:extLst>
                  <a:ext uri="{FF2B5EF4-FFF2-40B4-BE49-F238E27FC236}">
                    <a16:creationId xmlns:a16="http://schemas.microsoft.com/office/drawing/2014/main" id="{2A601373-FF8F-79C9-361D-34490471FEB2}"/>
                  </a:ext>
                </a:extLst>
              </xdr:cNvPr>
              <xdr:cNvSpPr txBox="1"/>
            </xdr:nvSpPr>
            <xdr:spPr>
              <a:xfrm>
                <a:off x="3022369" y="1197033"/>
                <a:ext cx="145057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Growth Rate: </a:t>
                </a:r>
              </a:p>
            </xdr:txBody>
          </xdr:sp>
          <xdr:sp macro="" textlink="$F$4">
            <xdr:nvSpPr>
              <xdr:cNvPr id="65" name="TextBox 64">
                <a:extLst>
                  <a:ext uri="{FF2B5EF4-FFF2-40B4-BE49-F238E27FC236}">
                    <a16:creationId xmlns:a16="http://schemas.microsoft.com/office/drawing/2014/main" id="{54BEF77B-67CE-20FC-BA5C-7EA2BB50762B}"/>
                  </a:ext>
                </a:extLst>
              </xdr:cNvPr>
              <xdr:cNvSpPr txBox="1"/>
            </xdr:nvSpPr>
            <xdr:spPr>
              <a:xfrm>
                <a:off x="4272049" y="1212273"/>
                <a:ext cx="88669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FBD9161-1832-4AE7-BC95-08B1063641FC}" type="TxLink">
                  <a:rPr lang="en-US" sz="1100" b="1" i="0" u="none" strike="noStrike" baseline="0">
                    <a:solidFill>
                      <a:srgbClr val="000000"/>
                    </a:solidFill>
                    <a:effectLst/>
                    <a:latin typeface="Aptos Narrow"/>
                    <a:ea typeface="+mn-ea"/>
                    <a:cs typeface="+mn-cs"/>
                  </a:rPr>
                  <a:pPr algn="l"/>
                  <a:t> </a:t>
                </a:fld>
                <a:endParaRPr lang="en-PH" sz="1100" b="1" baseline="0">
                  <a:solidFill>
                    <a:schemeClr val="dk1"/>
                  </a:solidFill>
                  <a:effectLst/>
                  <a:latin typeface="+mn-lt"/>
                  <a:ea typeface="+mn-ea"/>
                  <a:cs typeface="+mn-cs"/>
                </a:endParaRPr>
              </a:p>
            </xdr:txBody>
          </xdr:sp>
          <xdr:sp macro="" textlink="$F$5">
            <xdr:nvSpPr>
              <xdr:cNvPr id="98" name="TextBox 97">
                <a:extLst>
                  <a:ext uri="{FF2B5EF4-FFF2-40B4-BE49-F238E27FC236}">
                    <a16:creationId xmlns:a16="http://schemas.microsoft.com/office/drawing/2014/main" id="{A6751E35-782B-084F-0B37-CA0F2E506BBE}"/>
                  </a:ext>
                </a:extLst>
              </xdr:cNvPr>
              <xdr:cNvSpPr txBox="1"/>
            </xdr:nvSpPr>
            <xdr:spPr>
              <a:xfrm>
                <a:off x="4249189" y="1478973"/>
                <a:ext cx="100861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B8A8F84-09D5-4881-A12C-C5680D038425}" type="TxLink">
                  <a:rPr lang="en-US" sz="1100" b="0" i="0" u="none" strike="noStrike" baseline="0">
                    <a:solidFill>
                      <a:srgbClr val="000000"/>
                    </a:solidFill>
                    <a:effectLst/>
                    <a:latin typeface="Aptos Narrow"/>
                    <a:ea typeface="+mn-ea"/>
                    <a:cs typeface="+mn-cs"/>
                  </a:rPr>
                  <a:pPr algn="l"/>
                  <a:t> </a:t>
                </a:fld>
                <a:endParaRPr lang="en-US" sz="1100" b="1" i="0" u="none" strike="noStrike" baseline="0">
                  <a:solidFill>
                    <a:srgbClr val="000000"/>
                  </a:solidFill>
                  <a:effectLst/>
                  <a:latin typeface="Aptos Narrow"/>
                  <a:ea typeface="+mn-ea"/>
                  <a:cs typeface="+mn-cs"/>
                </a:endParaRPr>
              </a:p>
            </xdr:txBody>
          </xdr:sp>
          <xdr:sp macro="" textlink="$F$7">
            <xdr:nvSpPr>
              <xdr:cNvPr id="99" name="TextBox 98">
                <a:extLst>
                  <a:ext uri="{FF2B5EF4-FFF2-40B4-BE49-F238E27FC236}">
                    <a16:creationId xmlns:a16="http://schemas.microsoft.com/office/drawing/2014/main" id="{23F6E52D-871C-49C8-0CE8-618C95700DB1}"/>
                  </a:ext>
                </a:extLst>
              </xdr:cNvPr>
              <xdr:cNvSpPr txBox="1"/>
            </xdr:nvSpPr>
            <xdr:spPr>
              <a:xfrm>
                <a:off x="4249189" y="2042853"/>
                <a:ext cx="940031" cy="2888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37191EE-48EA-4F63-B545-A97B8C176098}" type="TxLink">
                  <a:rPr lang="en-US" sz="1100" b="0" i="0" u="none" strike="noStrike" baseline="0">
                    <a:solidFill>
                      <a:srgbClr val="000000"/>
                    </a:solidFill>
                    <a:effectLst/>
                    <a:latin typeface="Aptos Narrow"/>
                    <a:ea typeface="+mn-ea"/>
                    <a:cs typeface="+mn-cs"/>
                  </a:rPr>
                  <a:pPr algn="l"/>
                  <a:t> </a:t>
                </a:fld>
                <a:endParaRPr lang="en-US" sz="1100" b="1" i="0" u="none" strike="noStrike" baseline="0">
                  <a:solidFill>
                    <a:srgbClr val="000000"/>
                  </a:solidFill>
                  <a:effectLst/>
                  <a:latin typeface="Aptos Narrow"/>
                  <a:ea typeface="+mn-ea"/>
                  <a:cs typeface="+mn-cs"/>
                </a:endParaRPr>
              </a:p>
            </xdr:txBody>
          </xdr:sp>
          <xdr:sp macro="" textlink="$F$8">
            <xdr:nvSpPr>
              <xdr:cNvPr id="100" name="TextBox 99">
                <a:extLst>
                  <a:ext uri="{FF2B5EF4-FFF2-40B4-BE49-F238E27FC236}">
                    <a16:creationId xmlns:a16="http://schemas.microsoft.com/office/drawing/2014/main" id="{8C25F92B-DA3B-BB1C-E70B-722E24E8C924}"/>
                  </a:ext>
                </a:extLst>
              </xdr:cNvPr>
              <xdr:cNvSpPr txBox="1"/>
            </xdr:nvSpPr>
            <xdr:spPr>
              <a:xfrm>
                <a:off x="4256809" y="2522913"/>
                <a:ext cx="72667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3A0B1F4-5C30-4E12-971D-8FC6198FE4C9}" type="TxLink">
                  <a:rPr lang="en-US" sz="1100" b="1" i="0" u="none" strike="noStrike" baseline="0">
                    <a:solidFill>
                      <a:srgbClr val="000000"/>
                    </a:solidFill>
                    <a:effectLst/>
                    <a:latin typeface="Aptos Narrow"/>
                    <a:ea typeface="+mn-ea"/>
                    <a:cs typeface="+mn-cs"/>
                  </a:rPr>
                  <a:pPr algn="l"/>
                  <a:t> </a:t>
                </a:fld>
                <a:endParaRPr lang="en-US" sz="1100" b="1" i="0" u="none" strike="noStrike" baseline="0">
                  <a:solidFill>
                    <a:srgbClr val="000000"/>
                  </a:solidFill>
                  <a:effectLst/>
                  <a:latin typeface="Aptos Narrow"/>
                  <a:ea typeface="+mn-ea"/>
                  <a:cs typeface="+mn-cs"/>
                </a:endParaRPr>
              </a:p>
            </xdr:txBody>
          </xdr:sp>
          <xdr:sp macro="" textlink="">
            <xdr:nvSpPr>
              <xdr:cNvPr id="101" name="TextBox 100">
                <a:extLst>
                  <a:ext uri="{FF2B5EF4-FFF2-40B4-BE49-F238E27FC236}">
                    <a16:creationId xmlns:a16="http://schemas.microsoft.com/office/drawing/2014/main" id="{8792A0CE-D2F9-90C4-B640-B90570EFDC6D}"/>
                  </a:ext>
                </a:extLst>
              </xdr:cNvPr>
              <xdr:cNvSpPr txBox="1"/>
            </xdr:nvSpPr>
            <xdr:spPr>
              <a:xfrm>
                <a:off x="3022369" y="1753293"/>
                <a:ext cx="121435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u="none" strike="noStrike" baseline="0">
                    <a:solidFill>
                      <a:srgbClr val="000000"/>
                    </a:solidFill>
                    <a:effectLst/>
                    <a:latin typeface="Aptos Narrow"/>
                    <a:ea typeface="+mn-ea"/>
                    <a:cs typeface="+mn-cs"/>
                  </a:rPr>
                  <a:t>Monthly Median:</a:t>
                </a:r>
              </a:p>
            </xdr:txBody>
          </xdr:sp>
          <xdr:sp macro="" textlink="$F$6">
            <xdr:nvSpPr>
              <xdr:cNvPr id="102" name="TextBox 101">
                <a:extLst>
                  <a:ext uri="{FF2B5EF4-FFF2-40B4-BE49-F238E27FC236}">
                    <a16:creationId xmlns:a16="http://schemas.microsoft.com/office/drawing/2014/main" id="{8E00B700-9C96-4D7C-E618-376944FE9684}"/>
                  </a:ext>
                </a:extLst>
              </xdr:cNvPr>
              <xdr:cNvSpPr txBox="1"/>
            </xdr:nvSpPr>
            <xdr:spPr>
              <a:xfrm>
                <a:off x="4249189" y="1745673"/>
                <a:ext cx="100861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B92F838-B398-4AAB-A538-49EC6682E614}" type="TxLink">
                  <a:rPr lang="en-US" sz="1100" b="0" i="0" u="none" strike="noStrike" baseline="0">
                    <a:solidFill>
                      <a:srgbClr val="000000"/>
                    </a:solidFill>
                    <a:effectLst/>
                    <a:latin typeface="Aptos Narrow"/>
                    <a:ea typeface="+mn-ea"/>
                    <a:cs typeface="+mn-cs"/>
                  </a:rPr>
                  <a:pPr algn="l"/>
                  <a:t> </a:t>
                </a:fld>
                <a:endParaRPr lang="en-US" sz="1100" b="1" i="0" u="none" strike="noStrike" baseline="0">
                  <a:solidFill>
                    <a:srgbClr val="000000"/>
                  </a:solidFill>
                  <a:effectLst/>
                  <a:latin typeface="Aptos Narrow"/>
                  <a:ea typeface="+mn-ea"/>
                  <a:cs typeface="+mn-cs"/>
                </a:endParaRPr>
              </a:p>
            </xdr:txBody>
          </xdr:sp>
        </xdr:grpSp>
      </xdr:grpSp>
      <xdr:sp macro="" textlink="">
        <xdr:nvSpPr>
          <xdr:cNvPr id="57" name="Isosceles Triangle 56">
            <a:extLst>
              <a:ext uri="{FF2B5EF4-FFF2-40B4-BE49-F238E27FC236}">
                <a16:creationId xmlns:a16="http://schemas.microsoft.com/office/drawing/2014/main" id="{FBD8BF35-DF01-13B8-2B3E-6F2C96FCB55A}"/>
              </a:ext>
            </a:extLst>
          </xdr:cNvPr>
          <xdr:cNvSpPr/>
        </xdr:nvSpPr>
        <xdr:spPr>
          <a:xfrm flipV="1">
            <a:off x="6867525" y="619125"/>
            <a:ext cx="238125" cy="180975"/>
          </a:xfrm>
          <a:prstGeom prst="triangl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2</xdr:col>
      <xdr:colOff>78106</xdr:colOff>
      <xdr:row>35</xdr:row>
      <xdr:rowOff>7620</xdr:rowOff>
    </xdr:from>
    <xdr:to>
      <xdr:col>4</xdr:col>
      <xdr:colOff>914400</xdr:colOff>
      <xdr:row>50</xdr:row>
      <xdr:rowOff>104775</xdr:rowOff>
    </xdr:to>
    <xdr:sp macro="" textlink="">
      <xdr:nvSpPr>
        <xdr:cNvPr id="104" name="TextBox 103">
          <a:extLst>
            <a:ext uri="{FF2B5EF4-FFF2-40B4-BE49-F238E27FC236}">
              <a16:creationId xmlns:a16="http://schemas.microsoft.com/office/drawing/2014/main" id="{6D7828D1-F9EA-17E8-02C9-2565BEF878AC}"/>
            </a:ext>
          </a:extLst>
        </xdr:cNvPr>
        <xdr:cNvSpPr txBox="1"/>
      </xdr:nvSpPr>
      <xdr:spPr>
        <a:xfrm>
          <a:off x="2116456" y="16009620"/>
          <a:ext cx="2884169" cy="2954655"/>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baseline="0">
              <a:solidFill>
                <a:schemeClr val="dk1"/>
              </a:solidFill>
              <a:effectLst/>
              <a:latin typeface="+mn-lt"/>
              <a:ea typeface="+mn-ea"/>
              <a:cs typeface="+mn-cs"/>
            </a:rPr>
            <a:t>Interpretation/Diagnosis:</a:t>
          </a:r>
          <a:endParaRPr lang="en-PH" sz="1600">
            <a:effectLst/>
          </a:endParaRPr>
        </a:p>
        <a:p>
          <a:r>
            <a:rPr lang="en-PH" sz="1200" b="1" baseline="0">
              <a:solidFill>
                <a:schemeClr val="dk1"/>
              </a:solidFill>
              <a:effectLst/>
              <a:latin typeface="+mn-lt"/>
              <a:ea typeface="+mn-ea"/>
              <a:cs typeface="+mn-cs"/>
            </a:rPr>
            <a:t>1. Income in Nov. 2024 and Dec. 2024 are higher than usual.</a:t>
          </a:r>
          <a:endParaRPr lang="en-PH" sz="1200">
            <a:effectLst/>
          </a:endParaRPr>
        </a:p>
        <a:p>
          <a:r>
            <a:rPr lang="en-PH" sz="1100" baseline="0">
              <a:solidFill>
                <a:schemeClr val="dk1"/>
              </a:solidFill>
              <a:effectLst/>
              <a:latin typeface="+mn-lt"/>
              <a:ea typeface="+mn-ea"/>
              <a:cs typeface="+mn-cs"/>
            </a:rPr>
            <a:t>    - Typical monthly income is </a:t>
          </a:r>
          <a:r>
            <a:rPr lang="en-PH" sz="1100" b="0" baseline="0">
              <a:solidFill>
                <a:schemeClr val="dk1"/>
              </a:solidFill>
              <a:effectLst/>
              <a:latin typeface="+mn-lt"/>
              <a:ea typeface="+mn-ea"/>
              <a:cs typeface="+mn-cs"/>
            </a:rPr>
            <a:t>₱30,278.</a:t>
          </a:r>
        </a:p>
        <a:p>
          <a:r>
            <a:rPr lang="en-PH" sz="1100" baseline="0">
              <a:solidFill>
                <a:schemeClr val="dk1"/>
              </a:solidFill>
              <a:effectLst/>
              <a:latin typeface="+mn-lt"/>
              <a:ea typeface="+mn-ea"/>
              <a:cs typeface="+mn-cs"/>
            </a:rPr>
            <a:t>    - November is </a:t>
          </a:r>
          <a:r>
            <a:rPr lang="en-PH" sz="1100" b="0" baseline="0">
              <a:solidFill>
                <a:schemeClr val="dk1"/>
              </a:solidFill>
              <a:effectLst/>
              <a:latin typeface="+mn-lt"/>
              <a:ea typeface="+mn-ea"/>
              <a:cs typeface="+mn-cs"/>
            </a:rPr>
            <a:t>₱29,714 higher, and December is ₱21,203 higher (these are the previous months).</a:t>
          </a:r>
        </a:p>
        <a:p>
          <a:r>
            <a:rPr lang="en-PH" sz="1100" b="0" baseline="0">
              <a:solidFill>
                <a:schemeClr val="dk1"/>
              </a:solidFill>
              <a:effectLst/>
              <a:latin typeface="+mn-lt"/>
              <a:ea typeface="+mn-ea"/>
              <a:cs typeface="+mn-cs"/>
            </a:rPr>
            <a:t>    - Caused by extra income (cash gift allowance, etc.) on the top of monthly salary.</a:t>
          </a:r>
        </a:p>
        <a:p>
          <a:endParaRPr lang="en-PH">
            <a:effectLst/>
          </a:endParaRPr>
        </a:p>
        <a:p>
          <a:r>
            <a:rPr lang="en-PH" sz="1200" b="1">
              <a:effectLst/>
            </a:rPr>
            <a:t>2</a:t>
          </a:r>
          <a:r>
            <a:rPr lang="en-PH" sz="1200" b="1" baseline="0">
              <a:effectLst/>
            </a:rPr>
            <a:t>. Jan. 2025 have </a:t>
          </a:r>
          <a:r>
            <a:rPr lang="en-PH" sz="1200" b="1" baseline="0">
              <a:solidFill>
                <a:schemeClr val="dk1"/>
              </a:solidFill>
              <a:effectLst/>
              <a:latin typeface="+mn-lt"/>
              <a:ea typeface="+mn-ea"/>
              <a:cs typeface="+mn-cs"/>
            </a:rPr>
            <a:t>₱26,403 income, which is lower than the previous months.</a:t>
          </a:r>
        </a:p>
        <a:p>
          <a:pPr marL="0" marR="0" lvl="0" indent="0" defTabSz="914400" eaLnBrk="1" fontAlgn="auto" latinLnBrk="0" hangingPunct="1">
            <a:lnSpc>
              <a:spcPct val="100000"/>
            </a:lnSpc>
            <a:spcBef>
              <a:spcPts val="0"/>
            </a:spcBef>
            <a:spcAft>
              <a:spcPts val="0"/>
            </a:spcAft>
            <a:buClrTx/>
            <a:buSzTx/>
            <a:buFontTx/>
            <a:buNone/>
            <a:tabLst/>
            <a:defRPr/>
          </a:pPr>
          <a:r>
            <a:rPr lang="en-PH" sz="1100" baseline="0">
              <a:solidFill>
                <a:schemeClr val="dk1"/>
              </a:solidFill>
              <a:effectLst/>
              <a:latin typeface="+mn-lt"/>
              <a:ea typeface="+mn-ea"/>
              <a:cs typeface="+mn-cs"/>
            </a:rPr>
            <a:t>    - This means that </a:t>
          </a:r>
          <a:r>
            <a:rPr lang="en-PH" sz="1100" b="1" i="1" baseline="0">
              <a:solidFill>
                <a:schemeClr val="dk1"/>
              </a:solidFill>
              <a:effectLst/>
              <a:latin typeface="+mn-lt"/>
              <a:ea typeface="+mn-ea"/>
              <a:cs typeface="+mn-cs"/>
            </a:rPr>
            <a:t>after a high surge of income in the previous months, the latest month's income is returning to usual rate.</a:t>
          </a:r>
          <a:r>
            <a:rPr lang="en-PH" sz="1100" baseline="0">
              <a:solidFill>
                <a:schemeClr val="dk1"/>
              </a:solidFill>
              <a:effectLst/>
              <a:latin typeface="+mn-lt"/>
              <a:ea typeface="+mn-ea"/>
              <a:cs typeface="+mn-cs"/>
            </a:rPr>
            <a:t> </a:t>
          </a:r>
          <a:endParaRPr lang="en-PH">
            <a:effectLst/>
          </a:endParaRPr>
        </a:p>
      </xdr:txBody>
    </xdr:sp>
    <xdr:clientData/>
  </xdr:twoCellAnchor>
  <xdr:twoCellAnchor>
    <xdr:from>
      <xdr:col>5</xdr:col>
      <xdr:colOff>466725</xdr:colOff>
      <xdr:row>37</xdr:row>
      <xdr:rowOff>85726</xdr:rowOff>
    </xdr:from>
    <xdr:to>
      <xdr:col>16</xdr:col>
      <xdr:colOff>466726</xdr:colOff>
      <xdr:row>42</xdr:row>
      <xdr:rowOff>9526</xdr:rowOff>
    </xdr:to>
    <xdr:sp macro="" textlink="">
      <xdr:nvSpPr>
        <xdr:cNvPr id="105" name="TextBox 104">
          <a:extLst>
            <a:ext uri="{FF2B5EF4-FFF2-40B4-BE49-F238E27FC236}">
              <a16:creationId xmlns:a16="http://schemas.microsoft.com/office/drawing/2014/main" id="{1FD64E4F-3412-4B57-82AC-0B1AC6694F5D}"/>
            </a:ext>
          </a:extLst>
        </xdr:cNvPr>
        <xdr:cNvSpPr txBox="1"/>
      </xdr:nvSpPr>
      <xdr:spPr>
        <a:xfrm>
          <a:off x="5543550" y="16468726"/>
          <a:ext cx="8277226" cy="876300"/>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i="0" baseline="0"/>
            <a:t>Conclusion:</a:t>
          </a:r>
        </a:p>
        <a:p>
          <a:r>
            <a:rPr lang="en-PH" sz="1100" b="0" i="0" baseline="0"/>
            <a:t>- The huge drop of net income was caused by huge income surge, then followed by a </a:t>
          </a:r>
          <a:r>
            <a:rPr lang="en-PH" sz="1100" b="0" i="0" baseline="0">
              <a:solidFill>
                <a:schemeClr val="dk1"/>
              </a:solidFill>
              <a:effectLst/>
              <a:latin typeface="+mn-lt"/>
              <a:ea typeface="+mn-ea"/>
              <a:cs typeface="+mn-cs"/>
            </a:rPr>
            <a:t>monthly income that is</a:t>
          </a:r>
          <a:r>
            <a:rPr lang="en-PH" sz="1100" b="0" i="0" baseline="0"/>
            <a:t> usually lower than the median.</a:t>
          </a:r>
        </a:p>
        <a:p>
          <a:r>
            <a:rPr lang="en-PH" sz="1100" b="0" i="0" baseline="0"/>
            <a:t>- </a:t>
          </a:r>
          <a:r>
            <a:rPr lang="en-PH" sz="1100" b="1" i="0" baseline="0"/>
            <a:t>The drop of net income can be treated or interpreted as returned to normal or usual rate.</a:t>
          </a:r>
        </a:p>
      </xdr:txBody>
    </xdr:sp>
    <xdr:clientData/>
  </xdr:twoCellAnchor>
  <xdr:twoCellAnchor>
    <xdr:from>
      <xdr:col>2</xdr:col>
      <xdr:colOff>547519</xdr:colOff>
      <xdr:row>2</xdr:row>
      <xdr:rowOff>77208</xdr:rowOff>
    </xdr:from>
    <xdr:to>
      <xdr:col>6</xdr:col>
      <xdr:colOff>568474</xdr:colOff>
      <xdr:row>15</xdr:row>
      <xdr:rowOff>183888</xdr:rowOff>
    </xdr:to>
    <xdr:graphicFrame macro="">
      <xdr:nvGraphicFramePr>
        <xdr:cNvPr id="107" name="Chart 106">
          <a:extLst>
            <a:ext uri="{FF2B5EF4-FFF2-40B4-BE49-F238E27FC236}">
              <a16:creationId xmlns:a16="http://schemas.microsoft.com/office/drawing/2014/main" id="{EF379468-1D23-815F-6ADD-B1501DF56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880111</xdr:colOff>
      <xdr:row>2</xdr:row>
      <xdr:rowOff>87630</xdr:rowOff>
    </xdr:from>
    <xdr:to>
      <xdr:col>11</xdr:col>
      <xdr:colOff>314326</xdr:colOff>
      <xdr:row>7</xdr:row>
      <xdr:rowOff>80010</xdr:rowOff>
    </xdr:to>
    <xdr:sp macro="" textlink="">
      <xdr:nvSpPr>
        <xdr:cNvPr id="108" name="TextBox 107">
          <a:extLst>
            <a:ext uri="{FF2B5EF4-FFF2-40B4-BE49-F238E27FC236}">
              <a16:creationId xmlns:a16="http://schemas.microsoft.com/office/drawing/2014/main" id="{2AEF6FD1-6010-33DD-5D4F-3ABDB0302B3F}"/>
            </a:ext>
          </a:extLst>
        </xdr:cNvPr>
        <xdr:cNvSpPr txBox="1"/>
      </xdr:nvSpPr>
      <xdr:spPr>
        <a:xfrm>
          <a:off x="7118986" y="897255"/>
          <a:ext cx="3501390" cy="94488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baseline="0">
              <a:solidFill>
                <a:schemeClr val="dk1"/>
              </a:solidFill>
              <a:effectLst/>
              <a:latin typeface="+mn-lt"/>
              <a:ea typeface="+mn-ea"/>
              <a:cs typeface="+mn-cs"/>
            </a:rPr>
            <a:t>Findings:</a:t>
          </a:r>
          <a:endParaRPr lang="en-PH" sz="1600">
            <a:effectLst/>
          </a:endParaRPr>
        </a:p>
        <a:p>
          <a:r>
            <a:rPr lang="en-PH" sz="1200" b="1" baseline="0">
              <a:solidFill>
                <a:schemeClr val="dk1"/>
              </a:solidFill>
              <a:effectLst/>
              <a:latin typeface="+mn-lt"/>
              <a:ea typeface="+mn-ea"/>
              <a:cs typeface="+mn-cs"/>
            </a:rPr>
            <a:t>✅ Expenses growth rate is -4.21%.</a:t>
          </a:r>
          <a:endParaRPr lang="en-PH" sz="1200">
            <a:effectLst/>
          </a:endParaRPr>
        </a:p>
        <a:p>
          <a:r>
            <a:rPr lang="en-PH" sz="1100" baseline="0">
              <a:solidFill>
                <a:schemeClr val="dk1"/>
              </a:solidFill>
              <a:effectLst/>
              <a:latin typeface="+mn-lt"/>
              <a:ea typeface="+mn-ea"/>
              <a:cs typeface="+mn-cs"/>
            </a:rPr>
            <a:t>    - Negative means decreasing.</a:t>
          </a:r>
          <a:endParaRPr lang="en-PH">
            <a:effectLst/>
          </a:endParaRPr>
        </a:p>
        <a:p>
          <a:r>
            <a:rPr lang="en-PH" sz="1100" baseline="0">
              <a:solidFill>
                <a:schemeClr val="dk1"/>
              </a:solidFill>
              <a:effectLst/>
              <a:latin typeface="+mn-lt"/>
              <a:ea typeface="+mn-ea"/>
              <a:cs typeface="+mn-cs"/>
            </a:rPr>
            <a:t>    - Decreasing expenses means </a:t>
          </a:r>
          <a:r>
            <a:rPr lang="en-PH" sz="1100" i="1" baseline="0">
              <a:solidFill>
                <a:schemeClr val="dk1"/>
              </a:solidFill>
              <a:effectLst/>
              <a:latin typeface="+mn-lt"/>
              <a:ea typeface="+mn-ea"/>
              <a:cs typeface="+mn-cs"/>
            </a:rPr>
            <a:t>more savings</a:t>
          </a:r>
          <a:r>
            <a:rPr lang="en-PH" sz="1100" baseline="0">
              <a:solidFill>
                <a:schemeClr val="dk1"/>
              </a:solidFill>
              <a:effectLst/>
              <a:latin typeface="+mn-lt"/>
              <a:ea typeface="+mn-ea"/>
              <a:cs typeface="+mn-cs"/>
            </a:rPr>
            <a:t>.</a:t>
          </a:r>
          <a:endParaRPr lang="en-PH">
            <a:effectLst/>
          </a:endParaRPr>
        </a:p>
      </xdr:txBody>
    </xdr:sp>
    <xdr:clientData/>
  </xdr:twoCellAnchor>
  <xdr:twoCellAnchor>
    <xdr:from>
      <xdr:col>0</xdr:col>
      <xdr:colOff>76200</xdr:colOff>
      <xdr:row>59</xdr:row>
      <xdr:rowOff>66675</xdr:rowOff>
    </xdr:from>
    <xdr:to>
      <xdr:col>10</xdr:col>
      <xdr:colOff>299757</xdr:colOff>
      <xdr:row>73</xdr:row>
      <xdr:rowOff>117661</xdr:rowOff>
    </xdr:to>
    <xdr:graphicFrame macro="">
      <xdr:nvGraphicFramePr>
        <xdr:cNvPr id="109" name="Chart 108">
          <a:extLst>
            <a:ext uri="{FF2B5EF4-FFF2-40B4-BE49-F238E27FC236}">
              <a16:creationId xmlns:a16="http://schemas.microsoft.com/office/drawing/2014/main" id="{21C183E6-AAE3-48B3-B65F-6BB249244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471768</xdr:colOff>
      <xdr:row>88</xdr:row>
      <xdr:rowOff>189940</xdr:rowOff>
    </xdr:from>
    <xdr:to>
      <xdr:col>18</xdr:col>
      <xdr:colOff>234763</xdr:colOff>
      <xdr:row>102</xdr:row>
      <xdr:rowOff>149679</xdr:rowOff>
    </xdr:to>
    <xdr:sp macro="" textlink="">
      <xdr:nvSpPr>
        <xdr:cNvPr id="112" name="TextBox 111">
          <a:extLst>
            <a:ext uri="{FF2B5EF4-FFF2-40B4-BE49-F238E27FC236}">
              <a16:creationId xmlns:a16="http://schemas.microsoft.com/office/drawing/2014/main" id="{C00441EB-8609-47AF-9BD1-4B3807259E31}"/>
            </a:ext>
          </a:extLst>
        </xdr:cNvPr>
        <xdr:cNvSpPr txBox="1"/>
      </xdr:nvSpPr>
      <xdr:spPr>
        <a:xfrm>
          <a:off x="6703839" y="17838404"/>
          <a:ext cx="8117781" cy="2626739"/>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a:t>1. L</a:t>
          </a:r>
          <a:r>
            <a:rPr lang="en-PH" sz="1200" b="1" baseline="0"/>
            <a:t>aptop-related expenses has the highest expense percentage.</a:t>
          </a:r>
          <a:endParaRPr lang="en-PH" sz="1200" b="1"/>
        </a:p>
        <a:p>
          <a:r>
            <a:rPr lang="en-PH" sz="1100" baseline="0"/>
            <a:t>    - This was the time when latptop needs repair and upgrade.</a:t>
          </a:r>
        </a:p>
        <a:p>
          <a:r>
            <a:rPr lang="en-PH" sz="1100" baseline="0"/>
            <a:t>    - It's normal for bills to be the highest expenses each month, but </a:t>
          </a:r>
          <a:r>
            <a:rPr lang="en-PH" sz="1100" b="1" i="1" baseline="0"/>
            <a:t>laptop-related expenditures exceeds it by 0.21% in comparison</a:t>
          </a:r>
          <a:r>
            <a:rPr lang="en-PH" sz="1100" baseline="0"/>
            <a:t>.</a:t>
          </a:r>
        </a:p>
        <a:p>
          <a:endParaRPr lang="en-PH" sz="1100" baseline="0"/>
        </a:p>
        <a:p>
          <a:r>
            <a:rPr lang="en-PH" sz="1200" b="1" baseline="0"/>
            <a:t>2. Despite the highest expense in the month, laptop-related expenditures have 6 transaction counts.</a:t>
          </a:r>
          <a:endParaRPr lang="en-PH" sz="1100" b="1" baseline="0"/>
        </a:p>
        <a:p>
          <a:r>
            <a:rPr lang="en-PH" sz="1100" baseline="0"/>
            <a:t>    - This means that this category have high expenses per transactions.</a:t>
          </a:r>
        </a:p>
        <a:p>
          <a:endParaRPr lang="en-PH" sz="1100" baseline="0"/>
        </a:p>
        <a:p>
          <a:r>
            <a:rPr lang="en-PH" sz="1200" b="1" baseline="0"/>
            <a:t>3. Laptop-related expenditure ranks 2nd in average expenditure among the categories.</a:t>
          </a:r>
          <a:endParaRPr lang="en-PH" sz="1100" b="1" baseline="0"/>
        </a:p>
        <a:p>
          <a:r>
            <a:rPr lang="en-PH" sz="1100" baseline="0"/>
            <a:t>    - The category contributes 2nd in total expenses in the month.</a:t>
          </a:r>
        </a:p>
        <a:p>
          <a:endParaRPr lang="en-PH" sz="1100" baseline="0"/>
        </a:p>
        <a:p>
          <a:r>
            <a:rPr lang="en-PH" sz="1400" b="1" baseline="0"/>
            <a:t>Conclusion:</a:t>
          </a:r>
          <a:endParaRPr lang="en-PH" sz="1100" b="1" baseline="0"/>
        </a:p>
        <a:p>
          <a:r>
            <a:rPr lang="en-PH" sz="1100" baseline="0"/>
            <a:t>- </a:t>
          </a:r>
          <a:r>
            <a:rPr lang="en-PH" sz="1100" baseline="0">
              <a:solidFill>
                <a:schemeClr val="dk1"/>
              </a:solidFill>
              <a:effectLst/>
              <a:latin typeface="+mn-lt"/>
              <a:ea typeface="+mn-ea"/>
              <a:cs typeface="+mn-cs"/>
            </a:rPr>
            <a:t>High expenses in month of December 2023 was </a:t>
          </a:r>
          <a:r>
            <a:rPr lang="en-PH" sz="1100" b="1" baseline="0">
              <a:solidFill>
                <a:schemeClr val="dk1"/>
              </a:solidFill>
              <a:effectLst/>
              <a:latin typeface="+mn-lt"/>
              <a:ea typeface="+mn-ea"/>
              <a:cs typeface="+mn-cs"/>
            </a:rPr>
            <a:t>caused by l</a:t>
          </a:r>
          <a:r>
            <a:rPr lang="en-PH" sz="1100" b="1" baseline="0"/>
            <a:t>aptop-related expenses</a:t>
          </a:r>
          <a:r>
            <a:rPr lang="en-PH" sz="1100" baseline="0"/>
            <a:t>, specifically laptop repairs.</a:t>
          </a:r>
        </a:p>
      </xdr:txBody>
    </xdr:sp>
    <xdr:clientData/>
  </xdr:twoCellAnchor>
  <xdr:twoCellAnchor>
    <xdr:from>
      <xdr:col>0</xdr:col>
      <xdr:colOff>87407</xdr:colOff>
      <xdr:row>88</xdr:row>
      <xdr:rowOff>150720</xdr:rowOff>
    </xdr:from>
    <xdr:to>
      <xdr:col>6</xdr:col>
      <xdr:colOff>173131</xdr:colOff>
      <xdr:row>102</xdr:row>
      <xdr:rowOff>180120</xdr:rowOff>
    </xdr:to>
    <xdr:graphicFrame macro="">
      <xdr:nvGraphicFramePr>
        <xdr:cNvPr id="113" name="Chart 112">
          <a:extLst>
            <a:ext uri="{FF2B5EF4-FFF2-40B4-BE49-F238E27FC236}">
              <a16:creationId xmlns:a16="http://schemas.microsoft.com/office/drawing/2014/main" id="{C0B72F26-4328-4183-8AD7-96867CDF1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481854</xdr:colOff>
      <xdr:row>74</xdr:row>
      <xdr:rowOff>115422</xdr:rowOff>
    </xdr:from>
    <xdr:to>
      <xdr:col>15</xdr:col>
      <xdr:colOff>339538</xdr:colOff>
      <xdr:row>87</xdr:row>
      <xdr:rowOff>189645</xdr:rowOff>
    </xdr:to>
    <xdr:graphicFrame macro="">
      <xdr:nvGraphicFramePr>
        <xdr:cNvPr id="114" name="Chart 113">
          <a:extLst>
            <a:ext uri="{FF2B5EF4-FFF2-40B4-BE49-F238E27FC236}">
              <a16:creationId xmlns:a16="http://schemas.microsoft.com/office/drawing/2014/main" id="{7A2347A2-C684-4AF7-B098-6DF2500E1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66675</xdr:colOff>
      <xdr:row>74</xdr:row>
      <xdr:rowOff>114300</xdr:rowOff>
    </xdr:from>
    <xdr:to>
      <xdr:col>6</xdr:col>
      <xdr:colOff>175932</xdr:colOff>
      <xdr:row>87</xdr:row>
      <xdr:rowOff>189941</xdr:rowOff>
    </xdr:to>
    <xdr:grpSp>
      <xdr:nvGrpSpPr>
        <xdr:cNvPr id="115" name="Group 114">
          <a:extLst>
            <a:ext uri="{FF2B5EF4-FFF2-40B4-BE49-F238E27FC236}">
              <a16:creationId xmlns:a16="http://schemas.microsoft.com/office/drawing/2014/main" id="{2F475143-5370-4293-8C89-FA96BC4595A3}"/>
            </a:ext>
          </a:extLst>
        </xdr:cNvPr>
        <xdr:cNvGrpSpPr/>
      </xdr:nvGrpSpPr>
      <xdr:grpSpPr>
        <a:xfrm>
          <a:off x="66675" y="14939682"/>
          <a:ext cx="6350933" cy="2697818"/>
          <a:chOff x="273423" y="28276474"/>
          <a:chExt cx="5902362" cy="3357024"/>
        </a:xfrm>
      </xdr:grpSpPr>
      <xdr:graphicFrame macro="">
        <xdr:nvGraphicFramePr>
          <xdr:cNvPr id="116" name="Chart 115">
            <a:extLst>
              <a:ext uri="{FF2B5EF4-FFF2-40B4-BE49-F238E27FC236}">
                <a16:creationId xmlns:a16="http://schemas.microsoft.com/office/drawing/2014/main" id="{473681BA-4588-B377-C7B5-D40D2B939E01}"/>
              </a:ext>
            </a:extLst>
          </xdr:cNvPr>
          <xdr:cNvGraphicFramePr/>
        </xdr:nvGraphicFramePr>
        <xdr:xfrm>
          <a:off x="273423" y="28276474"/>
          <a:ext cx="5902362" cy="3357024"/>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17" name="Oval 116">
            <a:extLst>
              <a:ext uri="{FF2B5EF4-FFF2-40B4-BE49-F238E27FC236}">
                <a16:creationId xmlns:a16="http://schemas.microsoft.com/office/drawing/2014/main" id="{3BE3C9E7-1179-84A7-4CFB-314242776547}"/>
              </a:ext>
            </a:extLst>
          </xdr:cNvPr>
          <xdr:cNvSpPr/>
        </xdr:nvSpPr>
        <xdr:spPr>
          <a:xfrm>
            <a:off x="863735" y="28840933"/>
            <a:ext cx="533400" cy="203454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38100</xdr:colOff>
      <xdr:row>108</xdr:row>
      <xdr:rowOff>85725</xdr:rowOff>
    </xdr:from>
    <xdr:to>
      <xdr:col>6</xdr:col>
      <xdr:colOff>124425</xdr:colOff>
      <xdr:row>122</xdr:row>
      <xdr:rowOff>115125</xdr:rowOff>
    </xdr:to>
    <xdr:grpSp>
      <xdr:nvGrpSpPr>
        <xdr:cNvPr id="118" name="Group 117">
          <a:extLst>
            <a:ext uri="{FF2B5EF4-FFF2-40B4-BE49-F238E27FC236}">
              <a16:creationId xmlns:a16="http://schemas.microsoft.com/office/drawing/2014/main" id="{5B5B402E-8543-4BA2-A6A5-3B6A25083B5F}"/>
            </a:ext>
          </a:extLst>
        </xdr:cNvPr>
        <xdr:cNvGrpSpPr/>
      </xdr:nvGrpSpPr>
      <xdr:grpSpPr>
        <a:xfrm>
          <a:off x="38100" y="21679460"/>
          <a:ext cx="6328001" cy="2696400"/>
          <a:chOff x="60960" y="36476940"/>
          <a:chExt cx="6660000" cy="3589200"/>
        </a:xfrm>
      </xdr:grpSpPr>
      <xdr:graphicFrame macro="">
        <xdr:nvGraphicFramePr>
          <xdr:cNvPr id="119" name="Chart 118">
            <a:extLst>
              <a:ext uri="{FF2B5EF4-FFF2-40B4-BE49-F238E27FC236}">
                <a16:creationId xmlns:a16="http://schemas.microsoft.com/office/drawing/2014/main" id="{3D61012D-D460-8604-65CA-A5390A167BBB}"/>
              </a:ext>
            </a:extLst>
          </xdr:cNvPr>
          <xdr:cNvGraphicFramePr>
            <a:graphicFrameLocks/>
          </xdr:cNvGraphicFramePr>
        </xdr:nvGraphicFramePr>
        <xdr:xfrm>
          <a:off x="60960" y="36476940"/>
          <a:ext cx="6660000" cy="3589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20" name="Oval 119">
            <a:extLst>
              <a:ext uri="{FF2B5EF4-FFF2-40B4-BE49-F238E27FC236}">
                <a16:creationId xmlns:a16="http://schemas.microsoft.com/office/drawing/2014/main" id="{B4C8E2A7-94EC-B917-BED1-0D29926139A9}"/>
              </a:ext>
            </a:extLst>
          </xdr:cNvPr>
          <xdr:cNvSpPr/>
        </xdr:nvSpPr>
        <xdr:spPr>
          <a:xfrm>
            <a:off x="4213036" y="36869983"/>
            <a:ext cx="465644" cy="1559493"/>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45720</xdr:colOff>
      <xdr:row>123</xdr:row>
      <xdr:rowOff>125730</xdr:rowOff>
    </xdr:from>
    <xdr:to>
      <xdr:col>6</xdr:col>
      <xdr:colOff>132045</xdr:colOff>
      <xdr:row>137</xdr:row>
      <xdr:rowOff>158730</xdr:rowOff>
    </xdr:to>
    <xdr:grpSp>
      <xdr:nvGrpSpPr>
        <xdr:cNvPr id="121" name="Group 120">
          <a:extLst>
            <a:ext uri="{FF2B5EF4-FFF2-40B4-BE49-F238E27FC236}">
              <a16:creationId xmlns:a16="http://schemas.microsoft.com/office/drawing/2014/main" id="{610DA6BF-F926-45EF-9694-15EAFF573740}"/>
            </a:ext>
          </a:extLst>
        </xdr:cNvPr>
        <xdr:cNvGrpSpPr/>
      </xdr:nvGrpSpPr>
      <xdr:grpSpPr>
        <a:xfrm>
          <a:off x="45720" y="24576965"/>
          <a:ext cx="6328001" cy="2700000"/>
          <a:chOff x="6835140" y="36469320"/>
          <a:chExt cx="6660000" cy="3589200"/>
        </a:xfrm>
      </xdr:grpSpPr>
      <xdr:graphicFrame macro="">
        <xdr:nvGraphicFramePr>
          <xdr:cNvPr id="122" name="Chart 121">
            <a:extLst>
              <a:ext uri="{FF2B5EF4-FFF2-40B4-BE49-F238E27FC236}">
                <a16:creationId xmlns:a16="http://schemas.microsoft.com/office/drawing/2014/main" id="{D8717033-AFE3-2EAE-308B-363038CD2908}"/>
              </a:ext>
            </a:extLst>
          </xdr:cNvPr>
          <xdr:cNvGraphicFramePr>
            <a:graphicFrameLocks/>
          </xdr:cNvGraphicFramePr>
        </xdr:nvGraphicFramePr>
        <xdr:xfrm>
          <a:off x="6835140" y="36469320"/>
          <a:ext cx="6660000" cy="3589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23" name="Oval 122">
            <a:extLst>
              <a:ext uri="{FF2B5EF4-FFF2-40B4-BE49-F238E27FC236}">
                <a16:creationId xmlns:a16="http://schemas.microsoft.com/office/drawing/2014/main" id="{319F20E3-39EF-6743-DD21-67661E87C552}"/>
              </a:ext>
            </a:extLst>
          </xdr:cNvPr>
          <xdr:cNvSpPr/>
        </xdr:nvSpPr>
        <xdr:spPr>
          <a:xfrm>
            <a:off x="10939075" y="36859307"/>
            <a:ext cx="475684" cy="1519427"/>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6</xdr:col>
      <xdr:colOff>356779</xdr:colOff>
      <xdr:row>123</xdr:row>
      <xdr:rowOff>137160</xdr:rowOff>
    </xdr:from>
    <xdr:to>
      <xdr:col>15</xdr:col>
      <xdr:colOff>176404</xdr:colOff>
      <xdr:row>137</xdr:row>
      <xdr:rowOff>170160</xdr:rowOff>
    </xdr:to>
    <xdr:grpSp>
      <xdr:nvGrpSpPr>
        <xdr:cNvPr id="124" name="Group 123">
          <a:extLst>
            <a:ext uri="{FF2B5EF4-FFF2-40B4-BE49-F238E27FC236}">
              <a16:creationId xmlns:a16="http://schemas.microsoft.com/office/drawing/2014/main" id="{DE9AA1EA-05AF-4470-AFAD-99F33E86C17E}"/>
            </a:ext>
          </a:extLst>
        </xdr:cNvPr>
        <xdr:cNvGrpSpPr/>
      </xdr:nvGrpSpPr>
      <xdr:grpSpPr>
        <a:xfrm>
          <a:off x="6598455" y="24588395"/>
          <a:ext cx="6296625" cy="2700000"/>
          <a:chOff x="4747260" y="38488625"/>
          <a:chExt cx="6660000" cy="3589201"/>
        </a:xfrm>
      </xdr:grpSpPr>
      <xdr:graphicFrame macro="">
        <xdr:nvGraphicFramePr>
          <xdr:cNvPr id="125" name="Chart 124">
            <a:extLst>
              <a:ext uri="{FF2B5EF4-FFF2-40B4-BE49-F238E27FC236}">
                <a16:creationId xmlns:a16="http://schemas.microsoft.com/office/drawing/2014/main" id="{4E5EC9A4-47E3-8A05-6453-E96F30ABD789}"/>
              </a:ext>
            </a:extLst>
          </xdr:cNvPr>
          <xdr:cNvGraphicFramePr>
            <a:graphicFrameLocks/>
          </xdr:cNvGraphicFramePr>
        </xdr:nvGraphicFramePr>
        <xdr:xfrm>
          <a:off x="4747260" y="38488625"/>
          <a:ext cx="6660000" cy="3589201"/>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26" name="Oval 125">
            <a:extLst>
              <a:ext uri="{FF2B5EF4-FFF2-40B4-BE49-F238E27FC236}">
                <a16:creationId xmlns:a16="http://schemas.microsoft.com/office/drawing/2014/main" id="{EDCF131E-B1EE-0049-230D-695DDB327C43}"/>
              </a:ext>
            </a:extLst>
          </xdr:cNvPr>
          <xdr:cNvSpPr/>
        </xdr:nvSpPr>
        <xdr:spPr>
          <a:xfrm>
            <a:off x="8944896" y="39823606"/>
            <a:ext cx="411196" cy="597226"/>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99061</xdr:colOff>
      <xdr:row>138</xdr:row>
      <xdr:rowOff>127635</xdr:rowOff>
    </xdr:from>
    <xdr:to>
      <xdr:col>11</xdr:col>
      <xdr:colOff>228601</xdr:colOff>
      <xdr:row>155</xdr:row>
      <xdr:rowOff>51435</xdr:rowOff>
    </xdr:to>
    <xdr:sp macro="" textlink="">
      <xdr:nvSpPr>
        <xdr:cNvPr id="127" name="TextBox 126">
          <a:extLst>
            <a:ext uri="{FF2B5EF4-FFF2-40B4-BE49-F238E27FC236}">
              <a16:creationId xmlns:a16="http://schemas.microsoft.com/office/drawing/2014/main" id="{2E77C977-47EC-4891-9405-BA64450C567F}"/>
            </a:ext>
          </a:extLst>
        </xdr:cNvPr>
        <xdr:cNvSpPr txBox="1"/>
      </xdr:nvSpPr>
      <xdr:spPr>
        <a:xfrm>
          <a:off x="99061" y="27416760"/>
          <a:ext cx="10435590" cy="3162300"/>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a:t>1. The highest</a:t>
          </a:r>
          <a:r>
            <a:rPr lang="en-PH" sz="1200" b="1" baseline="0"/>
            <a:t> expenses and most frequent transaction is "</a:t>
          </a:r>
          <a:r>
            <a:rPr lang="en-PH" sz="1200" b="1" i="1" baseline="0"/>
            <a:t>Supa</a:t>
          </a:r>
          <a:r>
            <a:rPr lang="en-PH" sz="1200" b="1" baseline="0"/>
            <a:t>".</a:t>
          </a:r>
          <a:endParaRPr lang="en-PH" sz="1200" b="1"/>
        </a:p>
        <a:p>
          <a:r>
            <a:rPr lang="en-PH" sz="1100" baseline="0"/>
            <a:t>    - </a:t>
          </a:r>
          <a:r>
            <a:rPr lang="en-PH" sz="1100" b="0" baseline="0"/>
            <a:t>₱</a:t>
          </a:r>
          <a:r>
            <a:rPr lang="en-PH" sz="1100" baseline="0"/>
            <a:t>6,154 (24.13%) of total G-cash expenses, the highest, comes from "</a:t>
          </a:r>
          <a:r>
            <a:rPr lang="en-PH" sz="1100" i="1" baseline="0"/>
            <a:t>Supa</a:t>
          </a:r>
          <a:r>
            <a:rPr lang="en-PH" sz="1100" baseline="0"/>
            <a:t>" transactions.</a:t>
          </a:r>
        </a:p>
        <a:p>
          <a:r>
            <a:rPr lang="en-PH" sz="1100" baseline="0"/>
            <a:t>    - 66 transaction counts, the highest, were "Supa"</a:t>
          </a:r>
        </a:p>
        <a:p>
          <a:r>
            <a:rPr lang="en-PH" sz="1100" baseline="0">
              <a:solidFill>
                <a:schemeClr val="dk1"/>
              </a:solidFill>
              <a:effectLst/>
              <a:latin typeface="+mn-lt"/>
              <a:ea typeface="+mn-ea"/>
              <a:cs typeface="+mn-cs"/>
            </a:rPr>
            <a:t>    - </a:t>
          </a:r>
          <a:r>
            <a:rPr lang="en-PH" sz="1100" b="1" baseline="0">
              <a:solidFill>
                <a:schemeClr val="dk1"/>
              </a:solidFill>
              <a:effectLst/>
              <a:latin typeface="+mn-lt"/>
              <a:ea typeface="+mn-ea"/>
              <a:cs typeface="+mn-cs"/>
            </a:rPr>
            <a:t>"Supa" is the transaction that needs attention to mind when spending using G-cash.</a:t>
          </a:r>
          <a:endParaRPr lang="en-PH" sz="1100" b="1" baseline="0"/>
        </a:p>
        <a:p>
          <a:endParaRPr lang="en-PH" sz="1100" baseline="0"/>
        </a:p>
        <a:p>
          <a:r>
            <a:rPr lang="en-PH" sz="1200" b="1" baseline="0"/>
            <a:t>2. "</a:t>
          </a:r>
          <a:r>
            <a:rPr lang="en-PH" sz="1200" b="1" i="1" baseline="0"/>
            <a:t>Supa</a:t>
          </a:r>
          <a:r>
            <a:rPr lang="en-PH" sz="1200" b="1" baseline="0"/>
            <a:t>" average expenses is ₱93.24 per transaction.</a:t>
          </a:r>
          <a:endParaRPr lang="en-PH" sz="1100" b="1" baseline="0"/>
        </a:p>
        <a:p>
          <a:r>
            <a:rPr lang="en-PH" sz="1100" baseline="0"/>
            <a:t>    - Despite being among the highest total expenses and transaction counts, it is </a:t>
          </a:r>
          <a:r>
            <a:rPr lang="en-PH" sz="1100" i="1" baseline="0"/>
            <a:t>one of the least average expenses per transactions</a:t>
          </a:r>
          <a:r>
            <a:rPr lang="en-PH" sz="1100" baseline="0"/>
            <a:t>.</a:t>
          </a:r>
        </a:p>
        <a:p>
          <a:r>
            <a:rPr lang="en-PH" sz="1100" baseline="0"/>
            <a:t>    - This means that the </a:t>
          </a:r>
          <a:r>
            <a:rPr lang="en-PH" sz="1100" b="1" baseline="0"/>
            <a:t>total expenses of "Supa" becomes larger because of frequent purchasing</a:t>
          </a:r>
          <a:r>
            <a:rPr lang="en-PH" sz="1100" baseline="0"/>
            <a:t> despite being one of low average expenses per transactions.</a:t>
          </a:r>
        </a:p>
        <a:p>
          <a:r>
            <a:rPr lang="en-PH" sz="1100" baseline="0"/>
            <a:t>        - This </a:t>
          </a:r>
          <a:r>
            <a:rPr lang="en-PH" sz="1100" i="1" baseline="0"/>
            <a:t>explains why it is among the highest transaction counts</a:t>
          </a:r>
          <a:r>
            <a:rPr lang="en-PH" sz="1100" baseline="0"/>
            <a:t> using G-cash.</a:t>
          </a:r>
        </a:p>
        <a:p>
          <a:r>
            <a:rPr lang="en-PH" sz="1100" baseline="0"/>
            <a:t>    - It may have low average expenses per transaction, but buying this more frequently builds total expenses.</a:t>
          </a:r>
        </a:p>
        <a:p>
          <a:endParaRPr lang="en-PH" sz="1100" baseline="0"/>
        </a:p>
        <a:p>
          <a:r>
            <a:rPr lang="en-PH" sz="1400" b="1" baseline="0"/>
            <a:t>Conclusion:</a:t>
          </a:r>
          <a:endParaRPr lang="en-PH" sz="1100" b="1" baseline="0"/>
        </a:p>
        <a:p>
          <a:r>
            <a:rPr lang="en-PH" sz="1100" baseline="0"/>
            <a:t>- </a:t>
          </a:r>
          <a:r>
            <a:rPr lang="en-PH" sz="1100" b="1" baseline="0"/>
            <a:t>"Supa" is the highest transaction using G-cash payment.</a:t>
          </a:r>
        </a:p>
        <a:p>
          <a:r>
            <a:rPr lang="en-PH" sz="1100" baseline="0"/>
            <a:t>- </a:t>
          </a:r>
          <a:r>
            <a:rPr lang="en-PH" sz="1100" b="1" baseline="0">
              <a:solidFill>
                <a:schemeClr val="dk1"/>
              </a:solidFill>
              <a:effectLst/>
              <a:latin typeface="+mn-lt"/>
              <a:ea typeface="+mn-ea"/>
              <a:cs typeface="+mn-cs"/>
            </a:rPr>
            <a:t>"Supa" needs attention to mind about spending.</a:t>
          </a:r>
        </a:p>
        <a:p>
          <a:r>
            <a:rPr lang="en-PH" sz="1100" baseline="0">
              <a:solidFill>
                <a:schemeClr val="dk1"/>
              </a:solidFill>
              <a:effectLst/>
              <a:latin typeface="+mn-lt"/>
              <a:ea typeface="+mn-ea"/>
              <a:cs typeface="+mn-cs"/>
            </a:rPr>
            <a:t>- Spending less "Supa" could help decrease the expenses in G-cash.</a:t>
          </a:r>
          <a:endParaRPr lang="en-PH" sz="1100" baseline="0"/>
        </a:p>
      </xdr:txBody>
    </xdr:sp>
    <xdr:clientData/>
  </xdr:twoCellAnchor>
  <xdr:twoCellAnchor>
    <xdr:from>
      <xdr:col>6</xdr:col>
      <xdr:colOff>345349</xdr:colOff>
      <xdr:row>108</xdr:row>
      <xdr:rowOff>104775</xdr:rowOff>
    </xdr:from>
    <xdr:to>
      <xdr:col>15</xdr:col>
      <xdr:colOff>164974</xdr:colOff>
      <xdr:row>122</xdr:row>
      <xdr:rowOff>134175</xdr:rowOff>
    </xdr:to>
    <xdr:grpSp>
      <xdr:nvGrpSpPr>
        <xdr:cNvPr id="128" name="Group 127">
          <a:extLst>
            <a:ext uri="{FF2B5EF4-FFF2-40B4-BE49-F238E27FC236}">
              <a16:creationId xmlns:a16="http://schemas.microsoft.com/office/drawing/2014/main" id="{5432E8DF-8A26-43F7-A3CE-63773ABC748E}"/>
            </a:ext>
          </a:extLst>
        </xdr:cNvPr>
        <xdr:cNvGrpSpPr/>
      </xdr:nvGrpSpPr>
      <xdr:grpSpPr>
        <a:xfrm>
          <a:off x="6587025" y="21698510"/>
          <a:ext cx="6296625" cy="2696400"/>
          <a:chOff x="60960" y="36476940"/>
          <a:chExt cx="6660000" cy="3589200"/>
        </a:xfrm>
      </xdr:grpSpPr>
      <xdr:graphicFrame macro="">
        <xdr:nvGraphicFramePr>
          <xdr:cNvPr id="129" name="Chart 128">
            <a:extLst>
              <a:ext uri="{FF2B5EF4-FFF2-40B4-BE49-F238E27FC236}">
                <a16:creationId xmlns:a16="http://schemas.microsoft.com/office/drawing/2014/main" id="{C98FCDF2-F5C0-40FE-ADE7-ADB2553CF0B6}"/>
              </a:ext>
            </a:extLst>
          </xdr:cNvPr>
          <xdr:cNvGraphicFramePr>
            <a:graphicFrameLocks/>
          </xdr:cNvGraphicFramePr>
        </xdr:nvGraphicFramePr>
        <xdr:xfrm>
          <a:off x="60960" y="36476940"/>
          <a:ext cx="6660000" cy="35892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30" name="Oval 129">
            <a:extLst>
              <a:ext uri="{FF2B5EF4-FFF2-40B4-BE49-F238E27FC236}">
                <a16:creationId xmlns:a16="http://schemas.microsoft.com/office/drawing/2014/main" id="{87C451BB-1610-FADB-30A1-A771CB0CCAAA}"/>
              </a:ext>
            </a:extLst>
          </xdr:cNvPr>
          <xdr:cNvSpPr/>
        </xdr:nvSpPr>
        <xdr:spPr>
          <a:xfrm>
            <a:off x="4147689" y="36896039"/>
            <a:ext cx="502920" cy="1508079"/>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57150</xdr:colOff>
      <xdr:row>160</xdr:row>
      <xdr:rowOff>76200</xdr:rowOff>
    </xdr:from>
    <xdr:to>
      <xdr:col>7</xdr:col>
      <xdr:colOff>85725</xdr:colOff>
      <xdr:row>174</xdr:row>
      <xdr:rowOff>95250</xdr:rowOff>
    </xdr:to>
    <xdr:grpSp>
      <xdr:nvGrpSpPr>
        <xdr:cNvPr id="131" name="Group 130">
          <a:extLst>
            <a:ext uri="{FF2B5EF4-FFF2-40B4-BE49-F238E27FC236}">
              <a16:creationId xmlns:a16="http://schemas.microsoft.com/office/drawing/2014/main" id="{F28CA862-15D7-4A1D-B9FF-2AD0F62DE4A3}"/>
            </a:ext>
          </a:extLst>
        </xdr:cNvPr>
        <xdr:cNvGrpSpPr/>
      </xdr:nvGrpSpPr>
      <xdr:grpSpPr>
        <a:xfrm>
          <a:off x="57150" y="31721612"/>
          <a:ext cx="7536516" cy="2686050"/>
          <a:chOff x="10315574" y="63117412"/>
          <a:chExt cx="11544301" cy="2967038"/>
        </a:xfrm>
      </xdr:grpSpPr>
      <xdr:graphicFrame macro="">
        <xdr:nvGraphicFramePr>
          <xdr:cNvPr id="132" name="Chart 131">
            <a:extLst>
              <a:ext uri="{FF2B5EF4-FFF2-40B4-BE49-F238E27FC236}">
                <a16:creationId xmlns:a16="http://schemas.microsoft.com/office/drawing/2014/main" id="{AC7D60B5-84D1-68FB-4801-9255D992BA47}"/>
              </a:ext>
            </a:extLst>
          </xdr:cNvPr>
          <xdr:cNvGraphicFramePr/>
        </xdr:nvGraphicFramePr>
        <xdr:xfrm>
          <a:off x="10315574" y="63117412"/>
          <a:ext cx="11544301" cy="296703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33" name="Oval 132">
            <a:extLst>
              <a:ext uri="{FF2B5EF4-FFF2-40B4-BE49-F238E27FC236}">
                <a16:creationId xmlns:a16="http://schemas.microsoft.com/office/drawing/2014/main" id="{5F6D73E9-ADB4-00C2-2529-22596033F08C}"/>
              </a:ext>
            </a:extLst>
          </xdr:cNvPr>
          <xdr:cNvSpPr/>
        </xdr:nvSpPr>
        <xdr:spPr>
          <a:xfrm>
            <a:off x="14722423" y="64243204"/>
            <a:ext cx="628276" cy="858737"/>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57150</xdr:colOff>
      <xdr:row>175</xdr:row>
      <xdr:rowOff>28575</xdr:rowOff>
    </xdr:from>
    <xdr:to>
      <xdr:col>7</xdr:col>
      <xdr:colOff>86250</xdr:colOff>
      <xdr:row>189</xdr:row>
      <xdr:rowOff>47175</xdr:rowOff>
    </xdr:to>
    <xdr:grpSp>
      <xdr:nvGrpSpPr>
        <xdr:cNvPr id="134" name="Group 133">
          <a:extLst>
            <a:ext uri="{FF2B5EF4-FFF2-40B4-BE49-F238E27FC236}">
              <a16:creationId xmlns:a16="http://schemas.microsoft.com/office/drawing/2014/main" id="{5E7735C1-D241-47E0-B4A0-7CD2DE4BF2BC}"/>
            </a:ext>
          </a:extLst>
        </xdr:cNvPr>
        <xdr:cNvGrpSpPr/>
      </xdr:nvGrpSpPr>
      <xdr:grpSpPr>
        <a:xfrm>
          <a:off x="57150" y="34531487"/>
          <a:ext cx="7537041" cy="2685600"/>
          <a:chOff x="10315574" y="66232087"/>
          <a:chExt cx="11544301" cy="2967038"/>
        </a:xfrm>
      </xdr:grpSpPr>
      <xdr:graphicFrame macro="">
        <xdr:nvGraphicFramePr>
          <xdr:cNvPr id="135" name="Chart 134">
            <a:extLst>
              <a:ext uri="{FF2B5EF4-FFF2-40B4-BE49-F238E27FC236}">
                <a16:creationId xmlns:a16="http://schemas.microsoft.com/office/drawing/2014/main" id="{4D9C5E17-043E-CC72-6E43-FC848FA37177}"/>
              </a:ext>
            </a:extLst>
          </xdr:cNvPr>
          <xdr:cNvGraphicFramePr/>
        </xdr:nvGraphicFramePr>
        <xdr:xfrm>
          <a:off x="10315574" y="66232087"/>
          <a:ext cx="11544301" cy="2967038"/>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36" name="Oval 135">
            <a:extLst>
              <a:ext uri="{FF2B5EF4-FFF2-40B4-BE49-F238E27FC236}">
                <a16:creationId xmlns:a16="http://schemas.microsoft.com/office/drawing/2014/main" id="{5713132F-8F7B-8240-B3C0-B75948FF116F}"/>
              </a:ext>
            </a:extLst>
          </xdr:cNvPr>
          <xdr:cNvSpPr/>
        </xdr:nvSpPr>
        <xdr:spPr>
          <a:xfrm>
            <a:off x="14877879" y="66831908"/>
            <a:ext cx="571500" cy="104179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47625</xdr:colOff>
      <xdr:row>190</xdr:row>
      <xdr:rowOff>52387</xdr:rowOff>
    </xdr:from>
    <xdr:to>
      <xdr:col>6</xdr:col>
      <xdr:colOff>533400</xdr:colOff>
      <xdr:row>213</xdr:row>
      <xdr:rowOff>138112</xdr:rowOff>
    </xdr:to>
    <xdr:sp macro="" textlink="">
      <xdr:nvSpPr>
        <xdr:cNvPr id="137" name="TextBox 136">
          <a:extLst>
            <a:ext uri="{FF2B5EF4-FFF2-40B4-BE49-F238E27FC236}">
              <a16:creationId xmlns:a16="http://schemas.microsoft.com/office/drawing/2014/main" id="{81902BB4-9959-42B3-8F76-33D16744BEFF}"/>
            </a:ext>
          </a:extLst>
        </xdr:cNvPr>
        <xdr:cNvSpPr txBox="1"/>
      </xdr:nvSpPr>
      <xdr:spPr>
        <a:xfrm>
          <a:off x="47625" y="37390387"/>
          <a:ext cx="6724650" cy="4467225"/>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baseline="0">
              <a:solidFill>
                <a:schemeClr val="dk1"/>
              </a:solidFill>
              <a:effectLst/>
              <a:latin typeface="+mn-lt"/>
              <a:ea typeface="+mn-ea"/>
              <a:cs typeface="+mn-cs"/>
            </a:rPr>
            <a:t>1. Top 20 Expenses covers 75.31% of the total expenses:</a:t>
          </a:r>
          <a:endParaRPr lang="en-PH" sz="1200" b="1"/>
        </a:p>
        <a:p>
          <a:r>
            <a:rPr lang="en-PH" sz="1100" b="0"/>
            <a:t>    - Analyzing</a:t>
          </a:r>
          <a:r>
            <a:rPr lang="en-PH" sz="1100" b="0" baseline="0"/>
            <a:t> this top 20 expenses coud give information of top contributors of total expenses.</a:t>
          </a:r>
          <a:br>
            <a:rPr lang="en-PH" sz="1100" b="0" baseline="0"/>
          </a:br>
          <a:endParaRPr lang="en-PH" sz="1100" b="0"/>
        </a:p>
        <a:p>
          <a:r>
            <a:rPr lang="en-PH" sz="1200" b="1"/>
            <a:t>2. 5 G-cash</a:t>
          </a:r>
          <a:r>
            <a:rPr lang="en-PH" sz="1200" b="1" baseline="0"/>
            <a:t> expenses transaction made to the top 20 expenses.</a:t>
          </a:r>
          <a:endParaRPr lang="en-PH" sz="1200" b="1"/>
        </a:p>
        <a:p>
          <a:r>
            <a:rPr lang="en-PH" sz="1100" b="0" baseline="0">
              <a:solidFill>
                <a:schemeClr val="dk1"/>
              </a:solidFill>
              <a:effectLst/>
              <a:latin typeface="+mn-lt"/>
              <a:ea typeface="+mn-ea"/>
              <a:cs typeface="+mn-cs"/>
            </a:rPr>
            <a:t>    1. </a:t>
          </a:r>
          <a:r>
            <a:rPr lang="en-PH" sz="1100" b="1" baseline="0">
              <a:solidFill>
                <a:schemeClr val="dk1"/>
              </a:solidFill>
              <a:effectLst/>
              <a:latin typeface="+mn-lt"/>
              <a:ea typeface="+mn-ea"/>
              <a:cs typeface="+mn-cs"/>
            </a:rPr>
            <a:t>Rank 5:</a:t>
          </a:r>
          <a:r>
            <a:rPr lang="en-PH" sz="1100" b="0" baseline="0">
              <a:solidFill>
                <a:schemeClr val="dk1"/>
              </a:solidFill>
              <a:effectLst/>
              <a:latin typeface="+mn-lt"/>
              <a:ea typeface="+mn-ea"/>
              <a:cs typeface="+mn-cs"/>
            </a:rPr>
            <a:t> "sheena-related" with ₱150 total expenses (just 2% in G-cash expenses)</a:t>
          </a:r>
          <a:endParaRPr lang="en-PH" sz="1100" baseline="0"/>
        </a:p>
        <a:p>
          <a:r>
            <a:rPr lang="en-PH" sz="1100" baseline="0"/>
            <a:t>    2. </a:t>
          </a:r>
          <a:r>
            <a:rPr lang="en-PH" sz="1100" b="1" baseline="0"/>
            <a:t>Rank 8:</a:t>
          </a:r>
          <a:r>
            <a:rPr lang="en-PH" sz="1100" baseline="0"/>
            <a:t> "Supa" with </a:t>
          </a:r>
          <a:r>
            <a:rPr lang="en-PH" sz="1100" b="0" baseline="0">
              <a:solidFill>
                <a:schemeClr val="dk1"/>
              </a:solidFill>
              <a:effectLst/>
              <a:latin typeface="+mn-lt"/>
              <a:ea typeface="+mn-ea"/>
              <a:cs typeface="+mn-cs"/>
            </a:rPr>
            <a:t>₱6,154 total expenses.</a:t>
          </a:r>
        </a:p>
        <a:p>
          <a:r>
            <a:rPr lang="en-PH" sz="1100" b="0" baseline="0">
              <a:solidFill>
                <a:schemeClr val="dk1"/>
              </a:solidFill>
              <a:effectLst/>
              <a:latin typeface="+mn-lt"/>
              <a:ea typeface="+mn-ea"/>
              <a:cs typeface="+mn-cs"/>
            </a:rPr>
            <a:t>    3. </a:t>
          </a:r>
          <a:r>
            <a:rPr lang="en-PH" sz="1100" b="1" baseline="0">
              <a:solidFill>
                <a:schemeClr val="dk1"/>
              </a:solidFill>
              <a:effectLst/>
              <a:latin typeface="+mn-lt"/>
              <a:ea typeface="+mn-ea"/>
              <a:cs typeface="+mn-cs"/>
            </a:rPr>
            <a:t>Rank 10:</a:t>
          </a:r>
          <a:r>
            <a:rPr lang="en-PH" sz="1100" b="0" baseline="0">
              <a:solidFill>
                <a:schemeClr val="dk1"/>
              </a:solidFill>
              <a:effectLst/>
              <a:latin typeface="+mn-lt"/>
              <a:ea typeface="+mn-ea"/>
              <a:cs typeface="+mn-cs"/>
            </a:rPr>
            <a:t> "wifi load (magic data)" with ₱4,494 total expenses.</a:t>
          </a:r>
        </a:p>
        <a:p>
          <a:r>
            <a:rPr lang="en-PH" sz="1100" b="0" baseline="0">
              <a:solidFill>
                <a:schemeClr val="dk1"/>
              </a:solidFill>
              <a:effectLst/>
              <a:latin typeface="+mn-lt"/>
              <a:ea typeface="+mn-ea"/>
              <a:cs typeface="+mn-cs"/>
            </a:rPr>
            <a:t>    4. </a:t>
          </a:r>
          <a:r>
            <a:rPr lang="en-PH" sz="1100" b="1" baseline="0">
              <a:solidFill>
                <a:schemeClr val="dk1"/>
              </a:solidFill>
              <a:effectLst/>
              <a:latin typeface="+mn-lt"/>
              <a:ea typeface="+mn-ea"/>
              <a:cs typeface="+mn-cs"/>
            </a:rPr>
            <a:t>Rank 12:</a:t>
          </a:r>
          <a:r>
            <a:rPr lang="en-PH" sz="1100" b="0" baseline="0">
              <a:solidFill>
                <a:schemeClr val="dk1"/>
              </a:solidFill>
              <a:effectLst/>
              <a:latin typeface="+mn-lt"/>
              <a:ea typeface="+mn-ea"/>
              <a:cs typeface="+mn-cs"/>
            </a:rPr>
            <a:t> "wifi load (family access)" with ₱3,981 total expenses.</a:t>
          </a:r>
        </a:p>
        <a:p>
          <a:r>
            <a:rPr lang="en-PH" sz="1100" b="0" baseline="0">
              <a:solidFill>
                <a:schemeClr val="dk1"/>
              </a:solidFill>
              <a:effectLst/>
              <a:latin typeface="+mn-lt"/>
              <a:ea typeface="+mn-ea"/>
              <a:cs typeface="+mn-cs"/>
            </a:rPr>
            <a:t>    5. </a:t>
          </a:r>
          <a:r>
            <a:rPr lang="en-PH" sz="1100" b="1" baseline="0">
              <a:solidFill>
                <a:schemeClr val="dk1"/>
              </a:solidFill>
              <a:effectLst/>
              <a:latin typeface="+mn-lt"/>
              <a:ea typeface="+mn-ea"/>
              <a:cs typeface="+mn-cs"/>
            </a:rPr>
            <a:t>Rank 19:</a:t>
          </a:r>
          <a:r>
            <a:rPr lang="en-PH" sz="1100" b="0" baseline="0">
              <a:solidFill>
                <a:schemeClr val="dk1"/>
              </a:solidFill>
              <a:effectLst/>
              <a:latin typeface="+mn-lt"/>
              <a:ea typeface="+mn-ea"/>
              <a:cs typeface="+mn-cs"/>
            </a:rPr>
            <a:t> "Spotify" with ₱2,823 total expenses.</a:t>
          </a:r>
          <a:endParaRPr lang="en-PH" sz="1100" baseline="0"/>
        </a:p>
        <a:p>
          <a:r>
            <a:rPr lang="en-PH" sz="1100" baseline="0">
              <a:solidFill>
                <a:schemeClr val="dk1"/>
              </a:solidFill>
              <a:effectLst/>
              <a:latin typeface="+mn-lt"/>
              <a:ea typeface="+mn-ea"/>
              <a:cs typeface="+mn-cs"/>
            </a:rPr>
            <a:t>    - </a:t>
          </a:r>
          <a:r>
            <a:rPr lang="en-PH" sz="1100" b="1" baseline="0">
              <a:solidFill>
                <a:schemeClr val="dk1"/>
              </a:solidFill>
              <a:effectLst/>
              <a:latin typeface="+mn-lt"/>
              <a:ea typeface="+mn-ea"/>
              <a:cs typeface="+mn-cs"/>
            </a:rPr>
            <a:t>"Supa" is one of the top contibutors of total expenses.</a:t>
          </a:r>
          <a:endParaRPr lang="en-PH" sz="1100" b="1" baseline="0"/>
        </a:p>
        <a:p>
          <a:endParaRPr lang="en-PH" sz="1100" baseline="0"/>
        </a:p>
        <a:p>
          <a:r>
            <a:rPr lang="en-PH" sz="1200" b="1" baseline="0"/>
            <a:t>3. "Supa" made to top 20 (even top 10).</a:t>
          </a:r>
          <a:endParaRPr lang="en-PH" sz="1100" b="1" baseline="0"/>
        </a:p>
        <a:p>
          <a:r>
            <a:rPr lang="en-PH" sz="1100" baseline="0"/>
            <a:t>    - It is </a:t>
          </a:r>
          <a:r>
            <a:rPr lang="en-PH" sz="1100" b="1" baseline="0"/>
            <a:t>one of the top contributros of total expenses</a:t>
          </a:r>
          <a:r>
            <a:rPr lang="en-PH" sz="1100" baseline="0"/>
            <a:t>.</a:t>
          </a:r>
        </a:p>
        <a:p>
          <a:r>
            <a:rPr lang="en-PH" sz="1100" baseline="0"/>
            <a:t>    - Given it is for entertainment, minding how to spend or purchase it could decrease monthly expenses rate.</a:t>
          </a:r>
        </a:p>
        <a:p>
          <a:endParaRPr lang="en-PH" sz="1100" baseline="0"/>
        </a:p>
        <a:p>
          <a:r>
            <a:rPr lang="en-PH" sz="1200" b="1" baseline="0"/>
            <a:t>4. Among the top 20, it ranks 2nd on the total number of purchase.</a:t>
          </a:r>
          <a:endParaRPr lang="en-PH" sz="1100" b="1" baseline="0"/>
        </a:p>
        <a:p>
          <a:r>
            <a:rPr lang="en-PH" sz="1100" baseline="0"/>
            <a:t>    - One of the most frequent purchase of the top 20.</a:t>
          </a:r>
        </a:p>
        <a:p>
          <a:r>
            <a:rPr lang="en-PH" sz="1100" baseline="0"/>
            <a:t>    - Might be the reason it made to the top, by purchasing many times.</a:t>
          </a:r>
        </a:p>
        <a:p>
          <a:endParaRPr lang="en-PH" sz="1100" baseline="0"/>
        </a:p>
        <a:p>
          <a:r>
            <a:rPr lang="en-PH" sz="1400" b="1" baseline="0"/>
            <a:t>Conclusion:</a:t>
          </a:r>
          <a:endParaRPr lang="en-PH" sz="1100" b="1" baseline="0"/>
        </a:p>
        <a:p>
          <a:r>
            <a:rPr lang="en-PH" sz="1100" baseline="0"/>
            <a:t>- </a:t>
          </a:r>
          <a:r>
            <a:rPr lang="en-PH" sz="1100" b="1" baseline="0"/>
            <a:t>"Supa" is one of the top 10 contributors of total expenses.</a:t>
          </a:r>
        </a:p>
        <a:p>
          <a:r>
            <a:rPr lang="en-PH" sz="1100" baseline="0"/>
            <a:t>- </a:t>
          </a:r>
          <a:r>
            <a:rPr lang="en-PH" sz="1100" b="1" baseline="0">
              <a:solidFill>
                <a:schemeClr val="dk1"/>
              </a:solidFill>
              <a:effectLst/>
              <a:latin typeface="+mn-lt"/>
              <a:ea typeface="+mn-ea"/>
              <a:cs typeface="+mn-cs"/>
            </a:rPr>
            <a:t>"Supa" is likely purchased frequently to made it to top 10 expenditures.</a:t>
          </a:r>
        </a:p>
        <a:p>
          <a:r>
            <a:rPr lang="en-PH" sz="1100" baseline="0">
              <a:solidFill>
                <a:schemeClr val="dk1"/>
              </a:solidFill>
              <a:effectLst/>
              <a:latin typeface="+mn-lt"/>
              <a:ea typeface="+mn-ea"/>
              <a:cs typeface="+mn-cs"/>
            </a:rPr>
            <a:t>- Spending "Supa" frequently less could help decrease not only the expenses in G-cash, but also the overall expenses behavior.</a:t>
          </a:r>
          <a:endParaRPr lang="en-PH" sz="1100" baseline="0"/>
        </a:p>
      </xdr:txBody>
    </xdr:sp>
    <xdr:clientData/>
  </xdr:twoCellAnchor>
  <xdr:twoCellAnchor>
    <xdr:from>
      <xdr:col>7</xdr:col>
      <xdr:colOff>247650</xdr:colOff>
      <xdr:row>160</xdr:row>
      <xdr:rowOff>85725</xdr:rowOff>
    </xdr:from>
    <xdr:to>
      <xdr:col>16</xdr:col>
      <xdr:colOff>85125</xdr:colOff>
      <xdr:row>174</xdr:row>
      <xdr:rowOff>161925</xdr:rowOff>
    </xdr:to>
    <xdr:graphicFrame macro="">
      <xdr:nvGraphicFramePr>
        <xdr:cNvPr id="138" name="Chart 137">
          <a:extLst>
            <a:ext uri="{FF2B5EF4-FFF2-40B4-BE49-F238E27FC236}">
              <a16:creationId xmlns:a16="http://schemas.microsoft.com/office/drawing/2014/main" id="{1D5B4FCE-A1EF-429A-8A87-6D9D76989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95810</xdr:colOff>
      <xdr:row>289</xdr:row>
      <xdr:rowOff>182095</xdr:rowOff>
    </xdr:from>
    <xdr:to>
      <xdr:col>7</xdr:col>
      <xdr:colOff>1</xdr:colOff>
      <xdr:row>302</xdr:row>
      <xdr:rowOff>145676</xdr:rowOff>
    </xdr:to>
    <xdr:sp macro="" textlink="">
      <xdr:nvSpPr>
        <xdr:cNvPr id="139" name="TextBox 138">
          <a:extLst>
            <a:ext uri="{FF2B5EF4-FFF2-40B4-BE49-F238E27FC236}">
              <a16:creationId xmlns:a16="http://schemas.microsoft.com/office/drawing/2014/main" id="{6D792709-B13C-40F0-B227-5089CEE27519}"/>
            </a:ext>
          </a:extLst>
        </xdr:cNvPr>
        <xdr:cNvSpPr txBox="1"/>
      </xdr:nvSpPr>
      <xdr:spPr>
        <a:xfrm>
          <a:off x="95810" y="56693360"/>
          <a:ext cx="7412132" cy="2440081"/>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baseline="0"/>
            <a:t>1. </a:t>
          </a:r>
          <a:r>
            <a:rPr lang="en-PH" sz="1200" b="1" baseline="0">
              <a:solidFill>
                <a:schemeClr val="dk1"/>
              </a:solidFill>
              <a:effectLst/>
              <a:latin typeface="+mn-lt"/>
              <a:ea typeface="+mn-ea"/>
              <a:cs typeface="+mn-cs"/>
            </a:rPr>
            <a:t>₱125 "Supa" has the highest total expenses.</a:t>
          </a:r>
          <a:endParaRPr lang="en-PH" sz="1200" b="1" baseline="0"/>
        </a:p>
        <a:p>
          <a:r>
            <a:rPr lang="en-PH" sz="1100" b="0" baseline="0"/>
            <a:t>    - Among the types, </a:t>
          </a:r>
          <a:r>
            <a:rPr lang="en-PH" sz="1100" b="0" baseline="0">
              <a:solidFill>
                <a:schemeClr val="dk1"/>
              </a:solidFill>
              <a:effectLst/>
              <a:latin typeface="+mn-lt"/>
              <a:ea typeface="+mn-ea"/>
              <a:cs typeface="+mn-cs"/>
            </a:rPr>
            <a:t>₱125 is the main contributor to the total expenses of "Supa"</a:t>
          </a:r>
        </a:p>
        <a:p>
          <a:r>
            <a:rPr lang="en-PH" sz="1100" b="0" baseline="0">
              <a:solidFill>
                <a:schemeClr val="dk1"/>
              </a:solidFill>
              <a:effectLst/>
              <a:latin typeface="+mn-lt"/>
              <a:ea typeface="+mn-ea"/>
              <a:cs typeface="+mn-cs"/>
            </a:rPr>
            <a:t>    - 79.22% of the total expenses comes from ₱125 "Supa".</a:t>
          </a:r>
          <a:endParaRPr lang="en-PH" sz="1100" b="0" baseline="0"/>
        </a:p>
        <a:p>
          <a:endParaRPr lang="en-PH" sz="1100" b="0" baseline="0"/>
        </a:p>
        <a:p>
          <a:r>
            <a:rPr lang="en-PH" sz="1200" b="1" baseline="0"/>
            <a:t>2. </a:t>
          </a:r>
          <a:r>
            <a:rPr lang="en-PH" sz="1200" b="1" baseline="0">
              <a:solidFill>
                <a:schemeClr val="dk1"/>
              </a:solidFill>
              <a:effectLst/>
              <a:latin typeface="+mn-lt"/>
              <a:ea typeface="+mn-ea"/>
              <a:cs typeface="+mn-cs"/>
            </a:rPr>
            <a:t>₱125 "Supa" is m</a:t>
          </a:r>
          <a:r>
            <a:rPr lang="en-PH" sz="1200" b="1" baseline="0"/>
            <a:t>ostly purchased the most.</a:t>
          </a:r>
        </a:p>
        <a:p>
          <a:r>
            <a:rPr lang="en-PH" sz="1100" baseline="0"/>
            <a:t>    - 39 purchase count meaning the type was bought 39 times.</a:t>
          </a:r>
        </a:p>
        <a:p>
          <a:r>
            <a:rPr lang="en-PH" sz="1100" baseline="0"/>
            <a:t>    - Most likely the type to be purchased again if the current conditions stay the same.</a:t>
          </a:r>
        </a:p>
        <a:p>
          <a:endParaRPr lang="en-PH" sz="1100" baseline="0"/>
        </a:p>
        <a:p>
          <a:r>
            <a:rPr lang="en-PH" sz="1400" b="1" baseline="0"/>
            <a:t>Conclusion:</a:t>
          </a:r>
          <a:endParaRPr lang="en-PH" sz="1100" b="1" baseline="0"/>
        </a:p>
        <a:p>
          <a:r>
            <a:rPr lang="en-PH" sz="1100" baseline="0"/>
            <a:t>- </a:t>
          </a:r>
          <a:r>
            <a:rPr lang="en-PH" sz="1200" b="1" baseline="0">
              <a:solidFill>
                <a:schemeClr val="dk1"/>
              </a:solidFill>
              <a:effectLst/>
              <a:latin typeface="+mn-lt"/>
              <a:ea typeface="+mn-ea"/>
              <a:cs typeface="+mn-cs"/>
            </a:rPr>
            <a:t>₱125 "Supa" is the main contributor on the total expenses of "Supa" in G-cash.</a:t>
          </a:r>
        </a:p>
        <a:p>
          <a:r>
            <a:rPr lang="en-PH" sz="1200" b="1" baseline="0">
              <a:solidFill>
                <a:schemeClr val="dk1"/>
              </a:solidFill>
              <a:effectLst/>
              <a:latin typeface="+mn-lt"/>
              <a:ea typeface="+mn-ea"/>
              <a:cs typeface="+mn-cs"/>
            </a:rPr>
            <a:t>- ₱125 "Supa" most likely to be purchased again if the current conditions stay the same.</a:t>
          </a:r>
          <a:endParaRPr lang="en-PH" b="1">
            <a:effectLst/>
          </a:endParaRPr>
        </a:p>
      </xdr:txBody>
    </xdr:sp>
    <xdr:clientData/>
  </xdr:twoCellAnchor>
  <xdr:twoCellAnchor>
    <xdr:from>
      <xdr:col>0</xdr:col>
      <xdr:colOff>103372</xdr:colOff>
      <xdr:row>309</xdr:row>
      <xdr:rowOff>110098</xdr:rowOff>
    </xdr:from>
    <xdr:to>
      <xdr:col>5</xdr:col>
      <xdr:colOff>951379</xdr:colOff>
      <xdr:row>324</xdr:row>
      <xdr:rowOff>5323</xdr:rowOff>
    </xdr:to>
    <xdr:graphicFrame macro="">
      <xdr:nvGraphicFramePr>
        <xdr:cNvPr id="143" name="Chart 142">
          <a:extLst>
            <a:ext uri="{FF2B5EF4-FFF2-40B4-BE49-F238E27FC236}">
              <a16:creationId xmlns:a16="http://schemas.microsoft.com/office/drawing/2014/main" id="{63EADDF4-957B-484A-9D88-D70E43533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1151963</xdr:colOff>
      <xdr:row>274</xdr:row>
      <xdr:rowOff>150159</xdr:rowOff>
    </xdr:from>
    <xdr:to>
      <xdr:col>14</xdr:col>
      <xdr:colOff>34177</xdr:colOff>
      <xdr:row>289</xdr:row>
      <xdr:rowOff>35859</xdr:rowOff>
    </xdr:to>
    <xdr:graphicFrame macro="">
      <xdr:nvGraphicFramePr>
        <xdr:cNvPr id="144" name="Chart 143">
          <a:extLst>
            <a:ext uri="{FF2B5EF4-FFF2-40B4-BE49-F238E27FC236}">
              <a16:creationId xmlns:a16="http://schemas.microsoft.com/office/drawing/2014/main" id="{BB3F644B-056D-4990-9BCB-B89AB6C1B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86284</xdr:colOff>
      <xdr:row>274</xdr:row>
      <xdr:rowOff>148479</xdr:rowOff>
    </xdr:from>
    <xdr:to>
      <xdr:col>5</xdr:col>
      <xdr:colOff>953059</xdr:colOff>
      <xdr:row>289</xdr:row>
      <xdr:rowOff>34179</xdr:rowOff>
    </xdr:to>
    <xdr:graphicFrame macro="">
      <xdr:nvGraphicFramePr>
        <xdr:cNvPr id="145" name="Chart 144">
          <a:extLst>
            <a:ext uri="{FF2B5EF4-FFF2-40B4-BE49-F238E27FC236}">
              <a16:creationId xmlns:a16="http://schemas.microsoft.com/office/drawing/2014/main" id="{FF26E998-A805-4438-A229-D68A63DC6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16249</xdr:colOff>
      <xdr:row>220</xdr:row>
      <xdr:rowOff>22973</xdr:rowOff>
    </xdr:from>
    <xdr:to>
      <xdr:col>8</xdr:col>
      <xdr:colOff>66869</xdr:colOff>
      <xdr:row>231</xdr:row>
      <xdr:rowOff>89647</xdr:rowOff>
    </xdr:to>
    <xdr:grpSp>
      <xdr:nvGrpSpPr>
        <xdr:cNvPr id="147" name="Group 146">
          <a:extLst>
            <a:ext uri="{FF2B5EF4-FFF2-40B4-BE49-F238E27FC236}">
              <a16:creationId xmlns:a16="http://schemas.microsoft.com/office/drawing/2014/main" id="{DB724E3C-BBBF-2B0F-11A3-B4E084A3ED9C}"/>
            </a:ext>
          </a:extLst>
        </xdr:cNvPr>
        <xdr:cNvGrpSpPr/>
      </xdr:nvGrpSpPr>
      <xdr:grpSpPr>
        <a:xfrm>
          <a:off x="6257925" y="43244061"/>
          <a:ext cx="2291797" cy="2162174"/>
          <a:chOff x="2976649" y="724594"/>
          <a:chExt cx="2349731" cy="2041624"/>
        </a:xfrm>
        <a:solidFill>
          <a:schemeClr val="accent1">
            <a:lumMod val="20000"/>
            <a:lumOff val="80000"/>
          </a:schemeClr>
        </a:solidFill>
      </xdr:grpSpPr>
      <xdr:sp macro="" textlink="">
        <xdr:nvSpPr>
          <xdr:cNvPr id="149" name="TextBox 148">
            <a:extLst>
              <a:ext uri="{FF2B5EF4-FFF2-40B4-BE49-F238E27FC236}">
                <a16:creationId xmlns:a16="http://schemas.microsoft.com/office/drawing/2014/main" id="{B0E2FB12-6CFF-0F24-8030-62D4D9F0F03E}"/>
              </a:ext>
            </a:extLst>
          </xdr:cNvPr>
          <xdr:cNvSpPr txBox="1"/>
        </xdr:nvSpPr>
        <xdr:spPr>
          <a:xfrm>
            <a:off x="2976649" y="724594"/>
            <a:ext cx="2349731" cy="2041624"/>
          </a:xfrm>
          <a:prstGeom prst="rect">
            <a:avLst/>
          </a:prstGeom>
          <a:grp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a:p>
            <a:pPr algn="l"/>
            <a:endParaRPr lang="en-US" sz="1100" b="0" i="0" u="none" strike="noStrike" baseline="0">
              <a:solidFill>
                <a:srgbClr val="000000"/>
              </a:solidFill>
              <a:effectLst/>
              <a:latin typeface="Aptos Narrow"/>
              <a:ea typeface="+mn-ea"/>
              <a:cs typeface="+mn-cs"/>
            </a:endParaRPr>
          </a:p>
        </xdr:txBody>
      </xdr:sp>
      <xdr:grpSp>
        <xdr:nvGrpSpPr>
          <xdr:cNvPr id="150" name="Group 149">
            <a:extLst>
              <a:ext uri="{FF2B5EF4-FFF2-40B4-BE49-F238E27FC236}">
                <a16:creationId xmlns:a16="http://schemas.microsoft.com/office/drawing/2014/main" id="{299FBC2C-A608-FD39-BCA4-2F9AFFCA432D}"/>
              </a:ext>
            </a:extLst>
          </xdr:cNvPr>
          <xdr:cNvGrpSpPr/>
        </xdr:nvGrpSpPr>
        <xdr:grpSpPr>
          <a:xfrm>
            <a:off x="3021386" y="784179"/>
            <a:ext cx="2304808" cy="1838135"/>
            <a:chOff x="3021386" y="784179"/>
            <a:chExt cx="2304808" cy="1838135"/>
          </a:xfrm>
          <a:grpFill/>
        </xdr:grpSpPr>
        <xdr:sp macro="" textlink="">
          <xdr:nvSpPr>
            <xdr:cNvPr id="151" name="TextBox 150">
              <a:extLst>
                <a:ext uri="{FF2B5EF4-FFF2-40B4-BE49-F238E27FC236}">
                  <a16:creationId xmlns:a16="http://schemas.microsoft.com/office/drawing/2014/main" id="{B3397CB3-D64F-59A0-8F8D-7D8BEDD8B00C}"/>
                </a:ext>
              </a:extLst>
            </xdr:cNvPr>
            <xdr:cNvSpPr txBox="1"/>
          </xdr:nvSpPr>
          <xdr:spPr>
            <a:xfrm>
              <a:off x="3021386" y="784179"/>
              <a:ext cx="2182950" cy="342207"/>
            </a:xfrm>
            <a:prstGeom prst="rect">
              <a:avLst/>
            </a:prstGeom>
            <a:grp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u="none" strike="noStrike" baseline="0">
                  <a:solidFill>
                    <a:srgbClr val="000000"/>
                  </a:solidFill>
                  <a:effectLst/>
                  <a:latin typeface="Aptos Narrow"/>
                  <a:ea typeface="+mn-ea"/>
                  <a:cs typeface="+mn-cs"/>
                </a:rPr>
                <a:t>Summary Stats: </a:t>
              </a:r>
              <a:r>
                <a:rPr lang="en-US" sz="1600" b="0" i="0" u="none" strike="noStrike" baseline="0">
                  <a:solidFill>
                    <a:srgbClr val="000000"/>
                  </a:solidFill>
                  <a:effectLst/>
                  <a:latin typeface="Aptos Narrow"/>
                  <a:ea typeface="+mn-ea"/>
                  <a:cs typeface="+mn-cs"/>
                </a:rPr>
                <a:t>"Supa"</a:t>
              </a:r>
            </a:p>
          </xdr:txBody>
        </xdr:sp>
        <xdr:sp macro="" textlink="">
          <xdr:nvSpPr>
            <xdr:cNvPr id="152" name="TextBox 151">
              <a:extLst>
                <a:ext uri="{FF2B5EF4-FFF2-40B4-BE49-F238E27FC236}">
                  <a16:creationId xmlns:a16="http://schemas.microsoft.com/office/drawing/2014/main" id="{EEB98284-47F4-9AD2-3F41-6E467A417AB1}"/>
                </a:ext>
              </a:extLst>
            </xdr:cNvPr>
            <xdr:cNvSpPr txBox="1"/>
          </xdr:nvSpPr>
          <xdr:spPr>
            <a:xfrm>
              <a:off x="3022369" y="1720435"/>
              <a:ext cx="1214351" cy="416206"/>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Median Monthly Expenses:</a:t>
              </a:r>
            </a:p>
          </xdr:txBody>
        </xdr:sp>
        <xdr:sp macro="" textlink="">
          <xdr:nvSpPr>
            <xdr:cNvPr id="155" name="TextBox 154">
              <a:extLst>
                <a:ext uri="{FF2B5EF4-FFF2-40B4-BE49-F238E27FC236}">
                  <a16:creationId xmlns:a16="http://schemas.microsoft.com/office/drawing/2014/main" id="{E7AA2FA2-AEC4-F1C4-01C0-0B06217D3C6B}"/>
                </a:ext>
              </a:extLst>
            </xdr:cNvPr>
            <xdr:cNvSpPr txBox="1"/>
          </xdr:nvSpPr>
          <xdr:spPr>
            <a:xfrm>
              <a:off x="3022369" y="1197033"/>
              <a:ext cx="1361241" cy="498905"/>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Average per Purchase: </a:t>
              </a:r>
            </a:p>
          </xdr:txBody>
        </xdr:sp>
        <xdr:sp macro="" textlink="">
          <xdr:nvSpPr>
            <xdr:cNvPr id="156" name="TextBox 155">
              <a:extLst>
                <a:ext uri="{FF2B5EF4-FFF2-40B4-BE49-F238E27FC236}">
                  <a16:creationId xmlns:a16="http://schemas.microsoft.com/office/drawing/2014/main" id="{0C85F983-677D-2101-8109-94A19DED5978}"/>
                </a:ext>
              </a:extLst>
            </xdr:cNvPr>
            <xdr:cNvSpPr txBox="1"/>
          </xdr:nvSpPr>
          <xdr:spPr>
            <a:xfrm>
              <a:off x="4281819" y="1302212"/>
              <a:ext cx="88669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baseline="0">
                  <a:solidFill>
                    <a:srgbClr val="000000"/>
                  </a:solidFill>
                  <a:effectLst/>
                  <a:latin typeface="Aptos Narrow"/>
                  <a:ea typeface="+mn-ea"/>
                  <a:cs typeface="+mn-cs"/>
                </a:rPr>
                <a:t> </a:t>
              </a:r>
              <a:r>
                <a:rPr lang="en-PH" sz="1100" b="0" baseline="0">
                  <a:solidFill>
                    <a:schemeClr val="dk1"/>
                  </a:solidFill>
                  <a:effectLst/>
                  <a:latin typeface="+mn-lt"/>
                  <a:ea typeface="+mn-ea"/>
                  <a:cs typeface="+mn-cs"/>
                </a:rPr>
                <a:t>₱ 93.24</a:t>
              </a:r>
            </a:p>
          </xdr:txBody>
        </xdr:sp>
        <xdr:sp macro="" textlink="">
          <xdr:nvSpPr>
            <xdr:cNvPr id="157" name="TextBox 156">
              <a:extLst>
                <a:ext uri="{FF2B5EF4-FFF2-40B4-BE49-F238E27FC236}">
                  <a16:creationId xmlns:a16="http://schemas.microsoft.com/office/drawing/2014/main" id="{AD731B78-094A-20C1-EC65-BF95A50ED2CD}"/>
                </a:ext>
              </a:extLst>
            </xdr:cNvPr>
            <xdr:cNvSpPr txBox="1"/>
          </xdr:nvSpPr>
          <xdr:spPr>
            <a:xfrm>
              <a:off x="4317583" y="1757785"/>
              <a:ext cx="1008611"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100" b="0" baseline="0">
                  <a:solidFill>
                    <a:schemeClr val="dk1"/>
                  </a:solidFill>
                  <a:effectLst/>
                  <a:latin typeface="+mn-lt"/>
                  <a:ea typeface="+mn-ea"/>
                  <a:cs typeface="+mn-cs"/>
                </a:rPr>
                <a:t>₱ 377</a:t>
              </a:r>
              <a:endParaRPr lang="en-US" sz="1100" b="0" i="0" u="none" strike="noStrike" baseline="0">
                <a:solidFill>
                  <a:srgbClr val="000000"/>
                </a:solidFill>
                <a:effectLst/>
                <a:latin typeface="Aptos Narrow"/>
                <a:ea typeface="+mn-ea"/>
                <a:cs typeface="+mn-cs"/>
              </a:endParaRPr>
            </a:p>
          </xdr:txBody>
        </xdr:sp>
        <xdr:sp macro="" textlink="">
          <xdr:nvSpPr>
            <xdr:cNvPr id="160" name="TextBox 159">
              <a:extLst>
                <a:ext uri="{FF2B5EF4-FFF2-40B4-BE49-F238E27FC236}">
                  <a16:creationId xmlns:a16="http://schemas.microsoft.com/office/drawing/2014/main" id="{EF845B6C-10BC-F719-2887-7BC5703CD3C0}"/>
                </a:ext>
              </a:extLst>
            </xdr:cNvPr>
            <xdr:cNvSpPr txBox="1"/>
          </xdr:nvSpPr>
          <xdr:spPr>
            <a:xfrm>
              <a:off x="3022369" y="2211982"/>
              <a:ext cx="1214351" cy="410332"/>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effectLst/>
                  <a:latin typeface="Aptos Narrow"/>
                  <a:ea typeface="+mn-ea"/>
                  <a:cs typeface="+mn-cs"/>
                </a:rPr>
                <a:t>Median Monthly Purchase Count:</a:t>
              </a:r>
            </a:p>
          </xdr:txBody>
        </xdr:sp>
        <xdr:sp macro="" textlink="">
          <xdr:nvSpPr>
            <xdr:cNvPr id="161" name="TextBox 160">
              <a:extLst>
                <a:ext uri="{FF2B5EF4-FFF2-40B4-BE49-F238E27FC236}">
                  <a16:creationId xmlns:a16="http://schemas.microsoft.com/office/drawing/2014/main" id="{DD3D9B7A-29DF-3098-4423-8768B781754B}"/>
                </a:ext>
              </a:extLst>
            </xdr:cNvPr>
            <xdr:cNvSpPr txBox="1"/>
          </xdr:nvSpPr>
          <xdr:spPr>
            <a:xfrm>
              <a:off x="4405517" y="2258328"/>
              <a:ext cx="622949" cy="326967"/>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100" b="0" baseline="0">
                  <a:solidFill>
                    <a:schemeClr val="dk1"/>
                  </a:solidFill>
                  <a:effectLst/>
                  <a:latin typeface="+mn-lt"/>
                  <a:ea typeface="+mn-ea"/>
                  <a:cs typeface="+mn-cs"/>
                </a:rPr>
                <a:t>4</a:t>
              </a:r>
              <a:endParaRPr lang="en-US" sz="1100" b="0" i="0" u="none" strike="noStrike" baseline="0">
                <a:solidFill>
                  <a:srgbClr val="000000"/>
                </a:solidFill>
                <a:effectLst/>
                <a:latin typeface="Aptos Narrow"/>
                <a:ea typeface="+mn-ea"/>
                <a:cs typeface="+mn-cs"/>
              </a:endParaRPr>
            </a:p>
          </xdr:txBody>
        </xdr:sp>
      </xdr:grpSp>
    </xdr:grpSp>
    <xdr:clientData/>
  </xdr:twoCellAnchor>
  <xdr:twoCellAnchor>
    <xdr:from>
      <xdr:col>8</xdr:col>
      <xdr:colOff>332817</xdr:colOff>
      <xdr:row>220</xdr:row>
      <xdr:rowOff>14008</xdr:rowOff>
    </xdr:from>
    <xdr:to>
      <xdr:col>16</xdr:col>
      <xdr:colOff>313767</xdr:colOff>
      <xdr:row>233</xdr:row>
      <xdr:rowOff>67235</xdr:rowOff>
    </xdr:to>
    <xdr:sp macro="" textlink="">
      <xdr:nvSpPr>
        <xdr:cNvPr id="162" name="TextBox 161">
          <a:extLst>
            <a:ext uri="{FF2B5EF4-FFF2-40B4-BE49-F238E27FC236}">
              <a16:creationId xmlns:a16="http://schemas.microsoft.com/office/drawing/2014/main" id="{FF088784-AAC7-426A-9744-5DADE03D2EF0}"/>
            </a:ext>
          </a:extLst>
        </xdr:cNvPr>
        <xdr:cNvSpPr txBox="1"/>
      </xdr:nvSpPr>
      <xdr:spPr>
        <a:xfrm>
          <a:off x="8815670" y="43235096"/>
          <a:ext cx="4821891" cy="2529727"/>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a:t>
          </a:r>
          <a:endParaRPr lang="en-PH" sz="1200" b="1"/>
        </a:p>
        <a:p>
          <a:r>
            <a:rPr lang="en-PH" sz="1200" b="1" baseline="0">
              <a:solidFill>
                <a:schemeClr val="dk1"/>
              </a:solidFill>
              <a:effectLst/>
              <a:latin typeface="+mn-lt"/>
              <a:ea typeface="+mn-ea"/>
              <a:cs typeface="+mn-cs"/>
            </a:rPr>
            <a:t>1. Average per purchase amount is ₱93.24.</a:t>
          </a:r>
          <a:endParaRPr lang="en-PH" sz="1200" b="1"/>
        </a:p>
        <a:p>
          <a:r>
            <a:rPr lang="en-PH" sz="1100" b="0"/>
            <a:t>    - Spends</a:t>
          </a:r>
          <a:r>
            <a:rPr lang="en-PH" sz="1100" b="0" baseline="0"/>
            <a:t> around </a:t>
          </a:r>
          <a:r>
            <a:rPr lang="en-PH" sz="1100" b="0" baseline="0">
              <a:solidFill>
                <a:schemeClr val="dk1"/>
              </a:solidFill>
              <a:effectLst/>
              <a:latin typeface="+mn-lt"/>
              <a:ea typeface="+mn-ea"/>
              <a:cs typeface="+mn-cs"/>
            </a:rPr>
            <a:t>₱93.24 each time "Supa" is purchased.</a:t>
          </a:r>
          <a:br>
            <a:rPr lang="en-PH" sz="1100" b="0" baseline="0"/>
          </a:br>
          <a:endParaRPr lang="en-PH" sz="1100" b="0"/>
        </a:p>
        <a:p>
          <a:r>
            <a:rPr lang="en-PH" sz="1200" b="1"/>
            <a:t>2. Median</a:t>
          </a:r>
          <a:r>
            <a:rPr lang="en-PH" sz="1200" b="1" baseline="0"/>
            <a:t> m</a:t>
          </a:r>
          <a:r>
            <a:rPr lang="en-PH" sz="1200" b="1"/>
            <a:t>onthly expenses is </a:t>
          </a:r>
          <a:r>
            <a:rPr lang="en-PH" sz="1200" b="1" baseline="0">
              <a:solidFill>
                <a:schemeClr val="dk1"/>
              </a:solidFill>
              <a:effectLst/>
              <a:latin typeface="+mn-lt"/>
              <a:ea typeface="+mn-ea"/>
              <a:cs typeface="+mn-cs"/>
            </a:rPr>
            <a:t>₱377</a:t>
          </a:r>
          <a:r>
            <a:rPr lang="en-PH" sz="1200" b="1" baseline="0"/>
            <a:t>.</a:t>
          </a:r>
          <a:endParaRPr lang="en-PH" sz="1200" b="1"/>
        </a:p>
        <a:p>
          <a:r>
            <a:rPr lang="en-PH" sz="1100" b="0" baseline="0">
              <a:solidFill>
                <a:schemeClr val="dk1"/>
              </a:solidFill>
              <a:effectLst/>
              <a:latin typeface="+mn-lt"/>
              <a:ea typeface="+mn-ea"/>
              <a:cs typeface="+mn-cs"/>
            </a:rPr>
            <a:t>    - Because of skewed distribution, median is more reliable to use than mean.</a:t>
          </a:r>
        </a:p>
        <a:p>
          <a:r>
            <a:rPr lang="en-PH" sz="1100" b="0" baseline="0">
              <a:solidFill>
                <a:schemeClr val="dk1"/>
              </a:solidFill>
              <a:effectLst/>
              <a:latin typeface="+mn-lt"/>
              <a:ea typeface="+mn-ea"/>
              <a:cs typeface="+mn-cs"/>
            </a:rPr>
            <a:t>    - Typically spends around ₱377 monthly on "Supa"</a:t>
          </a:r>
        </a:p>
        <a:p>
          <a:endParaRPr lang="en-PH" sz="1100" b="0" baseline="0">
            <a:solidFill>
              <a:schemeClr val="dk1"/>
            </a:solidFill>
            <a:effectLst/>
            <a:latin typeface="+mn-lt"/>
            <a:ea typeface="+mn-ea"/>
            <a:cs typeface="+mn-cs"/>
          </a:endParaRPr>
        </a:p>
        <a:p>
          <a:r>
            <a:rPr lang="en-PH" sz="1200" b="1" baseline="0">
              <a:solidFill>
                <a:schemeClr val="dk1"/>
              </a:solidFill>
              <a:effectLst/>
              <a:latin typeface="+mn-lt"/>
              <a:ea typeface="+mn-ea"/>
              <a:cs typeface="+mn-cs"/>
            </a:rPr>
            <a:t>3. Median monthly purchase count is 4.</a:t>
          </a:r>
          <a:endParaRPr lang="en-PH" sz="1050" b="1" baseline="0">
            <a:solidFill>
              <a:schemeClr val="dk1"/>
            </a:solidFill>
            <a:effectLst/>
            <a:latin typeface="+mn-lt"/>
            <a:ea typeface="+mn-ea"/>
            <a:cs typeface="+mn-cs"/>
          </a:endParaRPr>
        </a:p>
        <a:p>
          <a:r>
            <a:rPr lang="en-PH" sz="1100" b="0" baseline="0">
              <a:solidFill>
                <a:schemeClr val="dk1"/>
              </a:solidFill>
              <a:effectLst/>
              <a:latin typeface="+mn-lt"/>
              <a:ea typeface="+mn-ea"/>
              <a:cs typeface="+mn-cs"/>
            </a:rPr>
            <a:t>    - Typically purchases 4 times every month.</a:t>
          </a:r>
        </a:p>
        <a:p>
          <a:r>
            <a:rPr lang="en-PH" sz="1100" b="0" baseline="0">
              <a:solidFill>
                <a:schemeClr val="dk1"/>
              </a:solidFill>
              <a:effectLst/>
              <a:latin typeface="+mn-lt"/>
              <a:ea typeface="+mn-ea"/>
              <a:cs typeface="+mn-cs"/>
            </a:rPr>
            <a:t>    - </a:t>
          </a:r>
          <a:r>
            <a:rPr lang="en-PH" sz="1100" b="0" i="1" baseline="0">
              <a:solidFill>
                <a:schemeClr val="dk1"/>
              </a:solidFill>
              <a:effectLst/>
              <a:latin typeface="+mn-lt"/>
              <a:ea typeface="+mn-ea"/>
              <a:cs typeface="+mn-cs"/>
            </a:rPr>
            <a:t>This could mean</a:t>
          </a:r>
          <a:r>
            <a:rPr lang="en-PH" sz="1100" b="0" baseline="0">
              <a:solidFill>
                <a:schemeClr val="dk1"/>
              </a:solidFill>
              <a:effectLst/>
              <a:latin typeface="+mn-lt"/>
              <a:ea typeface="+mn-ea"/>
              <a:cs typeface="+mn-cs"/>
            </a:rPr>
            <a:t>:</a:t>
          </a:r>
          <a:endParaRPr lang="en-PH">
            <a:effectLst/>
          </a:endParaRPr>
        </a:p>
        <a:p>
          <a:r>
            <a:rPr lang="en-PH" sz="1100" b="0" baseline="0">
              <a:solidFill>
                <a:schemeClr val="dk1"/>
              </a:solidFill>
              <a:effectLst/>
              <a:latin typeface="+mn-lt"/>
              <a:ea typeface="+mn-ea"/>
              <a:cs typeface="+mn-cs"/>
            </a:rPr>
            <a:t>        - </a:t>
          </a:r>
          <a:r>
            <a:rPr lang="en-PH" sz="1100" b="1" baseline="0">
              <a:solidFill>
                <a:schemeClr val="dk1"/>
              </a:solidFill>
              <a:effectLst/>
              <a:latin typeface="+mn-lt"/>
              <a:ea typeface="+mn-ea"/>
              <a:cs typeface="+mn-cs"/>
            </a:rPr>
            <a:t>Monthly, total expenses of "Supa" is around ₱372.96.</a:t>
          </a:r>
        </a:p>
        <a:p>
          <a:pPr marL="0" marR="0" lvl="0" indent="0" defTabSz="914400" eaLnBrk="1" fontAlgn="auto" latinLnBrk="0" hangingPunct="1">
            <a:lnSpc>
              <a:spcPct val="100000"/>
            </a:lnSpc>
            <a:spcBef>
              <a:spcPts val="0"/>
            </a:spcBef>
            <a:spcAft>
              <a:spcPts val="0"/>
            </a:spcAft>
            <a:buClrTx/>
            <a:buSzTx/>
            <a:buFontTx/>
            <a:buNone/>
            <a:tabLst/>
            <a:defRPr/>
          </a:pPr>
          <a:r>
            <a:rPr lang="en-PH" sz="1100" b="0" baseline="0">
              <a:solidFill>
                <a:schemeClr val="dk1"/>
              </a:solidFill>
              <a:effectLst/>
              <a:latin typeface="+mn-lt"/>
              <a:ea typeface="+mn-ea"/>
              <a:cs typeface="+mn-cs"/>
            </a:rPr>
            <a:t>        - This approximately close to the median monthly expenses of ₱377.</a:t>
          </a:r>
          <a:endParaRPr lang="en-PH" b="0">
            <a:effectLst/>
          </a:endParaRPr>
        </a:p>
        <a:p>
          <a:endParaRPr lang="en-PH" sz="1100" b="0" baseline="0">
            <a:solidFill>
              <a:schemeClr val="dk1"/>
            </a:solidFill>
            <a:effectLst/>
            <a:latin typeface="+mn-lt"/>
            <a:ea typeface="+mn-ea"/>
            <a:cs typeface="+mn-cs"/>
          </a:endParaRPr>
        </a:p>
      </xdr:txBody>
    </xdr:sp>
    <xdr:clientData/>
  </xdr:twoCellAnchor>
  <xdr:twoCellAnchor>
    <xdr:from>
      <xdr:col>0</xdr:col>
      <xdr:colOff>112059</xdr:colOff>
      <xdr:row>252</xdr:row>
      <xdr:rowOff>179295</xdr:rowOff>
    </xdr:from>
    <xdr:to>
      <xdr:col>9</xdr:col>
      <xdr:colOff>593351</xdr:colOff>
      <xdr:row>260</xdr:row>
      <xdr:rowOff>179294</xdr:rowOff>
    </xdr:to>
    <xdr:sp macro="" textlink="">
      <xdr:nvSpPr>
        <xdr:cNvPr id="164" name="TextBox 163">
          <a:extLst>
            <a:ext uri="{FF2B5EF4-FFF2-40B4-BE49-F238E27FC236}">
              <a16:creationId xmlns:a16="http://schemas.microsoft.com/office/drawing/2014/main" id="{420D03C2-AE29-4F97-B85F-E4465456D865}"/>
            </a:ext>
          </a:extLst>
        </xdr:cNvPr>
        <xdr:cNvSpPr txBox="1"/>
      </xdr:nvSpPr>
      <xdr:spPr>
        <a:xfrm>
          <a:off x="112059" y="49462766"/>
          <a:ext cx="9569263" cy="1523999"/>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baseline="0"/>
            <a:t>January 2024 and June 2024 have the highest "Supa" total monthly expenses.</a:t>
          </a:r>
        </a:p>
        <a:p>
          <a:r>
            <a:rPr lang="en-PH" sz="1100" b="0" baseline="0">
              <a:solidFill>
                <a:schemeClr val="dk1"/>
              </a:solidFill>
              <a:effectLst/>
              <a:latin typeface="+mn-lt"/>
              <a:ea typeface="+mn-ea"/>
              <a:cs typeface="+mn-cs"/>
            </a:rPr>
            <a:t>    - </a:t>
          </a:r>
          <a:r>
            <a:rPr lang="en-PH" sz="1100" b="0" i="1" baseline="0">
              <a:solidFill>
                <a:schemeClr val="dk1"/>
              </a:solidFill>
              <a:effectLst/>
              <a:latin typeface="+mn-lt"/>
              <a:ea typeface="+mn-ea"/>
              <a:cs typeface="+mn-cs"/>
            </a:rPr>
            <a:t>Since</a:t>
          </a:r>
          <a:r>
            <a:rPr lang="en-PH" sz="1100" b="0" baseline="0">
              <a:solidFill>
                <a:schemeClr val="dk1"/>
              </a:solidFill>
              <a:effectLst/>
              <a:latin typeface="+mn-lt"/>
              <a:ea typeface="+mn-ea"/>
              <a:cs typeface="+mn-cs"/>
            </a:rPr>
            <a:t>:</a:t>
          </a:r>
          <a:endParaRPr lang="en-PH" sz="1100" b="1" baseline="0"/>
        </a:p>
        <a:p>
          <a:r>
            <a:rPr lang="en-PH" sz="1100" baseline="0"/>
            <a:t>        - A</a:t>
          </a:r>
          <a:r>
            <a:rPr lang="en-PH" sz="1100" b="0" baseline="0">
              <a:solidFill>
                <a:schemeClr val="dk1"/>
              </a:solidFill>
              <a:effectLst/>
              <a:latin typeface="+mn-lt"/>
              <a:ea typeface="+mn-ea"/>
              <a:cs typeface="+mn-cs"/>
            </a:rPr>
            <a:t>verage per purchase on </a:t>
          </a:r>
          <a:r>
            <a:rPr lang="en-PH" sz="1100" baseline="0"/>
            <a:t>Jan. 24 have </a:t>
          </a:r>
          <a:r>
            <a:rPr lang="en-PH" sz="1100" b="0" baseline="0">
              <a:solidFill>
                <a:schemeClr val="dk1"/>
              </a:solidFill>
              <a:effectLst/>
              <a:latin typeface="+mn-lt"/>
              <a:ea typeface="+mn-ea"/>
              <a:cs typeface="+mn-cs"/>
            </a:rPr>
            <a:t>₱</a:t>
          </a:r>
          <a:r>
            <a:rPr lang="en-PH" sz="1100" baseline="0"/>
            <a:t>98.08, while Jun 24 have </a:t>
          </a:r>
          <a:r>
            <a:rPr lang="en-PH" sz="1100" b="0" baseline="0">
              <a:solidFill>
                <a:schemeClr val="dk1"/>
              </a:solidFill>
              <a:effectLst/>
              <a:latin typeface="+mn-lt"/>
              <a:ea typeface="+mn-ea"/>
              <a:cs typeface="+mn-cs"/>
            </a:rPr>
            <a:t>₱80.36.</a:t>
          </a:r>
          <a:endParaRPr lang="en-PH" sz="1100" baseline="0"/>
        </a:p>
        <a:p>
          <a:r>
            <a:rPr lang="en-PH" sz="1100" baseline="0"/>
            <a:t>        - These months also have the highest purchase count of 13 and 14 purchases.</a:t>
          </a:r>
        </a:p>
        <a:p>
          <a:r>
            <a:rPr lang="en-PH" sz="1100" baseline="0"/>
            <a:t>    - "Supa" have little expense amount, but purchased many times in single months.</a:t>
          </a:r>
        </a:p>
        <a:p>
          <a:r>
            <a:rPr lang="en-PH" sz="1100" baseline="0"/>
            <a:t>    - </a:t>
          </a:r>
          <a:r>
            <a:rPr lang="en-PH" sz="1100" b="1" baseline="0"/>
            <a:t>Behaves like creeping expenses -- little amount per purchase but has higher total expenses than expected.</a:t>
          </a:r>
        </a:p>
      </xdr:txBody>
    </xdr:sp>
    <xdr:clientData/>
  </xdr:twoCellAnchor>
  <xdr:twoCellAnchor>
    <xdr:from>
      <xdr:col>0</xdr:col>
      <xdr:colOff>121584</xdr:colOff>
      <xdr:row>237</xdr:row>
      <xdr:rowOff>10086</xdr:rowOff>
    </xdr:from>
    <xdr:to>
      <xdr:col>5</xdr:col>
      <xdr:colOff>988359</xdr:colOff>
      <xdr:row>251</xdr:row>
      <xdr:rowOff>161886</xdr:rowOff>
    </xdr:to>
    <xdr:grpSp>
      <xdr:nvGrpSpPr>
        <xdr:cNvPr id="167" name="Group 166">
          <a:extLst>
            <a:ext uri="{FF2B5EF4-FFF2-40B4-BE49-F238E27FC236}">
              <a16:creationId xmlns:a16="http://schemas.microsoft.com/office/drawing/2014/main" id="{0BBE43B6-3BFF-DCBA-9F99-0DA77E754D23}"/>
            </a:ext>
          </a:extLst>
        </xdr:cNvPr>
        <xdr:cNvGrpSpPr/>
      </xdr:nvGrpSpPr>
      <xdr:grpSpPr>
        <a:xfrm>
          <a:off x="121584" y="46469674"/>
          <a:ext cx="5943040" cy="2818800"/>
          <a:chOff x="155202" y="45842145"/>
          <a:chExt cx="5943040" cy="2818800"/>
        </a:xfrm>
      </xdr:grpSpPr>
      <xdr:graphicFrame macro="">
        <xdr:nvGraphicFramePr>
          <xdr:cNvPr id="140" name="Chart 139">
            <a:extLst>
              <a:ext uri="{FF2B5EF4-FFF2-40B4-BE49-F238E27FC236}">
                <a16:creationId xmlns:a16="http://schemas.microsoft.com/office/drawing/2014/main" id="{CA3E108F-73B2-4628-BA04-95506CD017B1}"/>
              </a:ext>
            </a:extLst>
          </xdr:cNvPr>
          <xdr:cNvGraphicFramePr>
            <a:graphicFrameLocks/>
          </xdr:cNvGraphicFramePr>
        </xdr:nvGraphicFramePr>
        <xdr:xfrm>
          <a:off x="155202" y="45842145"/>
          <a:ext cx="5943040" cy="2818800"/>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165" name="Oval 164">
            <a:extLst>
              <a:ext uri="{FF2B5EF4-FFF2-40B4-BE49-F238E27FC236}">
                <a16:creationId xmlns:a16="http://schemas.microsoft.com/office/drawing/2014/main" id="{2AA72629-14F1-27F8-41D4-7A51BA3B11E3}"/>
              </a:ext>
            </a:extLst>
          </xdr:cNvPr>
          <xdr:cNvSpPr/>
        </xdr:nvSpPr>
        <xdr:spPr>
          <a:xfrm>
            <a:off x="1692088" y="48140470"/>
            <a:ext cx="437030" cy="224118"/>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66" name="Oval 165">
            <a:extLst>
              <a:ext uri="{FF2B5EF4-FFF2-40B4-BE49-F238E27FC236}">
                <a16:creationId xmlns:a16="http://schemas.microsoft.com/office/drawing/2014/main" id="{725325FF-60CD-A812-19A1-BD61013C51FA}"/>
              </a:ext>
            </a:extLst>
          </xdr:cNvPr>
          <xdr:cNvSpPr/>
        </xdr:nvSpPr>
        <xdr:spPr>
          <a:xfrm>
            <a:off x="3816723" y="48135988"/>
            <a:ext cx="437030" cy="224118"/>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5</xdr:col>
      <xdr:colOff>1125069</xdr:colOff>
      <xdr:row>237</xdr:row>
      <xdr:rowOff>19611</xdr:rowOff>
    </xdr:from>
    <xdr:to>
      <xdr:col>14</xdr:col>
      <xdr:colOff>7283</xdr:colOff>
      <xdr:row>251</xdr:row>
      <xdr:rowOff>172011</xdr:rowOff>
    </xdr:to>
    <xdr:grpSp>
      <xdr:nvGrpSpPr>
        <xdr:cNvPr id="170" name="Group 169">
          <a:extLst>
            <a:ext uri="{FF2B5EF4-FFF2-40B4-BE49-F238E27FC236}">
              <a16:creationId xmlns:a16="http://schemas.microsoft.com/office/drawing/2014/main" id="{71A76275-8FB3-132E-121E-ACEF76E50B9E}"/>
            </a:ext>
          </a:extLst>
        </xdr:cNvPr>
        <xdr:cNvGrpSpPr/>
      </xdr:nvGrpSpPr>
      <xdr:grpSpPr>
        <a:xfrm>
          <a:off x="6201334" y="46479199"/>
          <a:ext cx="5919508" cy="2819400"/>
          <a:chOff x="6234952" y="45851670"/>
          <a:chExt cx="5919508" cy="2819400"/>
        </a:xfrm>
      </xdr:grpSpPr>
      <xdr:graphicFrame macro="">
        <xdr:nvGraphicFramePr>
          <xdr:cNvPr id="141" name="Chart 140">
            <a:extLst>
              <a:ext uri="{FF2B5EF4-FFF2-40B4-BE49-F238E27FC236}">
                <a16:creationId xmlns:a16="http://schemas.microsoft.com/office/drawing/2014/main" id="{EB244F4B-E1CD-4EA4-834E-BC236557B43F}"/>
              </a:ext>
            </a:extLst>
          </xdr:cNvPr>
          <xdr:cNvGraphicFramePr>
            <a:graphicFrameLocks/>
          </xdr:cNvGraphicFramePr>
        </xdr:nvGraphicFramePr>
        <xdr:xfrm>
          <a:off x="6234952" y="45851670"/>
          <a:ext cx="5919508" cy="2819400"/>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168" name="Oval 167">
            <a:extLst>
              <a:ext uri="{FF2B5EF4-FFF2-40B4-BE49-F238E27FC236}">
                <a16:creationId xmlns:a16="http://schemas.microsoft.com/office/drawing/2014/main" id="{5A2D49F3-A467-4EE8-B9B9-440913E4C550}"/>
              </a:ext>
            </a:extLst>
          </xdr:cNvPr>
          <xdr:cNvSpPr/>
        </xdr:nvSpPr>
        <xdr:spPr>
          <a:xfrm>
            <a:off x="7676029" y="48144953"/>
            <a:ext cx="437030" cy="224118"/>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69" name="Oval 168">
            <a:extLst>
              <a:ext uri="{FF2B5EF4-FFF2-40B4-BE49-F238E27FC236}">
                <a16:creationId xmlns:a16="http://schemas.microsoft.com/office/drawing/2014/main" id="{F4916B3E-0B5C-42E6-B95D-E66514CC933D}"/>
              </a:ext>
            </a:extLst>
          </xdr:cNvPr>
          <xdr:cNvSpPr/>
        </xdr:nvSpPr>
        <xdr:spPr>
          <a:xfrm>
            <a:off x="9834282" y="48151677"/>
            <a:ext cx="437030" cy="224118"/>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100853</xdr:colOff>
      <xdr:row>220</xdr:row>
      <xdr:rowOff>11206</xdr:rowOff>
    </xdr:from>
    <xdr:to>
      <xdr:col>5</xdr:col>
      <xdr:colOff>967628</xdr:colOff>
      <xdr:row>234</xdr:row>
      <xdr:rowOff>87406</xdr:rowOff>
    </xdr:to>
    <xdr:graphicFrame macro="">
      <xdr:nvGraphicFramePr>
        <xdr:cNvPr id="171" name="Chart 170">
          <a:extLst>
            <a:ext uri="{FF2B5EF4-FFF2-40B4-BE49-F238E27FC236}">
              <a16:creationId xmlns:a16="http://schemas.microsoft.com/office/drawing/2014/main" id="{C30FF3C0-F2CF-41C1-8D34-E0145F217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113739</xdr:colOff>
      <xdr:row>262</xdr:row>
      <xdr:rowOff>43143</xdr:rowOff>
    </xdr:from>
    <xdr:to>
      <xdr:col>9</xdr:col>
      <xdr:colOff>595031</xdr:colOff>
      <xdr:row>268</xdr:row>
      <xdr:rowOff>156882</xdr:rowOff>
    </xdr:to>
    <xdr:sp macro="" textlink="">
      <xdr:nvSpPr>
        <xdr:cNvPr id="181" name="TextBox 180">
          <a:extLst>
            <a:ext uri="{FF2B5EF4-FFF2-40B4-BE49-F238E27FC236}">
              <a16:creationId xmlns:a16="http://schemas.microsoft.com/office/drawing/2014/main" id="{8DBECEE1-1F3E-5AE2-433F-DD7B8504DF29}"/>
            </a:ext>
          </a:extLst>
        </xdr:cNvPr>
        <xdr:cNvSpPr txBox="1"/>
      </xdr:nvSpPr>
      <xdr:spPr>
        <a:xfrm>
          <a:off x="113739" y="51231614"/>
          <a:ext cx="9569263" cy="1256739"/>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baseline="0"/>
            <a:t>Conclusion:</a:t>
          </a:r>
          <a:endParaRPr lang="en-PH" sz="1100" b="1" baseline="0"/>
        </a:p>
        <a:p>
          <a:r>
            <a:rPr lang="en-PH" sz="1100" baseline="0"/>
            <a:t>- </a:t>
          </a:r>
          <a:r>
            <a:rPr lang="en-PH" sz="1100" b="1" baseline="0">
              <a:solidFill>
                <a:schemeClr val="dk1"/>
              </a:solidFill>
              <a:effectLst/>
              <a:latin typeface="+mn-lt"/>
              <a:ea typeface="+mn-ea"/>
              <a:cs typeface="+mn-cs"/>
            </a:rPr>
            <a:t>Average per purchase amount:</a:t>
          </a:r>
          <a:r>
            <a:rPr lang="en-PH" sz="1100" b="0" baseline="0">
              <a:solidFill>
                <a:schemeClr val="dk1"/>
              </a:solidFill>
              <a:effectLst/>
              <a:latin typeface="+mn-lt"/>
              <a:ea typeface="+mn-ea"/>
              <a:cs typeface="+mn-cs"/>
            </a:rPr>
            <a:t> ₱93.24</a:t>
          </a:r>
        </a:p>
        <a:p>
          <a:pPr marL="0" marR="0" lvl="0" indent="0" defTabSz="914400" eaLnBrk="1" fontAlgn="auto" latinLnBrk="0" hangingPunct="1">
            <a:lnSpc>
              <a:spcPct val="100000"/>
            </a:lnSpc>
            <a:spcBef>
              <a:spcPts val="0"/>
            </a:spcBef>
            <a:spcAft>
              <a:spcPts val="0"/>
            </a:spcAft>
            <a:buClrTx/>
            <a:buSzTx/>
            <a:buFontTx/>
            <a:buNone/>
            <a:tabLst/>
            <a:defRPr/>
          </a:pPr>
          <a:r>
            <a:rPr lang="en-PH" sz="1100" b="0" baseline="0">
              <a:solidFill>
                <a:schemeClr val="dk1"/>
              </a:solidFill>
              <a:effectLst/>
              <a:latin typeface="+mn-lt"/>
              <a:ea typeface="+mn-ea"/>
              <a:cs typeface="+mn-cs"/>
            </a:rPr>
            <a:t>- </a:t>
          </a:r>
          <a:r>
            <a:rPr lang="en-PH" sz="1100" b="1">
              <a:solidFill>
                <a:schemeClr val="dk1"/>
              </a:solidFill>
              <a:effectLst/>
              <a:latin typeface="+mn-lt"/>
              <a:ea typeface="+mn-ea"/>
              <a:cs typeface="+mn-cs"/>
            </a:rPr>
            <a:t>Median</a:t>
          </a:r>
          <a:r>
            <a:rPr lang="en-PH" sz="1100" b="1" baseline="0">
              <a:solidFill>
                <a:schemeClr val="dk1"/>
              </a:solidFill>
              <a:effectLst/>
              <a:latin typeface="+mn-lt"/>
              <a:ea typeface="+mn-ea"/>
              <a:cs typeface="+mn-cs"/>
            </a:rPr>
            <a:t> m</a:t>
          </a:r>
          <a:r>
            <a:rPr lang="en-PH" sz="1100" b="1">
              <a:solidFill>
                <a:schemeClr val="dk1"/>
              </a:solidFill>
              <a:effectLst/>
              <a:latin typeface="+mn-lt"/>
              <a:ea typeface="+mn-ea"/>
              <a:cs typeface="+mn-cs"/>
            </a:rPr>
            <a:t>onthly expenses:</a:t>
          </a:r>
          <a:r>
            <a:rPr lang="en-PH" sz="1100" b="0">
              <a:solidFill>
                <a:schemeClr val="dk1"/>
              </a:solidFill>
              <a:effectLst/>
              <a:latin typeface="+mn-lt"/>
              <a:ea typeface="+mn-ea"/>
              <a:cs typeface="+mn-cs"/>
            </a:rPr>
            <a:t> </a:t>
          </a:r>
          <a:r>
            <a:rPr lang="en-PH" sz="1100" b="0" baseline="0">
              <a:solidFill>
                <a:schemeClr val="dk1"/>
              </a:solidFill>
              <a:effectLst/>
              <a:latin typeface="+mn-lt"/>
              <a:ea typeface="+mn-ea"/>
              <a:cs typeface="+mn-cs"/>
            </a:rPr>
            <a:t>₱377</a:t>
          </a:r>
          <a:endParaRPr lang="en-PH"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PH" sz="1100" b="0" baseline="0"/>
            <a:t>- </a:t>
          </a:r>
          <a:r>
            <a:rPr lang="en-PH" sz="1100" b="1" baseline="0">
              <a:solidFill>
                <a:schemeClr val="dk1"/>
              </a:solidFill>
              <a:effectLst/>
              <a:latin typeface="+mn-lt"/>
              <a:ea typeface="+mn-ea"/>
              <a:cs typeface="+mn-cs"/>
            </a:rPr>
            <a:t>Median monthly purchase count: </a:t>
          </a:r>
          <a:r>
            <a:rPr lang="en-PH" sz="1100" b="0" baseline="0">
              <a:solidFill>
                <a:schemeClr val="dk1"/>
              </a:solidFill>
              <a:effectLst/>
              <a:latin typeface="+mn-lt"/>
              <a:ea typeface="+mn-ea"/>
              <a:cs typeface="+mn-cs"/>
            </a:rPr>
            <a:t>4</a:t>
          </a:r>
          <a:endParaRPr lang="en-PH"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PH" sz="1100" b="0" baseline="0"/>
            <a:t>- </a:t>
          </a:r>
          <a:r>
            <a:rPr lang="en-PH" sz="1100" b="1" baseline="0">
              <a:solidFill>
                <a:schemeClr val="dk1"/>
              </a:solidFill>
              <a:effectLst/>
              <a:latin typeface="+mn-lt"/>
              <a:ea typeface="+mn-ea"/>
              <a:cs typeface="+mn-cs"/>
            </a:rPr>
            <a:t>"Supa" behaves like creeping expenses </a:t>
          </a:r>
          <a:r>
            <a:rPr lang="en-PH" sz="1100" b="0" baseline="0">
              <a:solidFill>
                <a:schemeClr val="dk1"/>
              </a:solidFill>
              <a:effectLst/>
              <a:latin typeface="+mn-lt"/>
              <a:ea typeface="+mn-ea"/>
              <a:cs typeface="+mn-cs"/>
            </a:rPr>
            <a:t>(little amount per purchase but has higher total expenses than expected)</a:t>
          </a:r>
          <a:r>
            <a:rPr lang="en-PH" sz="1100" b="1" baseline="0">
              <a:solidFill>
                <a:schemeClr val="dk1"/>
              </a:solidFill>
              <a:effectLst/>
              <a:latin typeface="+mn-lt"/>
              <a:ea typeface="+mn-ea"/>
              <a:cs typeface="+mn-cs"/>
            </a:rPr>
            <a:t>.</a:t>
          </a:r>
        </a:p>
      </xdr:txBody>
    </xdr:sp>
    <xdr:clientData/>
  </xdr:twoCellAnchor>
  <xdr:twoCellAnchor>
    <xdr:from>
      <xdr:col>6</xdr:col>
      <xdr:colOff>11207</xdr:colOff>
      <xdr:row>309</xdr:row>
      <xdr:rowOff>123265</xdr:rowOff>
    </xdr:from>
    <xdr:to>
      <xdr:col>14</xdr:col>
      <xdr:colOff>100854</xdr:colOff>
      <xdr:row>320</xdr:row>
      <xdr:rowOff>67236</xdr:rowOff>
    </xdr:to>
    <xdr:sp macro="" textlink="">
      <xdr:nvSpPr>
        <xdr:cNvPr id="183" name="TextBox 182">
          <a:extLst>
            <a:ext uri="{FF2B5EF4-FFF2-40B4-BE49-F238E27FC236}">
              <a16:creationId xmlns:a16="http://schemas.microsoft.com/office/drawing/2014/main" id="{0FCB9E1C-D2DD-4455-92E2-B0190D0FDBBC}"/>
            </a:ext>
          </a:extLst>
        </xdr:cNvPr>
        <xdr:cNvSpPr txBox="1"/>
      </xdr:nvSpPr>
      <xdr:spPr>
        <a:xfrm>
          <a:off x="6252883" y="60590206"/>
          <a:ext cx="5961530" cy="2039471"/>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baseline="0"/>
            <a:t>In 3-month average smoothing, monthly "Supa" expenses have decreasing trend.</a:t>
          </a:r>
          <a:endParaRPr lang="en-PH" sz="1100" b="1" baseline="0"/>
        </a:p>
        <a:p>
          <a:r>
            <a:rPr lang="en-PH" sz="1100" baseline="0"/>
            <a:t>    - Denoising the variability of monthly expenses by getting month-to-month average.</a:t>
          </a:r>
        </a:p>
        <a:p>
          <a:r>
            <a:rPr lang="en-PH" sz="1100" baseline="0"/>
            <a:t>    - </a:t>
          </a:r>
          <a:r>
            <a:rPr lang="en-PH" sz="1100" b="1" baseline="0"/>
            <a:t>The trend is going down, signifying decreasing "Supa" spending over time.</a:t>
          </a:r>
        </a:p>
        <a:p>
          <a:r>
            <a:rPr lang="en-PH" sz="1100" baseline="0"/>
            <a:t>    - Peaked on June and July, then keep decreasing until October.</a:t>
          </a:r>
        </a:p>
        <a:p>
          <a:endParaRPr lang="en-PH" sz="1100" baseline="0"/>
        </a:p>
        <a:p>
          <a:r>
            <a:rPr lang="en-PH" sz="1400" b="1" baseline="0"/>
            <a:t>Conclusion:</a:t>
          </a:r>
          <a:endParaRPr lang="en-PH" sz="1100" b="1" baseline="0"/>
        </a:p>
        <a:p>
          <a:pPr marL="0" marR="0" lvl="0" indent="0" defTabSz="914400" eaLnBrk="1" fontAlgn="auto" latinLnBrk="0" hangingPunct="1">
            <a:lnSpc>
              <a:spcPct val="100000"/>
            </a:lnSpc>
            <a:spcBef>
              <a:spcPts val="0"/>
            </a:spcBef>
            <a:spcAft>
              <a:spcPts val="0"/>
            </a:spcAft>
            <a:buClrTx/>
            <a:buSzTx/>
            <a:buFontTx/>
            <a:buNone/>
            <a:tabLst/>
            <a:defRPr/>
          </a:pPr>
          <a:r>
            <a:rPr lang="en-PH" b="0">
              <a:effectLst/>
            </a:rPr>
            <a:t>- M</a:t>
          </a:r>
          <a:r>
            <a:rPr lang="en-PH" sz="1100" b="1" baseline="0">
              <a:solidFill>
                <a:schemeClr val="dk1"/>
              </a:solidFill>
              <a:effectLst/>
              <a:latin typeface="+mn-lt"/>
              <a:ea typeface="+mn-ea"/>
              <a:cs typeface="+mn-cs"/>
            </a:rPr>
            <a:t>onthly "Supa" expenses have decreasing trend </a:t>
          </a:r>
          <a:r>
            <a:rPr lang="en-PH" sz="1100" b="0" baseline="0">
              <a:solidFill>
                <a:schemeClr val="dk1"/>
              </a:solidFill>
              <a:effectLst/>
              <a:latin typeface="+mn-lt"/>
              <a:ea typeface="+mn-ea"/>
              <a:cs typeface="+mn-cs"/>
            </a:rPr>
            <a:t>(3-month average smoothing)</a:t>
          </a:r>
          <a:endParaRPr lang="en-PH" b="1">
            <a:effectLst/>
          </a:endParaRPr>
        </a:p>
      </xdr:txBody>
    </xdr:sp>
    <xdr:clientData/>
  </xdr:twoCellAnchor>
  <xdr:twoCellAnchor>
    <xdr:from>
      <xdr:col>0</xdr:col>
      <xdr:colOff>123265</xdr:colOff>
      <xdr:row>330</xdr:row>
      <xdr:rowOff>0</xdr:rowOff>
    </xdr:from>
    <xdr:to>
      <xdr:col>6</xdr:col>
      <xdr:colOff>545279</xdr:colOff>
      <xdr:row>345</xdr:row>
      <xdr:rowOff>152400</xdr:rowOff>
    </xdr:to>
    <xdr:graphicFrame macro="">
      <xdr:nvGraphicFramePr>
        <xdr:cNvPr id="184" name="Chart 183">
          <a:extLst>
            <a:ext uri="{FF2B5EF4-FFF2-40B4-BE49-F238E27FC236}">
              <a16:creationId xmlns:a16="http://schemas.microsoft.com/office/drawing/2014/main" id="{C140894F-6960-478D-96A1-97800DE40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785756</xdr:colOff>
      <xdr:row>330</xdr:row>
      <xdr:rowOff>2241</xdr:rowOff>
    </xdr:from>
    <xdr:to>
      <xdr:col>16</xdr:col>
      <xdr:colOff>367238</xdr:colOff>
      <xdr:row>345</xdr:row>
      <xdr:rowOff>154341</xdr:rowOff>
    </xdr:to>
    <xdr:graphicFrame macro="">
      <xdr:nvGraphicFramePr>
        <xdr:cNvPr id="185" name="Chart 184">
          <a:extLst>
            <a:ext uri="{FF2B5EF4-FFF2-40B4-BE49-F238E27FC236}">
              <a16:creationId xmlns:a16="http://schemas.microsoft.com/office/drawing/2014/main" id="{7E289A51-A09C-4E24-9111-C3B9B53CF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112059</xdr:colOff>
      <xdr:row>347</xdr:row>
      <xdr:rowOff>11206</xdr:rowOff>
    </xdr:from>
    <xdr:to>
      <xdr:col>6</xdr:col>
      <xdr:colOff>1165412</xdr:colOff>
      <xdr:row>360</xdr:row>
      <xdr:rowOff>148366</xdr:rowOff>
    </xdr:to>
    <xdr:sp macro="" textlink="">
      <xdr:nvSpPr>
        <xdr:cNvPr id="186" name="TextBox 185">
          <a:extLst>
            <a:ext uri="{FF2B5EF4-FFF2-40B4-BE49-F238E27FC236}">
              <a16:creationId xmlns:a16="http://schemas.microsoft.com/office/drawing/2014/main" id="{C0D16788-60F0-410F-B521-0A39706D8AFD}"/>
            </a:ext>
          </a:extLst>
        </xdr:cNvPr>
        <xdr:cNvSpPr txBox="1"/>
      </xdr:nvSpPr>
      <xdr:spPr>
        <a:xfrm>
          <a:off x="112059" y="67862824"/>
          <a:ext cx="7295029" cy="2613660"/>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a:t>1. There's</a:t>
          </a:r>
          <a:r>
            <a:rPr lang="en-PH" sz="1200" b="1" baseline="0"/>
            <a:t> </a:t>
          </a:r>
          <a:r>
            <a:rPr lang="en-PH" sz="1200" b="1" baseline="0">
              <a:solidFill>
                <a:schemeClr val="dk1"/>
              </a:solidFill>
              <a:effectLst/>
              <a:latin typeface="+mn-lt"/>
              <a:ea typeface="+mn-ea"/>
              <a:cs typeface="+mn-cs"/>
            </a:rPr>
            <a:t>₱</a:t>
          </a:r>
          <a:r>
            <a:rPr lang="en-PH" sz="1200" b="1" i="0" baseline="0">
              <a:solidFill>
                <a:schemeClr val="dk1"/>
              </a:solidFill>
              <a:effectLst/>
              <a:latin typeface="+mn-lt"/>
              <a:ea typeface="+mn-ea"/>
              <a:cs typeface="+mn-cs"/>
            </a:rPr>
            <a:t>31,966 from unlabeled income source.</a:t>
          </a:r>
          <a:endParaRPr lang="en-PH" sz="1100" b="1" baseline="0"/>
        </a:p>
        <a:p>
          <a:r>
            <a:rPr lang="en-PH" sz="1100" baseline="0"/>
            <a:t>    - The highest income of the month.</a:t>
          </a:r>
        </a:p>
        <a:p>
          <a:r>
            <a:rPr lang="en-PH" sz="1100" baseline="0">
              <a:solidFill>
                <a:schemeClr val="dk1"/>
              </a:solidFill>
              <a:effectLst/>
              <a:latin typeface="+mn-lt"/>
              <a:ea typeface="+mn-ea"/>
              <a:cs typeface="+mn-cs"/>
            </a:rPr>
            <a:t>    - High likely from different sources (from 13th month pay, salary bonus, etc.)</a:t>
          </a:r>
        </a:p>
        <a:p>
          <a:r>
            <a:rPr lang="en-PH" sz="1100" baseline="0">
              <a:solidFill>
                <a:schemeClr val="dk1"/>
              </a:solidFill>
              <a:effectLst/>
              <a:latin typeface="+mn-lt"/>
              <a:ea typeface="+mn-ea"/>
              <a:cs typeface="+mn-cs"/>
            </a:rPr>
            <a:t>    - </a:t>
          </a:r>
          <a:r>
            <a:rPr lang="en-PH" sz="1100" b="1" baseline="0">
              <a:solidFill>
                <a:schemeClr val="dk1"/>
              </a:solidFill>
              <a:effectLst/>
              <a:latin typeface="+mn-lt"/>
              <a:ea typeface="+mn-ea"/>
              <a:cs typeface="+mn-cs"/>
            </a:rPr>
            <a:t>Could be instead of giving the additional bonus on Dec. 2023, it was delivered on Nov. 2023 altogether.</a:t>
          </a:r>
          <a:endParaRPr lang="en-PH" sz="1100" b="1" baseline="0"/>
        </a:p>
        <a:p>
          <a:endParaRPr lang="en-PH" sz="1100" baseline="0"/>
        </a:p>
        <a:p>
          <a:r>
            <a:rPr lang="en-PH" sz="1200" b="1" baseline="0"/>
            <a:t>2. </a:t>
          </a:r>
          <a:r>
            <a:rPr lang="en-PH" sz="1200" b="1" i="1" baseline="0"/>
            <a:t>"Tahong harvest"</a:t>
          </a:r>
          <a:r>
            <a:rPr lang="en-PH" sz="1200" b="1" baseline="0"/>
            <a:t> as an addition income source.</a:t>
          </a:r>
          <a:endParaRPr lang="en-PH" sz="1100" b="1" baseline="0"/>
        </a:p>
        <a:p>
          <a:r>
            <a:rPr lang="en-PH" sz="1100" baseline="0"/>
            <a:t>    - Additional income source on the top of usual income sources (such as monthly salary)</a:t>
          </a:r>
        </a:p>
        <a:p>
          <a:r>
            <a:rPr lang="en-PH" sz="1100" baseline="0"/>
            <a:t>    - An income source that only received in this month alone.</a:t>
          </a:r>
        </a:p>
        <a:p>
          <a:endParaRPr lang="en-PH" sz="1100" baseline="0"/>
        </a:p>
        <a:p>
          <a:r>
            <a:rPr lang="en-PH" sz="1400" b="1" baseline="0"/>
            <a:t>Conclusion:</a:t>
          </a:r>
          <a:endParaRPr lang="en-PH" sz="1100" b="1" baseline="0"/>
        </a:p>
        <a:p>
          <a:r>
            <a:rPr lang="en-PH" sz="1100" baseline="0"/>
            <a:t>- </a:t>
          </a:r>
          <a:r>
            <a:rPr lang="en-PH" sz="1100" b="1" baseline="0"/>
            <a:t>An unlabeled income source is contributing largely on total income on the month of Nov. 2023.</a:t>
          </a:r>
        </a:p>
        <a:p>
          <a:r>
            <a:rPr lang="en-PH" sz="1100" b="0" baseline="0"/>
            <a:t>- The unlabeled income could be from different sources such as 13th-month pay, salary bonus, etc.</a:t>
          </a:r>
        </a:p>
      </xdr:txBody>
    </xdr:sp>
    <xdr:clientData/>
  </xdr:twoCellAnchor>
  <xdr:twoCellAnchor>
    <xdr:from>
      <xdr:col>0</xdr:col>
      <xdr:colOff>78441</xdr:colOff>
      <xdr:row>367</xdr:row>
      <xdr:rowOff>0</xdr:rowOff>
    </xdr:from>
    <xdr:to>
      <xdr:col>7</xdr:col>
      <xdr:colOff>268940</xdr:colOff>
      <xdr:row>388</xdr:row>
      <xdr:rowOff>11206</xdr:rowOff>
    </xdr:to>
    <xdr:graphicFrame macro="">
      <xdr:nvGraphicFramePr>
        <xdr:cNvPr id="187" name="Chart 186">
          <a:extLst>
            <a:ext uri="{FF2B5EF4-FFF2-40B4-BE49-F238E27FC236}">
              <a16:creationId xmlns:a16="http://schemas.microsoft.com/office/drawing/2014/main" id="{11CB2F51-57BF-4D78-BA09-C62CA891C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xdr:col>
      <xdr:colOff>448237</xdr:colOff>
      <xdr:row>367</xdr:row>
      <xdr:rowOff>1</xdr:rowOff>
    </xdr:from>
    <xdr:to>
      <xdr:col>18</xdr:col>
      <xdr:colOff>369796</xdr:colOff>
      <xdr:row>384</xdr:row>
      <xdr:rowOff>168089</xdr:rowOff>
    </xdr:to>
    <xdr:sp macro="" textlink="">
      <xdr:nvSpPr>
        <xdr:cNvPr id="188" name="TextBox 187">
          <a:extLst>
            <a:ext uri="{FF2B5EF4-FFF2-40B4-BE49-F238E27FC236}">
              <a16:creationId xmlns:a16="http://schemas.microsoft.com/office/drawing/2014/main" id="{FDC02719-D0B2-4A06-921B-7902BDEDF002}"/>
            </a:ext>
          </a:extLst>
        </xdr:cNvPr>
        <xdr:cNvSpPr txBox="1"/>
      </xdr:nvSpPr>
      <xdr:spPr>
        <a:xfrm>
          <a:off x="7956178" y="71885736"/>
          <a:ext cx="6947647" cy="3406588"/>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a:t>1. There are more extra income other than monthly salary in months</a:t>
          </a:r>
          <a:r>
            <a:rPr lang="en-PH" sz="1200" b="1" baseline="0"/>
            <a:t> of November.</a:t>
          </a:r>
          <a:endParaRPr lang="en-PH" sz="1100" b="1" baseline="0"/>
        </a:p>
        <a:p>
          <a:r>
            <a:rPr lang="en-PH" sz="1100" baseline="0"/>
            <a:t>    - </a:t>
          </a:r>
          <a:r>
            <a:rPr lang="en-PH" sz="1100" b="1" baseline="0"/>
            <a:t>Month of November is when receiving Year-end bonus seems a tendency.</a:t>
          </a:r>
        </a:p>
        <a:p>
          <a:r>
            <a:rPr lang="en-PH" sz="1100" b="1" baseline="0"/>
            <a:t>    </a:t>
          </a:r>
          <a:r>
            <a:rPr lang="en-PH" sz="1100" b="0" baseline="0"/>
            <a:t>- Also includes other incentives.</a:t>
          </a:r>
        </a:p>
        <a:p>
          <a:r>
            <a:rPr lang="en-PH" sz="1100" b="0" baseline="0"/>
            <a:t>    - "Tahong harvest" just happen to be in this month which contributes more to increased monthly income.</a:t>
          </a:r>
        </a:p>
        <a:p>
          <a:endParaRPr lang="en-PH" sz="1100" baseline="0"/>
        </a:p>
        <a:p>
          <a:r>
            <a:rPr lang="en-PH" sz="1200" b="1" baseline="0"/>
            <a:t>2. Month of </a:t>
          </a:r>
          <a:r>
            <a:rPr lang="en-PH" sz="1200" b="1" i="0" baseline="0"/>
            <a:t>May also have high income, but it is caused by "Bonus salary".</a:t>
          </a:r>
          <a:endParaRPr lang="en-PH" sz="1100" b="1" i="0" baseline="0"/>
        </a:p>
        <a:p>
          <a:r>
            <a:rPr lang="en-PH" sz="1100" baseline="0"/>
            <a:t>    - Additional income source on the top of usual income sources (such as monthly salary)</a:t>
          </a:r>
        </a:p>
        <a:p>
          <a:r>
            <a:rPr lang="en-PH" sz="1100" baseline="0"/>
            <a:t>    - Could be another pattern that May is also another month when there's more income than the usual months.</a:t>
          </a:r>
        </a:p>
        <a:p>
          <a:endParaRPr lang="en-PH" sz="1100" baseline="0"/>
        </a:p>
        <a:p>
          <a:pPr marL="0" marR="0" lvl="0" indent="0" defTabSz="914400" eaLnBrk="1" fontAlgn="auto" latinLnBrk="0" hangingPunct="1">
            <a:lnSpc>
              <a:spcPct val="100000"/>
            </a:lnSpc>
            <a:spcBef>
              <a:spcPts val="0"/>
            </a:spcBef>
            <a:spcAft>
              <a:spcPts val="0"/>
            </a:spcAft>
            <a:buClrTx/>
            <a:buSzTx/>
            <a:buFontTx/>
            <a:buNone/>
            <a:tabLst/>
            <a:defRPr/>
          </a:pPr>
          <a:r>
            <a:rPr lang="en-PH" sz="1200" b="1" baseline="0">
              <a:solidFill>
                <a:schemeClr val="dk1"/>
              </a:solidFill>
              <a:effectLst/>
              <a:latin typeface="+mn-lt"/>
              <a:ea typeface="+mn-ea"/>
              <a:cs typeface="+mn-cs"/>
            </a:rPr>
            <a:t>3. Incentives and benefits tend to come around Novermber and December.</a:t>
          </a:r>
          <a:endParaRPr lang="en-PH" sz="1100" baseline="0"/>
        </a:p>
        <a:p>
          <a:r>
            <a:rPr lang="en-PH" sz="1100" baseline="0"/>
            <a:t>    - For some reason, most benefits comes during November.</a:t>
          </a:r>
        </a:p>
        <a:p>
          <a:r>
            <a:rPr lang="en-PH" sz="1100" baseline="0"/>
            <a:t>    - Causes more than usual amount of income.</a:t>
          </a:r>
        </a:p>
        <a:p>
          <a:endParaRPr lang="en-PH" sz="1100" baseline="0"/>
        </a:p>
        <a:p>
          <a:r>
            <a:rPr lang="en-PH" sz="1400" b="1" baseline="0"/>
            <a:t>Conclusion:</a:t>
          </a:r>
          <a:endParaRPr lang="en-PH" sz="1100" b="1" baseline="0"/>
        </a:p>
        <a:p>
          <a:r>
            <a:rPr lang="en-PH" sz="1100" baseline="0"/>
            <a:t>- </a:t>
          </a:r>
          <a:r>
            <a:rPr lang="en-PH" sz="1100" b="1">
              <a:solidFill>
                <a:schemeClr val="dk1"/>
              </a:solidFill>
              <a:effectLst/>
              <a:latin typeface="+mn-lt"/>
              <a:ea typeface="+mn-ea"/>
              <a:cs typeface="+mn-cs"/>
            </a:rPr>
            <a:t>There are more extra income (benifits</a:t>
          </a:r>
          <a:r>
            <a:rPr lang="en-PH" sz="1100" b="1" baseline="0">
              <a:solidFill>
                <a:schemeClr val="dk1"/>
              </a:solidFill>
              <a:effectLst/>
              <a:latin typeface="+mn-lt"/>
              <a:ea typeface="+mn-ea"/>
              <a:cs typeface="+mn-cs"/>
            </a:rPr>
            <a:t> and incentives) </a:t>
          </a:r>
          <a:r>
            <a:rPr lang="en-PH" sz="1100" b="1">
              <a:solidFill>
                <a:schemeClr val="dk1"/>
              </a:solidFill>
              <a:effectLst/>
              <a:latin typeface="+mn-lt"/>
              <a:ea typeface="+mn-ea"/>
              <a:cs typeface="+mn-cs"/>
            </a:rPr>
            <a:t>other than monthly salary in months</a:t>
          </a:r>
          <a:r>
            <a:rPr lang="en-PH" sz="1100" b="1" baseline="0">
              <a:solidFill>
                <a:schemeClr val="dk1"/>
              </a:solidFill>
              <a:effectLst/>
              <a:latin typeface="+mn-lt"/>
              <a:ea typeface="+mn-ea"/>
              <a:cs typeface="+mn-cs"/>
            </a:rPr>
            <a:t> of November.</a:t>
          </a:r>
        </a:p>
        <a:p>
          <a:pPr marL="0" marR="0" lvl="0" indent="0" defTabSz="914400" eaLnBrk="1" fontAlgn="auto" latinLnBrk="0" hangingPunct="1">
            <a:lnSpc>
              <a:spcPct val="100000"/>
            </a:lnSpc>
            <a:spcBef>
              <a:spcPts val="0"/>
            </a:spcBef>
            <a:spcAft>
              <a:spcPts val="0"/>
            </a:spcAft>
            <a:buClrTx/>
            <a:buSzTx/>
            <a:buFontTx/>
            <a:buNone/>
            <a:tabLst/>
            <a:defRPr/>
          </a:pPr>
          <a:r>
            <a:rPr lang="en-PH" sz="1100" b="0" baseline="0">
              <a:solidFill>
                <a:schemeClr val="dk1"/>
              </a:solidFill>
              <a:effectLst/>
              <a:latin typeface="+mn-lt"/>
              <a:ea typeface="+mn-ea"/>
              <a:cs typeface="+mn-cs"/>
            </a:rPr>
            <a:t>- Incentives and benefits tend to come around Novermber and December, but most of them is in November.</a:t>
          </a:r>
          <a:endParaRPr lang="en-PH" b="0">
            <a:effectLst/>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0.12512</cdr:x>
      <cdr:y>0.08497</cdr:y>
    </cdr:from>
    <cdr:to>
      <cdr:x>0.20545</cdr:x>
      <cdr:y>0.93791</cdr:y>
    </cdr:to>
    <cdr:sp macro="" textlink="">
      <cdr:nvSpPr>
        <cdr:cNvPr id="2" name="Oval 1">
          <a:extLst xmlns:a="http://schemas.openxmlformats.org/drawingml/2006/main">
            <a:ext uri="{FF2B5EF4-FFF2-40B4-BE49-F238E27FC236}">
              <a16:creationId xmlns:a16="http://schemas.microsoft.com/office/drawing/2014/main" id="{8B3DD442-3396-CF32-20F0-5FD643A10A4E}"/>
            </a:ext>
          </a:extLst>
        </cdr:cNvPr>
        <cdr:cNvSpPr/>
      </cdr:nvSpPr>
      <cdr:spPr>
        <a:xfrm xmlns:a="http://schemas.openxmlformats.org/drawingml/2006/main">
          <a:off x="1241173" y="230947"/>
          <a:ext cx="796875" cy="2318279"/>
        </a:xfrm>
        <a:prstGeom xmlns:a="http://schemas.openxmlformats.org/drawingml/2006/main" prst="ellipse">
          <a:avLst/>
        </a:prstGeom>
        <a:noFill xmlns:a="http://schemas.openxmlformats.org/drawingml/2006/main"/>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0.1028</cdr:x>
      <cdr:y>0.09034</cdr:y>
    </cdr:from>
    <cdr:to>
      <cdr:x>0.17756</cdr:x>
      <cdr:y>0.75978</cdr:y>
    </cdr:to>
    <cdr:sp macro="" textlink="">
      <cdr:nvSpPr>
        <cdr:cNvPr id="2" name="Oval 1">
          <a:extLst xmlns:a="http://schemas.openxmlformats.org/drawingml/2006/main">
            <a:ext uri="{FF2B5EF4-FFF2-40B4-BE49-F238E27FC236}">
              <a16:creationId xmlns:a16="http://schemas.microsoft.com/office/drawing/2014/main" id="{F5C27315-BC1D-307D-2988-6F3DC522D897}"/>
            </a:ext>
          </a:extLst>
        </cdr:cNvPr>
        <cdr:cNvSpPr/>
      </cdr:nvSpPr>
      <cdr:spPr>
        <a:xfrm xmlns:a="http://schemas.openxmlformats.org/drawingml/2006/main">
          <a:off x="684995" y="271911"/>
          <a:ext cx="498178" cy="2014947"/>
        </a:xfrm>
        <a:prstGeom xmlns:a="http://schemas.openxmlformats.org/drawingml/2006/main" prst="ellipse">
          <a:avLst/>
        </a:prstGeom>
        <a:noFill xmlns:a="http://schemas.openxmlformats.org/drawingml/2006/main"/>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5.xml><?xml version="1.0" encoding="utf-8"?>
<c:userShapes xmlns:c="http://schemas.openxmlformats.org/drawingml/2006/chart">
  <cdr:relSizeAnchor xmlns:cdr="http://schemas.openxmlformats.org/drawingml/2006/chartDrawing">
    <cdr:from>
      <cdr:x>0.76159</cdr:x>
      <cdr:y>0.64712</cdr:y>
    </cdr:from>
    <cdr:to>
      <cdr:x>0.9718</cdr:x>
      <cdr:y>0.77744</cdr:y>
    </cdr:to>
    <cdr:sp macro="" textlink="">
      <cdr:nvSpPr>
        <cdr:cNvPr id="2" name="Oval 1">
          <a:extLst xmlns:a="http://schemas.openxmlformats.org/drawingml/2006/main">
            <a:ext uri="{FF2B5EF4-FFF2-40B4-BE49-F238E27FC236}">
              <a16:creationId xmlns:a16="http://schemas.microsoft.com/office/drawing/2014/main" id="{3194D018-9A93-FE48-286C-54818A252092}"/>
            </a:ext>
          </a:extLst>
        </cdr:cNvPr>
        <cdr:cNvSpPr/>
      </cdr:nvSpPr>
      <cdr:spPr>
        <a:xfrm xmlns:a="http://schemas.openxmlformats.org/drawingml/2006/main">
          <a:off x="5074922" y="1947582"/>
          <a:ext cx="1400735" cy="392206"/>
        </a:xfrm>
        <a:prstGeom xmlns:a="http://schemas.openxmlformats.org/drawingml/2006/main" prst="ellipse">
          <a:avLst/>
        </a:prstGeom>
        <a:noFill xmlns:a="http://schemas.openxmlformats.org/drawingml/2006/main"/>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3</xdr:col>
      <xdr:colOff>77097</xdr:colOff>
      <xdr:row>1</xdr:row>
      <xdr:rowOff>238911</xdr:rowOff>
    </xdr:from>
    <xdr:to>
      <xdr:col>4</xdr:col>
      <xdr:colOff>391646</xdr:colOff>
      <xdr:row>9</xdr:row>
      <xdr:rowOff>112061</xdr:rowOff>
    </xdr:to>
    <mc:AlternateContent xmlns:mc="http://schemas.openxmlformats.org/markup-compatibility/2006" xmlns:a14="http://schemas.microsoft.com/office/drawing/2010/main">
      <mc:Choice Requires="a14">
        <xdr:graphicFrame macro="">
          <xdr:nvGraphicFramePr>
            <xdr:cNvPr id="4" name="transaction 1">
              <a:extLst>
                <a:ext uri="{FF2B5EF4-FFF2-40B4-BE49-F238E27FC236}">
                  <a16:creationId xmlns:a16="http://schemas.microsoft.com/office/drawing/2014/main" id="{80DCB672-547A-AF1F-1532-303F052783D1}"/>
                </a:ext>
              </a:extLst>
            </xdr:cNvPr>
            <xdr:cNvGraphicFramePr/>
          </xdr:nvGraphicFramePr>
          <xdr:xfrm>
            <a:off x="0" y="0"/>
            <a:ext cx="0" cy="0"/>
          </xdr:xfrm>
          <a:graphic>
            <a:graphicData uri="http://schemas.microsoft.com/office/drawing/2010/slicer">
              <sle:slicer xmlns:sle="http://schemas.microsoft.com/office/drawing/2010/slicer" name="transaction 1"/>
            </a:graphicData>
          </a:graphic>
        </xdr:graphicFrame>
      </mc:Choice>
      <mc:Fallback xmlns="">
        <xdr:sp macro="" textlink="">
          <xdr:nvSpPr>
            <xdr:cNvPr id="0" name=""/>
            <xdr:cNvSpPr>
              <a:spLocks noTextEdit="1"/>
            </xdr:cNvSpPr>
          </xdr:nvSpPr>
          <xdr:spPr>
            <a:xfrm>
              <a:off x="3394038" y="238911"/>
              <a:ext cx="1599304" cy="150024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79786</xdr:colOff>
      <xdr:row>28</xdr:row>
      <xdr:rowOff>23309</xdr:rowOff>
    </xdr:from>
    <xdr:to>
      <xdr:col>4</xdr:col>
      <xdr:colOff>436468</xdr:colOff>
      <xdr:row>34</xdr:row>
      <xdr:rowOff>245891</xdr:rowOff>
    </xdr:to>
    <mc:AlternateContent xmlns:mc="http://schemas.openxmlformats.org/markup-compatibility/2006" xmlns:a14="http://schemas.microsoft.com/office/drawing/2010/main">
      <mc:Choice Requires="a14">
        <xdr:graphicFrame macro="">
          <xdr:nvGraphicFramePr>
            <xdr:cNvPr id="5" name="transaction">
              <a:extLst>
                <a:ext uri="{FF2B5EF4-FFF2-40B4-BE49-F238E27FC236}">
                  <a16:creationId xmlns:a16="http://schemas.microsoft.com/office/drawing/2014/main" id="{A048EE1A-85E5-C4BD-DCB3-E3962CF593DE}"/>
                </a:ext>
              </a:extLst>
            </xdr:cNvPr>
            <xdr:cNvGraphicFramePr/>
          </xdr:nvGraphicFramePr>
          <xdr:xfrm>
            <a:off x="0" y="0"/>
            <a:ext cx="0" cy="0"/>
          </xdr:xfrm>
          <a:graphic>
            <a:graphicData uri="http://schemas.microsoft.com/office/drawing/2010/slicer">
              <sle:slicer xmlns:sle="http://schemas.microsoft.com/office/drawing/2010/slicer" name="transaction"/>
            </a:graphicData>
          </a:graphic>
        </xdr:graphicFrame>
      </mc:Choice>
      <mc:Fallback xmlns="">
        <xdr:sp macro="" textlink="">
          <xdr:nvSpPr>
            <xdr:cNvPr id="0" name=""/>
            <xdr:cNvSpPr>
              <a:spLocks noTextEdit="1"/>
            </xdr:cNvSpPr>
          </xdr:nvSpPr>
          <xdr:spPr>
            <a:xfrm>
              <a:off x="3396727" y="5133191"/>
              <a:ext cx="1641437" cy="157241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77097</xdr:colOff>
      <xdr:row>22</xdr:row>
      <xdr:rowOff>41240</xdr:rowOff>
    </xdr:from>
    <xdr:to>
      <xdr:col>7</xdr:col>
      <xdr:colOff>1393373</xdr:colOff>
      <xdr:row>30</xdr:row>
      <xdr:rowOff>2</xdr:rowOff>
    </xdr:to>
    <mc:AlternateContent xmlns:mc="http://schemas.openxmlformats.org/markup-compatibility/2006" xmlns:a14="http://schemas.microsoft.com/office/drawing/2010/main">
      <mc:Choice Requires="a14">
        <xdr:graphicFrame macro="">
          <xdr:nvGraphicFramePr>
            <xdr:cNvPr id="6" name="transaction 2">
              <a:extLst>
                <a:ext uri="{FF2B5EF4-FFF2-40B4-BE49-F238E27FC236}">
                  <a16:creationId xmlns:a16="http://schemas.microsoft.com/office/drawing/2014/main" id="{10383F9E-2655-0426-F003-3A2A4F14FC95}"/>
                </a:ext>
              </a:extLst>
            </xdr:cNvPr>
            <xdr:cNvGraphicFramePr/>
          </xdr:nvGraphicFramePr>
          <xdr:xfrm>
            <a:off x="0" y="0"/>
            <a:ext cx="0" cy="0"/>
          </xdr:xfrm>
          <a:graphic>
            <a:graphicData uri="http://schemas.microsoft.com/office/drawing/2010/slicer">
              <sle:slicer xmlns:sle="http://schemas.microsoft.com/office/drawing/2010/slicer" name="transaction 2"/>
            </a:graphicData>
          </a:graphic>
        </xdr:graphicFrame>
      </mc:Choice>
      <mc:Fallback xmlns="">
        <xdr:sp macro="" textlink="">
          <xdr:nvSpPr>
            <xdr:cNvPr id="0" name=""/>
            <xdr:cNvSpPr>
              <a:spLocks noTextEdit="1"/>
            </xdr:cNvSpPr>
          </xdr:nvSpPr>
          <xdr:spPr>
            <a:xfrm>
              <a:off x="5966908" y="3985711"/>
              <a:ext cx="1572409" cy="148276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112380</xdr:colOff>
      <xdr:row>1</xdr:row>
      <xdr:rowOff>142475</xdr:rowOff>
    </xdr:from>
    <xdr:to>
      <xdr:col>12</xdr:col>
      <xdr:colOff>1479176</xdr:colOff>
      <xdr:row>1</xdr:row>
      <xdr:rowOff>168088</xdr:rowOff>
    </xdr:to>
    <xdr:cxnSp macro="">
      <xdr:nvCxnSpPr>
        <xdr:cNvPr id="14" name="Connector: Curved 13">
          <a:extLst>
            <a:ext uri="{FF2B5EF4-FFF2-40B4-BE49-F238E27FC236}">
              <a16:creationId xmlns:a16="http://schemas.microsoft.com/office/drawing/2014/main" id="{ED24202C-87A2-6E37-22DA-06E72940D153}"/>
            </a:ext>
          </a:extLst>
        </xdr:cNvPr>
        <xdr:cNvCxnSpPr/>
      </xdr:nvCxnSpPr>
      <xdr:spPr>
        <a:xfrm>
          <a:off x="11889762" y="624328"/>
          <a:ext cx="4661326" cy="25613"/>
        </a:xfrm>
        <a:prstGeom prst="curvedConnector3">
          <a:avLst>
            <a:gd name="adj1" fmla="val 50000"/>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959050</xdr:colOff>
      <xdr:row>32</xdr:row>
      <xdr:rowOff>81502</xdr:rowOff>
    </xdr:from>
    <xdr:to>
      <xdr:col>18</xdr:col>
      <xdr:colOff>1624855</xdr:colOff>
      <xdr:row>34</xdr:row>
      <xdr:rowOff>112063</xdr:rowOff>
    </xdr:to>
    <xdr:grpSp>
      <xdr:nvGrpSpPr>
        <xdr:cNvPr id="13" name="Group 12">
          <a:extLst>
            <a:ext uri="{FF2B5EF4-FFF2-40B4-BE49-F238E27FC236}">
              <a16:creationId xmlns:a16="http://schemas.microsoft.com/office/drawing/2014/main" id="{BDD53F0D-ACA6-5DCD-0210-B56DF583A955}"/>
            </a:ext>
          </a:extLst>
        </xdr:cNvPr>
        <xdr:cNvGrpSpPr/>
      </xdr:nvGrpSpPr>
      <xdr:grpSpPr>
        <a:xfrm>
          <a:off x="17523025" y="6958552"/>
          <a:ext cx="6514155" cy="602061"/>
          <a:chOff x="15322137" y="6213764"/>
          <a:chExt cx="6132296" cy="584858"/>
        </a:xfrm>
      </xdr:grpSpPr>
      <xdr:cxnSp macro="">
        <xdr:nvCxnSpPr>
          <xdr:cNvPr id="10" name="Connector: Curved 9">
            <a:extLst>
              <a:ext uri="{FF2B5EF4-FFF2-40B4-BE49-F238E27FC236}">
                <a16:creationId xmlns:a16="http://schemas.microsoft.com/office/drawing/2014/main" id="{7F9A8138-780C-F952-F060-92BF207E8DC5}"/>
              </a:ext>
            </a:extLst>
          </xdr:cNvPr>
          <xdr:cNvCxnSpPr/>
        </xdr:nvCxnSpPr>
        <xdr:spPr>
          <a:xfrm>
            <a:off x="15322137" y="6330538"/>
            <a:ext cx="1815375" cy="206823"/>
          </a:xfrm>
          <a:prstGeom prst="curvedConnector3">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4" name="Connector: Curved 23">
            <a:extLst>
              <a:ext uri="{FF2B5EF4-FFF2-40B4-BE49-F238E27FC236}">
                <a16:creationId xmlns:a16="http://schemas.microsoft.com/office/drawing/2014/main" id="{94185871-A042-54C8-5911-168E172129D3}"/>
              </a:ext>
            </a:extLst>
          </xdr:cNvPr>
          <xdr:cNvCxnSpPr/>
        </xdr:nvCxnSpPr>
        <xdr:spPr>
          <a:xfrm>
            <a:off x="15346878" y="6213764"/>
            <a:ext cx="6107555" cy="584858"/>
          </a:xfrm>
          <a:prstGeom prst="curvedConnector3">
            <a:avLst>
              <a:gd name="adj1" fmla="val 62585"/>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10</xdr:col>
      <xdr:colOff>4849</xdr:colOff>
      <xdr:row>91</xdr:row>
      <xdr:rowOff>23553</xdr:rowOff>
    </xdr:from>
    <xdr:to>
      <xdr:col>10</xdr:col>
      <xdr:colOff>1676400</xdr:colOff>
      <xdr:row>121</xdr:row>
      <xdr:rowOff>124691</xdr:rowOff>
    </xdr:to>
    <xdr:grpSp>
      <xdr:nvGrpSpPr>
        <xdr:cNvPr id="8" name="Group 7">
          <a:extLst>
            <a:ext uri="{FF2B5EF4-FFF2-40B4-BE49-F238E27FC236}">
              <a16:creationId xmlns:a16="http://schemas.microsoft.com/office/drawing/2014/main" id="{25A8F674-33C7-323F-7791-2B7BFC576A2E}"/>
            </a:ext>
          </a:extLst>
        </xdr:cNvPr>
        <xdr:cNvGrpSpPr/>
      </xdr:nvGrpSpPr>
      <xdr:grpSpPr>
        <a:xfrm>
          <a:off x="11787274" y="18559203"/>
          <a:ext cx="1642976" cy="5892338"/>
          <a:chOff x="9675322" y="17120062"/>
          <a:chExt cx="1671551" cy="5587538"/>
        </a:xfrm>
      </xdr:grpSpPr>
      <mc:AlternateContent xmlns:mc="http://schemas.openxmlformats.org/markup-compatibility/2006" xmlns:a14="http://schemas.microsoft.com/office/drawing/2010/main">
        <mc:Choice Requires="a14">
          <xdr:graphicFrame macro="">
            <xdr:nvGraphicFramePr>
              <xdr:cNvPr id="2" name="transaction 4">
                <a:extLst>
                  <a:ext uri="{FF2B5EF4-FFF2-40B4-BE49-F238E27FC236}">
                    <a16:creationId xmlns:a16="http://schemas.microsoft.com/office/drawing/2014/main" id="{8BF6378E-0A53-C73C-B1F8-6802C205EFAC}"/>
                  </a:ext>
                </a:extLst>
              </xdr:cNvPr>
              <xdr:cNvGraphicFramePr/>
            </xdr:nvGraphicFramePr>
            <xdr:xfrm>
              <a:off x="9675322" y="21216851"/>
              <a:ext cx="1671550" cy="1490749"/>
            </xdr:xfrm>
            <a:graphic>
              <a:graphicData uri="http://schemas.microsoft.com/office/drawing/2010/slicer">
                <sle:slicer xmlns:sle="http://schemas.microsoft.com/office/drawing/2010/slicer" name="transaction 4"/>
              </a:graphicData>
            </a:graphic>
          </xdr:graphicFrame>
        </mc:Choice>
        <mc:Fallback xmlns="">
          <xdr:sp macro="" textlink="">
            <xdr:nvSpPr>
              <xdr:cNvPr id="0" name=""/>
              <xdr:cNvSpPr>
                <a:spLocks noTextEdit="1"/>
              </xdr:cNvSpPr>
            </xdr:nvSpPr>
            <xdr:spPr>
              <a:xfrm>
                <a:off x="9896994" y="21216851"/>
                <a:ext cx="1671550" cy="149074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B2F48D00-8EF1-5ECD-46AC-2BC477600DBD}"/>
                  </a:ext>
                </a:extLst>
              </xdr:cNvPr>
              <xdr:cNvGraphicFramePr/>
            </xdr:nvGraphicFramePr>
            <xdr:xfrm>
              <a:off x="9712036" y="18524220"/>
              <a:ext cx="1634836" cy="2581275"/>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933708" y="18524220"/>
                <a:ext cx="1634836" cy="25812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1129F202-2B56-48AF-A6BB-EEB5D065FBEB}"/>
                  </a:ext>
                </a:extLst>
              </xdr:cNvPr>
              <xdr:cNvGraphicFramePr/>
            </xdr:nvGraphicFramePr>
            <xdr:xfrm>
              <a:off x="9707188" y="17120062"/>
              <a:ext cx="1639685" cy="1292629"/>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928860" y="17120062"/>
                <a:ext cx="1639685" cy="129262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181793</xdr:rowOff>
    </xdr:from>
    <xdr:to>
      <xdr:col>2</xdr:col>
      <xdr:colOff>1101635</xdr:colOff>
      <xdr:row>27</xdr:row>
      <xdr:rowOff>105593</xdr:rowOff>
    </xdr:to>
    <xdr:grpSp>
      <xdr:nvGrpSpPr>
        <xdr:cNvPr id="7" name="Group 6">
          <a:extLst>
            <a:ext uri="{FF2B5EF4-FFF2-40B4-BE49-F238E27FC236}">
              <a16:creationId xmlns:a16="http://schemas.microsoft.com/office/drawing/2014/main" id="{9AC8F7FD-6258-03E7-7370-F26E710BF190}"/>
            </a:ext>
          </a:extLst>
        </xdr:cNvPr>
        <xdr:cNvGrpSpPr/>
      </xdr:nvGrpSpPr>
      <xdr:grpSpPr>
        <a:xfrm>
          <a:off x="0" y="2991668"/>
          <a:ext cx="3987710" cy="3352800"/>
          <a:chOff x="6103620" y="1783080"/>
          <a:chExt cx="3657610" cy="3215641"/>
        </a:xfrm>
      </xdr:grpSpPr>
      <mc:AlternateContent xmlns:mc="http://schemas.openxmlformats.org/markup-compatibility/2006" xmlns:a14="http://schemas.microsoft.com/office/drawing/2010/main">
        <mc:Choice Requires="a14">
          <xdr:graphicFrame macro="">
            <xdr:nvGraphicFramePr>
              <xdr:cNvPr id="3" name="transaction 3">
                <a:extLst>
                  <a:ext uri="{FF2B5EF4-FFF2-40B4-BE49-F238E27FC236}">
                    <a16:creationId xmlns:a16="http://schemas.microsoft.com/office/drawing/2014/main" id="{7F1680C3-85EE-42B2-D11E-BB3FA0EB8954}"/>
                  </a:ext>
                </a:extLst>
              </xdr:cNvPr>
              <xdr:cNvGraphicFramePr/>
            </xdr:nvGraphicFramePr>
            <xdr:xfrm>
              <a:off x="7932430" y="1783080"/>
              <a:ext cx="1828800" cy="1624148"/>
            </xdr:xfrm>
            <a:graphic>
              <a:graphicData uri="http://schemas.microsoft.com/office/drawing/2010/slicer">
                <sle:slicer xmlns:sle="http://schemas.microsoft.com/office/drawing/2010/slicer" name="transaction 3"/>
              </a:graphicData>
            </a:graphic>
          </xdr:graphicFrame>
        </mc:Choice>
        <mc:Fallback xmlns="">
          <xdr:sp macro="" textlink="">
            <xdr:nvSpPr>
              <xdr:cNvPr id="0" name=""/>
              <xdr:cNvSpPr>
                <a:spLocks noTextEdit="1"/>
              </xdr:cNvSpPr>
            </xdr:nvSpPr>
            <xdr:spPr>
              <a:xfrm>
                <a:off x="1659532" y="2536373"/>
                <a:ext cx="1659523" cy="162414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568F0ACB-831D-2F4C-1D74-D67410858D10}"/>
                  </a:ext>
                </a:extLst>
              </xdr:cNvPr>
              <xdr:cNvGraphicFramePr/>
            </xdr:nvGraphicFramePr>
            <xdr:xfrm>
              <a:off x="6103620" y="3009901"/>
              <a:ext cx="1828800" cy="198882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3648894"/>
                <a:ext cx="1830972" cy="198881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7ADCA109-AF3A-7DF3-4089-C1B87228BEF9}"/>
                  </a:ext>
                </a:extLst>
              </xdr:cNvPr>
              <xdr:cNvGraphicFramePr/>
            </xdr:nvGraphicFramePr>
            <xdr:xfrm>
              <a:off x="6103620" y="1783081"/>
              <a:ext cx="1828800" cy="119634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422074"/>
                <a:ext cx="1830972" cy="119634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38099</xdr:colOff>
      <xdr:row>29</xdr:row>
      <xdr:rowOff>175259</xdr:rowOff>
    </xdr:from>
    <xdr:to>
      <xdr:col>6</xdr:col>
      <xdr:colOff>809625</xdr:colOff>
      <xdr:row>52</xdr:row>
      <xdr:rowOff>9525</xdr:rowOff>
    </xdr:to>
    <xdr:sp macro="" textlink="">
      <xdr:nvSpPr>
        <xdr:cNvPr id="16" name="TextBox 15">
          <a:extLst>
            <a:ext uri="{FF2B5EF4-FFF2-40B4-BE49-F238E27FC236}">
              <a16:creationId xmlns:a16="http://schemas.microsoft.com/office/drawing/2014/main" id="{75CB2970-DA52-93AB-F1CB-81E876CA290C}"/>
            </a:ext>
          </a:extLst>
        </xdr:cNvPr>
        <xdr:cNvSpPr txBox="1"/>
      </xdr:nvSpPr>
      <xdr:spPr>
        <a:xfrm>
          <a:off x="38099" y="6795134"/>
          <a:ext cx="8277226" cy="42157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000" b="1"/>
            <a:t>Interpretation/Diagnosis:</a:t>
          </a:r>
        </a:p>
        <a:p>
          <a:r>
            <a:rPr lang="en-PH" sz="1200" b="1"/>
            <a:t>1. Income in Nov.</a:t>
          </a:r>
          <a:r>
            <a:rPr lang="en-PH" sz="1200" b="1" baseline="0"/>
            <a:t> 2024 and Dec. 2024 are higher than usual.</a:t>
          </a:r>
          <a:endParaRPr lang="en-PH" sz="1200" b="1"/>
        </a:p>
        <a:p>
          <a:r>
            <a:rPr lang="en-PH" sz="1100" baseline="0"/>
            <a:t>    - The </a:t>
          </a:r>
          <a:r>
            <a:rPr lang="en-PH" sz="1100" b="1" i="1" baseline="0"/>
            <a:t>typical monthly income is </a:t>
          </a:r>
          <a:r>
            <a:rPr lang="en-PH" sz="1100" b="1" baseline="0">
              <a:solidFill>
                <a:schemeClr val="dk1"/>
              </a:solidFill>
              <a:effectLst/>
              <a:latin typeface="+mn-lt"/>
              <a:ea typeface="+mn-ea"/>
              <a:cs typeface="+mn-cs"/>
            </a:rPr>
            <a:t>₱</a:t>
          </a:r>
          <a:r>
            <a:rPr lang="en-PH" sz="1100" b="1" i="1" baseline="0"/>
            <a:t>30,278</a:t>
          </a:r>
          <a:r>
            <a:rPr lang="en-PH" sz="1100" baseline="0"/>
            <a:t>.</a:t>
          </a:r>
        </a:p>
        <a:p>
          <a:r>
            <a:rPr lang="en-PH" sz="1100" baseline="0"/>
            <a:t>    - Nov. 2024 have </a:t>
          </a:r>
          <a:r>
            <a:rPr lang="en-PH" sz="1100" b="0" baseline="0">
              <a:solidFill>
                <a:schemeClr val="dk1"/>
              </a:solidFill>
              <a:effectLst/>
              <a:latin typeface="+mn-lt"/>
              <a:ea typeface="+mn-ea"/>
              <a:cs typeface="+mn-cs"/>
            </a:rPr>
            <a:t>₱</a:t>
          </a:r>
          <a:r>
            <a:rPr lang="en-PH" sz="1100" baseline="0"/>
            <a:t>59,992 income and Dec. 2024 have </a:t>
          </a:r>
          <a:r>
            <a:rPr lang="en-PH" sz="1100" b="0" baseline="0">
              <a:solidFill>
                <a:schemeClr val="dk1"/>
              </a:solidFill>
              <a:effectLst/>
              <a:latin typeface="+mn-lt"/>
              <a:ea typeface="+mn-ea"/>
              <a:cs typeface="+mn-cs"/>
            </a:rPr>
            <a:t>₱</a:t>
          </a:r>
          <a:r>
            <a:rPr lang="en-PH" sz="1100" baseline="0"/>
            <a:t>51,481 which are </a:t>
          </a:r>
          <a:r>
            <a:rPr lang="en-PH" sz="1100" b="1" i="1" baseline="0"/>
            <a:t>way above than the typical monthly income</a:t>
          </a:r>
          <a:r>
            <a:rPr lang="en-PH" sz="1100" baseline="0"/>
            <a:t>.</a:t>
          </a:r>
        </a:p>
        <a:p>
          <a:r>
            <a:rPr lang="en-PH" sz="1100" baseline="0"/>
            <a:t>    - This huge income surge was caused by: </a:t>
          </a:r>
        </a:p>
        <a:p>
          <a:r>
            <a:rPr lang="en-PH" sz="1100" baseline="0"/>
            <a:t>        - cash gift allowance, </a:t>
          </a:r>
        </a:p>
        <a:p>
          <a:r>
            <a:rPr lang="en-PH" sz="1100" baseline="0">
              <a:solidFill>
                <a:schemeClr val="dk1"/>
              </a:solidFill>
              <a:effectLst/>
              <a:latin typeface="+mn-lt"/>
              <a:ea typeface="+mn-ea"/>
              <a:cs typeface="+mn-cs"/>
            </a:rPr>
            <a:t>        - </a:t>
          </a:r>
          <a:r>
            <a:rPr lang="en-PH" sz="1100" baseline="0"/>
            <a:t>year-end bonus, and </a:t>
          </a:r>
        </a:p>
        <a:p>
          <a:r>
            <a:rPr lang="en-PH" sz="1100" baseline="0">
              <a:solidFill>
                <a:schemeClr val="dk1"/>
              </a:solidFill>
              <a:effectLst/>
              <a:latin typeface="+mn-lt"/>
              <a:ea typeface="+mn-ea"/>
              <a:cs typeface="+mn-cs"/>
            </a:rPr>
            <a:t>        - </a:t>
          </a:r>
          <a:r>
            <a:rPr lang="en-PH" sz="1100" baseline="0"/>
            <a:t>13th month pay.</a:t>
          </a:r>
        </a:p>
        <a:p>
          <a:r>
            <a:rPr lang="en-PH" sz="1100" baseline="0">
              <a:solidFill>
                <a:schemeClr val="dk1"/>
              </a:solidFill>
              <a:effectLst/>
              <a:latin typeface="+mn-lt"/>
              <a:ea typeface="+mn-ea"/>
              <a:cs typeface="+mn-cs"/>
            </a:rPr>
            <a:t>    - </a:t>
          </a:r>
          <a:r>
            <a:rPr lang="en-PH" sz="1100" baseline="0"/>
            <a:t>This sets a spike that </a:t>
          </a:r>
          <a:r>
            <a:rPr lang="en-PH" sz="1100" b="1" i="1" baseline="0"/>
            <a:t>if the next month's income is in typical amount, then that month's net income growth rate is definitely lower</a:t>
          </a:r>
          <a:r>
            <a:rPr lang="en-PH" sz="1100" baseline="0"/>
            <a:t> than the current one.</a:t>
          </a:r>
        </a:p>
        <a:p>
          <a:endParaRPr lang="en-PH" sz="1100" baseline="0"/>
        </a:p>
        <a:p>
          <a:r>
            <a:rPr lang="en-PH" sz="1200" b="1" baseline="0"/>
            <a:t>2. Jan. 2025 have </a:t>
          </a:r>
          <a:r>
            <a:rPr lang="en-PH" sz="1200" b="1" baseline="0">
              <a:solidFill>
                <a:schemeClr val="dk1"/>
              </a:solidFill>
              <a:effectLst/>
              <a:latin typeface="+mn-lt"/>
              <a:ea typeface="+mn-ea"/>
              <a:cs typeface="+mn-cs"/>
            </a:rPr>
            <a:t>₱</a:t>
          </a:r>
          <a:r>
            <a:rPr lang="en-PH" sz="1200" b="1" baseline="0"/>
            <a:t>26,403 income.</a:t>
          </a:r>
        </a:p>
        <a:p>
          <a:r>
            <a:rPr lang="en-PH" sz="1100" baseline="0"/>
            <a:t>    - Comparing the previous month's spike of income and the latest month's return-to-usual-monthly-income creates decreasing growth rate.</a:t>
          </a:r>
        </a:p>
        <a:p>
          <a:r>
            <a:rPr lang="en-PH" sz="1100" baseline="0"/>
            <a:t>    - This </a:t>
          </a:r>
          <a:r>
            <a:rPr lang="en-PH" sz="1100" b="1" i="1" baseline="0"/>
            <a:t>does not mean that the finances is crashing</a:t>
          </a:r>
          <a:r>
            <a:rPr lang="en-PH" sz="1100" baseline="0"/>
            <a:t>.</a:t>
          </a:r>
        </a:p>
        <a:p>
          <a:r>
            <a:rPr lang="en-PH" sz="1100" baseline="0">
              <a:solidFill>
                <a:schemeClr val="dk1"/>
              </a:solidFill>
              <a:effectLst/>
              <a:latin typeface="+mn-lt"/>
              <a:ea typeface="+mn-ea"/>
              <a:cs typeface="+mn-cs"/>
            </a:rPr>
            <a:t>    - This means that </a:t>
          </a:r>
          <a:r>
            <a:rPr lang="en-PH" sz="1100" b="1" i="1" baseline="0">
              <a:solidFill>
                <a:schemeClr val="dk1"/>
              </a:solidFill>
              <a:effectLst/>
              <a:latin typeface="+mn-lt"/>
              <a:ea typeface="+mn-ea"/>
              <a:cs typeface="+mn-cs"/>
            </a:rPr>
            <a:t>after a high surge of income in the previous months, the latest month's income is returning to usual rate.</a:t>
          </a:r>
          <a:r>
            <a:rPr lang="en-PH" sz="1100" baseline="0">
              <a:solidFill>
                <a:schemeClr val="dk1"/>
              </a:solidFill>
              <a:effectLst/>
              <a:latin typeface="+mn-lt"/>
              <a:ea typeface="+mn-ea"/>
              <a:cs typeface="+mn-cs"/>
            </a:rPr>
            <a:t> </a:t>
          </a:r>
        </a:p>
        <a:p>
          <a:endParaRPr lang="en-PH" sz="1100" b="1" i="1" baseline="0"/>
        </a:p>
        <a:p>
          <a:r>
            <a:rPr lang="en-PH" sz="1200" b="1" i="0" baseline="0"/>
            <a:t>3. </a:t>
          </a:r>
          <a:r>
            <a:rPr lang="en-PH" sz="1200" b="1" baseline="0">
              <a:solidFill>
                <a:schemeClr val="dk1"/>
              </a:solidFill>
              <a:effectLst/>
              <a:latin typeface="+mn-lt"/>
              <a:ea typeface="+mn-ea"/>
              <a:cs typeface="+mn-cs"/>
            </a:rPr>
            <a:t>₱</a:t>
          </a:r>
          <a:r>
            <a:rPr lang="en-PH" sz="1200" b="1" i="0" baseline="0"/>
            <a:t>6,767, the latest month's net income, is the 25th percentile from the median net income.</a:t>
          </a:r>
        </a:p>
        <a:p>
          <a:r>
            <a:rPr lang="en-PH" sz="1100" b="0" i="0" baseline="0"/>
            <a:t>    - Lower than the usual net income, but also not unusual.</a:t>
          </a:r>
        </a:p>
        <a:p>
          <a:endParaRPr lang="en-PH" sz="1100" b="0" i="0" baseline="0"/>
        </a:p>
        <a:p>
          <a:r>
            <a:rPr lang="en-PH" sz="1600" b="1" i="0" baseline="0"/>
            <a:t>Conclusion:</a:t>
          </a:r>
        </a:p>
        <a:p>
          <a:r>
            <a:rPr lang="en-PH" sz="1100" b="0" i="0" baseline="0"/>
            <a:t>- The huge drop of net income was caused by huge income surge, then followed by a </a:t>
          </a:r>
          <a:r>
            <a:rPr lang="en-PH" sz="1100" b="0" i="0" baseline="0">
              <a:solidFill>
                <a:schemeClr val="dk1"/>
              </a:solidFill>
              <a:effectLst/>
              <a:latin typeface="+mn-lt"/>
              <a:ea typeface="+mn-ea"/>
              <a:cs typeface="+mn-cs"/>
            </a:rPr>
            <a:t>monthly income that is</a:t>
          </a:r>
          <a:r>
            <a:rPr lang="en-PH" sz="1100" b="0" i="0" baseline="0"/>
            <a:t> usually lower than the median.</a:t>
          </a:r>
        </a:p>
        <a:p>
          <a:r>
            <a:rPr lang="en-PH" sz="1100" b="0" i="0" baseline="0"/>
            <a:t>- </a:t>
          </a:r>
          <a:r>
            <a:rPr lang="en-PH" sz="1100" b="1" i="0" baseline="0"/>
            <a:t>The drop of net income can be treated or interpreted as returned to normal or usual rate.</a:t>
          </a:r>
        </a:p>
      </xdr:txBody>
    </xdr:sp>
    <xdr:clientData/>
  </xdr:twoCellAnchor>
  <xdr:twoCellAnchor>
    <xdr:from>
      <xdr:col>7</xdr:col>
      <xdr:colOff>7620</xdr:colOff>
      <xdr:row>15</xdr:row>
      <xdr:rowOff>175260</xdr:rowOff>
    </xdr:from>
    <xdr:to>
      <xdr:col>13</xdr:col>
      <xdr:colOff>152400</xdr:colOff>
      <xdr:row>31</xdr:row>
      <xdr:rowOff>22860</xdr:rowOff>
    </xdr:to>
    <xdr:graphicFrame macro="">
      <xdr:nvGraphicFramePr>
        <xdr:cNvPr id="17" name="Chart 16">
          <a:extLst>
            <a:ext uri="{FF2B5EF4-FFF2-40B4-BE49-F238E27FC236}">
              <a16:creationId xmlns:a16="http://schemas.microsoft.com/office/drawing/2014/main" id="{6B245D09-BB2D-D747-5AF5-FF7D59203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563656</xdr:colOff>
      <xdr:row>70</xdr:row>
      <xdr:rowOff>57150</xdr:rowOff>
    </xdr:from>
    <xdr:to>
      <xdr:col>4</xdr:col>
      <xdr:colOff>1133475</xdr:colOff>
      <xdr:row>70</xdr:row>
      <xdr:rowOff>151280</xdr:rowOff>
    </xdr:to>
    <xdr:cxnSp macro="">
      <xdr:nvCxnSpPr>
        <xdr:cNvPr id="27" name="Connector: Curved 26">
          <a:extLst>
            <a:ext uri="{FF2B5EF4-FFF2-40B4-BE49-F238E27FC236}">
              <a16:creationId xmlns:a16="http://schemas.microsoft.com/office/drawing/2014/main" id="{55FC4ACC-EF44-493A-F03B-2A303D8B8C8E}"/>
            </a:ext>
          </a:extLst>
        </xdr:cNvPr>
        <xdr:cNvCxnSpPr/>
      </xdr:nvCxnSpPr>
      <xdr:spPr>
        <a:xfrm flipV="1">
          <a:off x="2325781" y="15649575"/>
          <a:ext cx="3836894" cy="94130"/>
        </a:xfrm>
        <a:prstGeom prst="curvedConnector3">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1000126</xdr:colOff>
      <xdr:row>70</xdr:row>
      <xdr:rowOff>251011</xdr:rowOff>
    </xdr:from>
    <xdr:to>
      <xdr:col>4</xdr:col>
      <xdr:colOff>1160372</xdr:colOff>
      <xdr:row>121</xdr:row>
      <xdr:rowOff>9525</xdr:rowOff>
    </xdr:to>
    <xdr:cxnSp macro="">
      <xdr:nvCxnSpPr>
        <xdr:cNvPr id="41" name="Connector: Curved 40">
          <a:extLst>
            <a:ext uri="{FF2B5EF4-FFF2-40B4-BE49-F238E27FC236}">
              <a16:creationId xmlns:a16="http://schemas.microsoft.com/office/drawing/2014/main" id="{3EB41F7E-9847-6CAD-B736-F35FE43D01F6}"/>
            </a:ext>
          </a:extLst>
        </xdr:cNvPr>
        <xdr:cNvCxnSpPr/>
      </xdr:nvCxnSpPr>
      <xdr:spPr>
        <a:xfrm rot="5400000">
          <a:off x="191342" y="19538295"/>
          <a:ext cx="9693089" cy="2303371"/>
        </a:xfrm>
        <a:prstGeom prst="bentConnector3">
          <a:avLst>
            <a:gd name="adj1" fmla="val 98347"/>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257175</xdr:colOff>
      <xdr:row>118</xdr:row>
      <xdr:rowOff>188259</xdr:rowOff>
    </xdr:from>
    <xdr:to>
      <xdr:col>6</xdr:col>
      <xdr:colOff>17930</xdr:colOff>
      <xdr:row>121</xdr:row>
      <xdr:rowOff>209550</xdr:rowOff>
    </xdr:to>
    <xdr:cxnSp macro="">
      <xdr:nvCxnSpPr>
        <xdr:cNvPr id="69" name="Connector: Curved 68">
          <a:extLst>
            <a:ext uri="{FF2B5EF4-FFF2-40B4-BE49-F238E27FC236}">
              <a16:creationId xmlns:a16="http://schemas.microsoft.com/office/drawing/2014/main" id="{C3C066F4-5A2D-DB31-26B6-16B6A02F12EB}"/>
            </a:ext>
          </a:extLst>
        </xdr:cNvPr>
        <xdr:cNvCxnSpPr/>
      </xdr:nvCxnSpPr>
      <xdr:spPr>
        <a:xfrm flipV="1">
          <a:off x="4305300" y="25000884"/>
          <a:ext cx="3218330" cy="735666"/>
        </a:xfrm>
        <a:prstGeom prst="curvedConnector3">
          <a:avLst>
            <a:gd name="adj1" fmla="val 75749"/>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560855</xdr:colOff>
      <xdr:row>149</xdr:row>
      <xdr:rowOff>45946</xdr:rowOff>
    </xdr:from>
    <xdr:to>
      <xdr:col>11</xdr:col>
      <xdr:colOff>828675</xdr:colOff>
      <xdr:row>163</xdr:row>
      <xdr:rowOff>180416</xdr:rowOff>
    </xdr:to>
    <xdr:sp macro="" textlink="">
      <xdr:nvSpPr>
        <xdr:cNvPr id="78" name="TextBox 77">
          <a:extLst>
            <a:ext uri="{FF2B5EF4-FFF2-40B4-BE49-F238E27FC236}">
              <a16:creationId xmlns:a16="http://schemas.microsoft.com/office/drawing/2014/main" id="{40763DBD-7A35-42B2-8F79-520675020BB9}"/>
            </a:ext>
          </a:extLst>
        </xdr:cNvPr>
        <xdr:cNvSpPr txBox="1"/>
      </xdr:nvSpPr>
      <xdr:spPr>
        <a:xfrm>
          <a:off x="6752105" y="31049821"/>
          <a:ext cx="8097370" cy="280147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a:t>1. L</a:t>
          </a:r>
          <a:r>
            <a:rPr lang="en-PH" sz="1200" b="1" baseline="0"/>
            <a:t>aptop-related expenses has the highest expense percentage.</a:t>
          </a:r>
          <a:endParaRPr lang="en-PH" sz="1200" b="1"/>
        </a:p>
        <a:p>
          <a:r>
            <a:rPr lang="en-PH" sz="1100" baseline="0"/>
            <a:t>    - This was the time when latptop needs repair and upgrade.</a:t>
          </a:r>
        </a:p>
        <a:p>
          <a:r>
            <a:rPr lang="en-PH" sz="1100" baseline="0"/>
            <a:t>    - It's normal for bills to be the highest expenses each month, but </a:t>
          </a:r>
          <a:r>
            <a:rPr lang="en-PH" sz="1100" b="1" i="1" baseline="0"/>
            <a:t>laptop-related expenditures exceeds by 0.21% in comparison</a:t>
          </a:r>
          <a:r>
            <a:rPr lang="en-PH" sz="1100" baseline="0"/>
            <a:t>.</a:t>
          </a:r>
        </a:p>
        <a:p>
          <a:endParaRPr lang="en-PH" sz="1100" baseline="0"/>
        </a:p>
        <a:p>
          <a:r>
            <a:rPr lang="en-PH" sz="1200" b="1" baseline="0"/>
            <a:t>2. Despite the highest expense in the month, laptop-related expenditures have 6 transaction counts.</a:t>
          </a:r>
          <a:endParaRPr lang="en-PH" sz="1100" b="1" baseline="0"/>
        </a:p>
        <a:p>
          <a:r>
            <a:rPr lang="en-PH" sz="1100" baseline="0"/>
            <a:t>    - This means that this category have high expenses per transactions.</a:t>
          </a:r>
        </a:p>
        <a:p>
          <a:endParaRPr lang="en-PH" sz="1100" baseline="0"/>
        </a:p>
        <a:p>
          <a:r>
            <a:rPr lang="en-PH" sz="1200" b="1" baseline="0"/>
            <a:t>3. Laptop-related expenditure ranks 2nd in average expenditure among the categories.</a:t>
          </a:r>
          <a:endParaRPr lang="en-PH" sz="1100" b="1" baseline="0"/>
        </a:p>
        <a:p>
          <a:r>
            <a:rPr lang="en-PH" sz="1100" baseline="0"/>
            <a:t>    - The category contributes 2nd in total expenses in the month.</a:t>
          </a:r>
        </a:p>
        <a:p>
          <a:endParaRPr lang="en-PH" sz="1100" baseline="0"/>
        </a:p>
        <a:p>
          <a:r>
            <a:rPr lang="en-PH" sz="1400" b="1" baseline="0"/>
            <a:t>Conclusion:</a:t>
          </a:r>
          <a:endParaRPr lang="en-PH" sz="1100" b="1" baseline="0"/>
        </a:p>
        <a:p>
          <a:r>
            <a:rPr lang="en-PH" sz="1100" baseline="0"/>
            <a:t>- </a:t>
          </a:r>
          <a:r>
            <a:rPr lang="en-PH" sz="1100" baseline="0">
              <a:solidFill>
                <a:schemeClr val="dk1"/>
              </a:solidFill>
              <a:effectLst/>
              <a:latin typeface="+mn-lt"/>
              <a:ea typeface="+mn-ea"/>
              <a:cs typeface="+mn-cs"/>
            </a:rPr>
            <a:t>High expenses in month of December 2023 was </a:t>
          </a:r>
          <a:r>
            <a:rPr lang="en-PH" sz="1100" b="1" baseline="0">
              <a:solidFill>
                <a:schemeClr val="dk1"/>
              </a:solidFill>
              <a:effectLst/>
              <a:latin typeface="+mn-lt"/>
              <a:ea typeface="+mn-ea"/>
              <a:cs typeface="+mn-cs"/>
            </a:rPr>
            <a:t>caused by l</a:t>
          </a:r>
          <a:r>
            <a:rPr lang="en-PH" sz="1100" b="1" baseline="0"/>
            <a:t>aptop-related expenses</a:t>
          </a:r>
          <a:r>
            <a:rPr lang="en-PH" sz="1100" baseline="0"/>
            <a:t>, specifically laptop repairs.</a:t>
          </a:r>
        </a:p>
      </xdr:txBody>
    </xdr:sp>
    <xdr:clientData/>
  </xdr:twoCellAnchor>
  <xdr:twoCellAnchor>
    <xdr:from>
      <xdr:col>5</xdr:col>
      <xdr:colOff>559174</xdr:colOff>
      <xdr:row>134</xdr:row>
      <xdr:rowOff>57708</xdr:rowOff>
    </xdr:from>
    <xdr:to>
      <xdr:col>10</xdr:col>
      <xdr:colOff>805703</xdr:colOff>
      <xdr:row>148</xdr:row>
      <xdr:rowOff>87108</xdr:rowOff>
    </xdr:to>
    <xdr:graphicFrame macro="">
      <xdr:nvGraphicFramePr>
        <xdr:cNvPr id="79" name="Chart 78">
          <a:extLst>
            <a:ext uri="{FF2B5EF4-FFF2-40B4-BE49-F238E27FC236}">
              <a16:creationId xmlns:a16="http://schemas.microsoft.com/office/drawing/2014/main" id="{35BC8D3D-8CFF-91AD-ABA0-93EFEDC91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170890</xdr:colOff>
      <xdr:row>149</xdr:row>
      <xdr:rowOff>36977</xdr:rowOff>
    </xdr:from>
    <xdr:to>
      <xdr:col>5</xdr:col>
      <xdr:colOff>399491</xdr:colOff>
      <xdr:row>163</xdr:row>
      <xdr:rowOff>66377</xdr:rowOff>
    </xdr:to>
    <xdr:graphicFrame macro="">
      <xdr:nvGraphicFramePr>
        <xdr:cNvPr id="81" name="Chart 80">
          <a:extLst>
            <a:ext uri="{FF2B5EF4-FFF2-40B4-BE49-F238E27FC236}">
              <a16:creationId xmlns:a16="http://schemas.microsoft.com/office/drawing/2014/main" id="{5F6F1B67-149C-6469-0F8B-4C911CC61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165847</xdr:colOff>
      <xdr:row>58</xdr:row>
      <xdr:rowOff>107577</xdr:rowOff>
    </xdr:from>
    <xdr:to>
      <xdr:col>7</xdr:col>
      <xdr:colOff>1084729</xdr:colOff>
      <xdr:row>68</xdr:row>
      <xdr:rowOff>53788</xdr:rowOff>
    </xdr:to>
    <xdr:graphicFrame macro="">
      <xdr:nvGraphicFramePr>
        <xdr:cNvPr id="86" name="Chart 85">
          <a:extLst>
            <a:ext uri="{FF2B5EF4-FFF2-40B4-BE49-F238E27FC236}">
              <a16:creationId xmlns:a16="http://schemas.microsoft.com/office/drawing/2014/main" id="{384677F8-2700-37F5-9701-2B1349DF0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60960</xdr:colOff>
      <xdr:row>170</xdr:row>
      <xdr:rowOff>53340</xdr:rowOff>
    </xdr:from>
    <xdr:to>
      <xdr:col>5</xdr:col>
      <xdr:colOff>975480</xdr:colOff>
      <xdr:row>189</xdr:row>
      <xdr:rowOff>167820</xdr:rowOff>
    </xdr:to>
    <xdr:grpSp>
      <xdr:nvGrpSpPr>
        <xdr:cNvPr id="8" name="Group 7">
          <a:extLst>
            <a:ext uri="{FF2B5EF4-FFF2-40B4-BE49-F238E27FC236}">
              <a16:creationId xmlns:a16="http://schemas.microsoft.com/office/drawing/2014/main" id="{83A37487-30EB-C1CC-23BB-A7AD538E4CC0}"/>
            </a:ext>
          </a:extLst>
        </xdr:cNvPr>
        <xdr:cNvGrpSpPr/>
      </xdr:nvGrpSpPr>
      <xdr:grpSpPr>
        <a:xfrm>
          <a:off x="60960" y="35286315"/>
          <a:ext cx="7105770" cy="3733980"/>
          <a:chOff x="60960" y="36476940"/>
          <a:chExt cx="6660000" cy="3589200"/>
        </a:xfrm>
      </xdr:grpSpPr>
      <xdr:graphicFrame macro="">
        <xdr:nvGraphicFramePr>
          <xdr:cNvPr id="88" name="Chart 87">
            <a:extLst>
              <a:ext uri="{FF2B5EF4-FFF2-40B4-BE49-F238E27FC236}">
                <a16:creationId xmlns:a16="http://schemas.microsoft.com/office/drawing/2014/main" id="{143FDD1A-F9CF-4857-874F-B852093FE2FF}"/>
              </a:ext>
            </a:extLst>
          </xdr:cNvPr>
          <xdr:cNvGraphicFramePr>
            <a:graphicFrameLocks/>
          </xdr:cNvGraphicFramePr>
        </xdr:nvGraphicFramePr>
        <xdr:xfrm>
          <a:off x="60960" y="36476940"/>
          <a:ext cx="6660000" cy="35892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 name="Oval 3">
            <a:extLst>
              <a:ext uri="{FF2B5EF4-FFF2-40B4-BE49-F238E27FC236}">
                <a16:creationId xmlns:a16="http://schemas.microsoft.com/office/drawing/2014/main" id="{06EC41CE-B73B-F446-D7B3-F94798483E97}"/>
              </a:ext>
            </a:extLst>
          </xdr:cNvPr>
          <xdr:cNvSpPr/>
        </xdr:nvSpPr>
        <xdr:spPr>
          <a:xfrm>
            <a:off x="4175760" y="36819840"/>
            <a:ext cx="502920" cy="199644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68580</xdr:colOff>
      <xdr:row>190</xdr:row>
      <xdr:rowOff>121920</xdr:rowOff>
    </xdr:from>
    <xdr:to>
      <xdr:col>5</xdr:col>
      <xdr:colOff>983100</xdr:colOff>
      <xdr:row>210</xdr:row>
      <xdr:rowOff>53520</xdr:rowOff>
    </xdr:to>
    <xdr:grpSp>
      <xdr:nvGrpSpPr>
        <xdr:cNvPr id="10" name="Group 9">
          <a:extLst>
            <a:ext uri="{FF2B5EF4-FFF2-40B4-BE49-F238E27FC236}">
              <a16:creationId xmlns:a16="http://schemas.microsoft.com/office/drawing/2014/main" id="{7BD8CF76-8F61-EA40-62BE-F3725AB46193}"/>
            </a:ext>
          </a:extLst>
        </xdr:cNvPr>
        <xdr:cNvGrpSpPr/>
      </xdr:nvGrpSpPr>
      <xdr:grpSpPr>
        <a:xfrm>
          <a:off x="68580" y="39164895"/>
          <a:ext cx="7105770" cy="3741600"/>
          <a:chOff x="6835140" y="36469320"/>
          <a:chExt cx="6660000" cy="3589200"/>
        </a:xfrm>
      </xdr:grpSpPr>
      <xdr:graphicFrame macro="">
        <xdr:nvGraphicFramePr>
          <xdr:cNvPr id="2" name="Chart 1">
            <a:extLst>
              <a:ext uri="{FF2B5EF4-FFF2-40B4-BE49-F238E27FC236}">
                <a16:creationId xmlns:a16="http://schemas.microsoft.com/office/drawing/2014/main" id="{F2932FA7-FD54-E61E-0035-26AEA47A6709}"/>
              </a:ext>
            </a:extLst>
          </xdr:cNvPr>
          <xdr:cNvGraphicFramePr>
            <a:graphicFrameLocks/>
          </xdr:cNvGraphicFramePr>
        </xdr:nvGraphicFramePr>
        <xdr:xfrm>
          <a:off x="6835140" y="36469320"/>
          <a:ext cx="6660000" cy="3589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9" name="Oval 8">
            <a:extLst>
              <a:ext uri="{FF2B5EF4-FFF2-40B4-BE49-F238E27FC236}">
                <a16:creationId xmlns:a16="http://schemas.microsoft.com/office/drawing/2014/main" id="{0827C184-39A4-4292-9F9C-1B1D1F994D54}"/>
              </a:ext>
            </a:extLst>
          </xdr:cNvPr>
          <xdr:cNvSpPr/>
        </xdr:nvSpPr>
        <xdr:spPr>
          <a:xfrm>
            <a:off x="10911840" y="36789360"/>
            <a:ext cx="502920" cy="20193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6</xdr:col>
      <xdr:colOff>114300</xdr:colOff>
      <xdr:row>190</xdr:row>
      <xdr:rowOff>152400</xdr:rowOff>
    </xdr:from>
    <xdr:to>
      <xdr:col>11</xdr:col>
      <xdr:colOff>1204080</xdr:colOff>
      <xdr:row>210</xdr:row>
      <xdr:rowOff>84000</xdr:rowOff>
    </xdr:to>
    <xdr:grpSp>
      <xdr:nvGrpSpPr>
        <xdr:cNvPr id="11" name="Group 10">
          <a:extLst>
            <a:ext uri="{FF2B5EF4-FFF2-40B4-BE49-F238E27FC236}">
              <a16:creationId xmlns:a16="http://schemas.microsoft.com/office/drawing/2014/main" id="{9B1EB7C6-7D9B-5D63-374F-54083522E0C7}"/>
            </a:ext>
          </a:extLst>
        </xdr:cNvPr>
        <xdr:cNvGrpSpPr/>
      </xdr:nvGrpSpPr>
      <xdr:grpSpPr>
        <a:xfrm>
          <a:off x="7620000" y="39195375"/>
          <a:ext cx="7300080" cy="3741600"/>
          <a:chOff x="4747260" y="38488620"/>
          <a:chExt cx="6660000" cy="3589200"/>
        </a:xfrm>
      </xdr:grpSpPr>
      <xdr:graphicFrame macro="">
        <xdr:nvGraphicFramePr>
          <xdr:cNvPr id="12" name="Chart 11">
            <a:extLst>
              <a:ext uri="{FF2B5EF4-FFF2-40B4-BE49-F238E27FC236}">
                <a16:creationId xmlns:a16="http://schemas.microsoft.com/office/drawing/2014/main" id="{E92CACF3-D558-DD99-83F0-F8B2627AB908}"/>
              </a:ext>
            </a:extLst>
          </xdr:cNvPr>
          <xdr:cNvGraphicFramePr>
            <a:graphicFrameLocks/>
          </xdr:cNvGraphicFramePr>
        </xdr:nvGraphicFramePr>
        <xdr:xfrm>
          <a:off x="4747260" y="38488620"/>
          <a:ext cx="6660000" cy="3589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3" name="Oval 12">
            <a:extLst>
              <a:ext uri="{FF2B5EF4-FFF2-40B4-BE49-F238E27FC236}">
                <a16:creationId xmlns:a16="http://schemas.microsoft.com/office/drawing/2014/main" id="{C8D8E946-F4C9-60E3-9320-697E33F2DB90}"/>
              </a:ext>
            </a:extLst>
          </xdr:cNvPr>
          <xdr:cNvSpPr/>
        </xdr:nvSpPr>
        <xdr:spPr>
          <a:xfrm>
            <a:off x="8846820" y="40317420"/>
            <a:ext cx="502920" cy="84582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121920</xdr:colOff>
      <xdr:row>211</xdr:row>
      <xdr:rowOff>38100</xdr:rowOff>
    </xdr:from>
    <xdr:to>
      <xdr:col>11</xdr:col>
      <xdr:colOff>1196340</xdr:colOff>
      <xdr:row>227</xdr:row>
      <xdr:rowOff>152400</xdr:rowOff>
    </xdr:to>
    <xdr:sp macro="" textlink="">
      <xdr:nvSpPr>
        <xdr:cNvPr id="14" name="TextBox 13">
          <a:extLst>
            <a:ext uri="{FF2B5EF4-FFF2-40B4-BE49-F238E27FC236}">
              <a16:creationId xmlns:a16="http://schemas.microsoft.com/office/drawing/2014/main" id="{18DAEFEB-B798-40D3-8E0D-6A3079488AEA}"/>
            </a:ext>
          </a:extLst>
        </xdr:cNvPr>
        <xdr:cNvSpPr txBox="1"/>
      </xdr:nvSpPr>
      <xdr:spPr>
        <a:xfrm>
          <a:off x="121920" y="43959780"/>
          <a:ext cx="13380720" cy="304038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a:t>1. The highest</a:t>
          </a:r>
          <a:r>
            <a:rPr lang="en-PH" sz="1200" b="1" baseline="0"/>
            <a:t> expenses and most frequent transaction is "</a:t>
          </a:r>
          <a:r>
            <a:rPr lang="en-PH" sz="1200" b="1" i="1" baseline="0"/>
            <a:t>Supa</a:t>
          </a:r>
          <a:r>
            <a:rPr lang="en-PH" sz="1200" b="1" baseline="0"/>
            <a:t>".</a:t>
          </a:r>
          <a:endParaRPr lang="en-PH" sz="1200" b="1"/>
        </a:p>
        <a:p>
          <a:r>
            <a:rPr lang="en-PH" sz="1100" baseline="0"/>
            <a:t>    - </a:t>
          </a:r>
          <a:r>
            <a:rPr lang="en-PH" sz="1100" b="0" baseline="0"/>
            <a:t>₱</a:t>
          </a:r>
          <a:r>
            <a:rPr lang="en-PH" sz="1100" baseline="0"/>
            <a:t>6,154 (24.13%) of total G-cash expenses, the highest, comes from "</a:t>
          </a:r>
          <a:r>
            <a:rPr lang="en-PH" sz="1100" i="1" baseline="0"/>
            <a:t>Supa</a:t>
          </a:r>
          <a:r>
            <a:rPr lang="en-PH" sz="1100" baseline="0"/>
            <a:t>" transactions.</a:t>
          </a:r>
        </a:p>
        <a:p>
          <a:r>
            <a:rPr lang="en-PH" sz="1100" baseline="0"/>
            <a:t>    - 66 transaction counts, the highest, were "Supa"</a:t>
          </a:r>
        </a:p>
        <a:p>
          <a:r>
            <a:rPr lang="en-PH" sz="1100" baseline="0">
              <a:solidFill>
                <a:schemeClr val="dk1"/>
              </a:solidFill>
              <a:effectLst/>
              <a:latin typeface="+mn-lt"/>
              <a:ea typeface="+mn-ea"/>
              <a:cs typeface="+mn-cs"/>
            </a:rPr>
            <a:t>    - </a:t>
          </a:r>
          <a:r>
            <a:rPr lang="en-PH" sz="1100" b="1" baseline="0">
              <a:solidFill>
                <a:schemeClr val="dk1"/>
              </a:solidFill>
              <a:effectLst/>
              <a:latin typeface="+mn-lt"/>
              <a:ea typeface="+mn-ea"/>
              <a:cs typeface="+mn-cs"/>
            </a:rPr>
            <a:t>"Supa" is the transaction that needs attention to mind when spending using G-cash.</a:t>
          </a:r>
          <a:endParaRPr lang="en-PH" sz="1100" b="1" baseline="0"/>
        </a:p>
        <a:p>
          <a:endParaRPr lang="en-PH" sz="1100" baseline="0"/>
        </a:p>
        <a:p>
          <a:r>
            <a:rPr lang="en-PH" sz="1200" b="1" baseline="0"/>
            <a:t>2. "</a:t>
          </a:r>
          <a:r>
            <a:rPr lang="en-PH" sz="1200" b="1" i="1" baseline="0"/>
            <a:t>Supa</a:t>
          </a:r>
          <a:r>
            <a:rPr lang="en-PH" sz="1200" b="1" baseline="0"/>
            <a:t>" average expenses is ₱93.24 per transaction.</a:t>
          </a:r>
          <a:endParaRPr lang="en-PH" sz="1100" b="1" baseline="0"/>
        </a:p>
        <a:p>
          <a:r>
            <a:rPr lang="en-PH" sz="1100" baseline="0"/>
            <a:t>    - Despite being among the highest total expenses and transaction counts, it is </a:t>
          </a:r>
          <a:r>
            <a:rPr lang="en-PH" sz="1100" i="1" baseline="0"/>
            <a:t>one of the least average expenses per transactions</a:t>
          </a:r>
          <a:r>
            <a:rPr lang="en-PH" sz="1100" baseline="0"/>
            <a:t>.</a:t>
          </a:r>
        </a:p>
        <a:p>
          <a:r>
            <a:rPr lang="en-PH" sz="1100" baseline="0"/>
            <a:t>    - This means that the </a:t>
          </a:r>
          <a:r>
            <a:rPr lang="en-PH" sz="1100" b="1" baseline="0"/>
            <a:t>total expenses of "Supa" becomes larger because of frequent purchasing</a:t>
          </a:r>
          <a:r>
            <a:rPr lang="en-PH" sz="1100" baseline="0"/>
            <a:t> despite being one of low average expenses per transactions.</a:t>
          </a:r>
        </a:p>
        <a:p>
          <a:r>
            <a:rPr lang="en-PH" sz="1100" baseline="0"/>
            <a:t>        - This </a:t>
          </a:r>
          <a:r>
            <a:rPr lang="en-PH" sz="1100" i="1" baseline="0"/>
            <a:t>explains why it is among the highest transaction counts</a:t>
          </a:r>
          <a:r>
            <a:rPr lang="en-PH" sz="1100" baseline="0"/>
            <a:t> using G-cash.</a:t>
          </a:r>
        </a:p>
        <a:p>
          <a:r>
            <a:rPr lang="en-PH" sz="1100" baseline="0"/>
            <a:t>    - It may have low average expenses per transaction, but buying this more frequently builds total expenses.</a:t>
          </a:r>
        </a:p>
        <a:p>
          <a:endParaRPr lang="en-PH" sz="1100" baseline="0"/>
        </a:p>
        <a:p>
          <a:r>
            <a:rPr lang="en-PH" sz="1400" b="1" baseline="0"/>
            <a:t>Conclusion:</a:t>
          </a:r>
          <a:endParaRPr lang="en-PH" sz="1100" b="1" baseline="0"/>
        </a:p>
        <a:p>
          <a:r>
            <a:rPr lang="en-PH" sz="1100" baseline="0"/>
            <a:t>- </a:t>
          </a:r>
          <a:r>
            <a:rPr lang="en-PH" sz="1100" b="1" baseline="0"/>
            <a:t>"Supa" is the highest transaction using G-cash payment.</a:t>
          </a:r>
        </a:p>
        <a:p>
          <a:r>
            <a:rPr lang="en-PH" sz="1100" baseline="0"/>
            <a:t>- </a:t>
          </a:r>
          <a:r>
            <a:rPr lang="en-PH" sz="1100" b="1" baseline="0">
              <a:solidFill>
                <a:schemeClr val="dk1"/>
              </a:solidFill>
              <a:effectLst/>
              <a:latin typeface="+mn-lt"/>
              <a:ea typeface="+mn-ea"/>
              <a:cs typeface="+mn-cs"/>
            </a:rPr>
            <a:t>"Supa" needs attention to mind about spending.</a:t>
          </a:r>
        </a:p>
        <a:p>
          <a:r>
            <a:rPr lang="en-PH" sz="1100" baseline="0">
              <a:solidFill>
                <a:schemeClr val="dk1"/>
              </a:solidFill>
              <a:effectLst/>
              <a:latin typeface="+mn-lt"/>
              <a:ea typeface="+mn-ea"/>
              <a:cs typeface="+mn-cs"/>
            </a:rPr>
            <a:t>- Spending less "Supa" could help decrease the expenses in G-cash.</a:t>
          </a:r>
          <a:endParaRPr lang="en-PH" sz="1100" baseline="0"/>
        </a:p>
      </xdr:txBody>
    </xdr:sp>
    <xdr:clientData/>
  </xdr:twoCellAnchor>
  <xdr:twoCellAnchor>
    <xdr:from>
      <xdr:col>6</xdr:col>
      <xdr:colOff>121920</xdr:colOff>
      <xdr:row>170</xdr:row>
      <xdr:rowOff>53340</xdr:rowOff>
    </xdr:from>
    <xdr:to>
      <xdr:col>11</xdr:col>
      <xdr:colOff>1211700</xdr:colOff>
      <xdr:row>189</xdr:row>
      <xdr:rowOff>167820</xdr:rowOff>
    </xdr:to>
    <xdr:grpSp>
      <xdr:nvGrpSpPr>
        <xdr:cNvPr id="18" name="Group 17">
          <a:extLst>
            <a:ext uri="{FF2B5EF4-FFF2-40B4-BE49-F238E27FC236}">
              <a16:creationId xmlns:a16="http://schemas.microsoft.com/office/drawing/2014/main" id="{8DA94794-4AD7-680E-79D4-9E5A97B86391}"/>
            </a:ext>
          </a:extLst>
        </xdr:cNvPr>
        <xdr:cNvGrpSpPr/>
      </xdr:nvGrpSpPr>
      <xdr:grpSpPr>
        <a:xfrm>
          <a:off x="7627620" y="35286315"/>
          <a:ext cx="7290555" cy="3733980"/>
          <a:chOff x="60960" y="36476940"/>
          <a:chExt cx="6660000" cy="3589200"/>
        </a:xfrm>
      </xdr:grpSpPr>
      <xdr:graphicFrame macro="">
        <xdr:nvGraphicFramePr>
          <xdr:cNvPr id="19" name="Chart 18">
            <a:extLst>
              <a:ext uri="{FF2B5EF4-FFF2-40B4-BE49-F238E27FC236}">
                <a16:creationId xmlns:a16="http://schemas.microsoft.com/office/drawing/2014/main" id="{652C6946-AEB0-F221-A6C5-7C7A7A101615}"/>
              </a:ext>
            </a:extLst>
          </xdr:cNvPr>
          <xdr:cNvGraphicFramePr>
            <a:graphicFrameLocks/>
          </xdr:cNvGraphicFramePr>
        </xdr:nvGraphicFramePr>
        <xdr:xfrm>
          <a:off x="60960" y="36476940"/>
          <a:ext cx="6660000" cy="3589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0" name="Oval 19">
            <a:extLst>
              <a:ext uri="{FF2B5EF4-FFF2-40B4-BE49-F238E27FC236}">
                <a16:creationId xmlns:a16="http://schemas.microsoft.com/office/drawing/2014/main" id="{17583CD8-3E10-947D-B90F-946997CE4B1B}"/>
              </a:ext>
            </a:extLst>
          </xdr:cNvPr>
          <xdr:cNvSpPr/>
        </xdr:nvSpPr>
        <xdr:spPr>
          <a:xfrm>
            <a:off x="4137660" y="36896040"/>
            <a:ext cx="502920" cy="192024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159123</xdr:colOff>
      <xdr:row>134</xdr:row>
      <xdr:rowOff>38657</xdr:rowOff>
    </xdr:from>
    <xdr:to>
      <xdr:col>5</xdr:col>
      <xdr:colOff>316005</xdr:colOff>
      <xdr:row>148</xdr:row>
      <xdr:rowOff>66673</xdr:rowOff>
    </xdr:to>
    <xdr:grpSp>
      <xdr:nvGrpSpPr>
        <xdr:cNvPr id="23" name="Group 22">
          <a:extLst>
            <a:ext uri="{FF2B5EF4-FFF2-40B4-BE49-F238E27FC236}">
              <a16:creationId xmlns:a16="http://schemas.microsoft.com/office/drawing/2014/main" id="{8A902B60-F983-2086-59A4-85ED10042EA3}"/>
            </a:ext>
          </a:extLst>
        </xdr:cNvPr>
        <xdr:cNvGrpSpPr/>
      </xdr:nvGrpSpPr>
      <xdr:grpSpPr>
        <a:xfrm>
          <a:off x="159123" y="28185032"/>
          <a:ext cx="6348132" cy="2695016"/>
          <a:chOff x="273423" y="28276474"/>
          <a:chExt cx="5902362" cy="3357024"/>
        </a:xfrm>
      </xdr:grpSpPr>
      <xdr:graphicFrame macro="">
        <xdr:nvGraphicFramePr>
          <xdr:cNvPr id="77" name="Chart 76">
            <a:extLst>
              <a:ext uri="{FF2B5EF4-FFF2-40B4-BE49-F238E27FC236}">
                <a16:creationId xmlns:a16="http://schemas.microsoft.com/office/drawing/2014/main" id="{F5E22E7E-FE09-6EE3-39A1-14FA46AA86F3}"/>
              </a:ext>
            </a:extLst>
          </xdr:cNvPr>
          <xdr:cNvGraphicFramePr/>
        </xdr:nvGraphicFramePr>
        <xdr:xfrm>
          <a:off x="273423" y="28276474"/>
          <a:ext cx="5902362" cy="335702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22" name="Oval 21">
            <a:extLst>
              <a:ext uri="{FF2B5EF4-FFF2-40B4-BE49-F238E27FC236}">
                <a16:creationId xmlns:a16="http://schemas.microsoft.com/office/drawing/2014/main" id="{230AA574-A839-CC13-4B15-5A2EDA2240AB}"/>
              </a:ext>
            </a:extLst>
          </xdr:cNvPr>
          <xdr:cNvSpPr/>
        </xdr:nvSpPr>
        <xdr:spPr>
          <a:xfrm>
            <a:off x="863735" y="28840933"/>
            <a:ext cx="533400" cy="203454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0</xdr:col>
      <xdr:colOff>38100</xdr:colOff>
      <xdr:row>519</xdr:row>
      <xdr:rowOff>64770</xdr:rowOff>
    </xdr:from>
    <xdr:to>
      <xdr:col>5</xdr:col>
      <xdr:colOff>510540</xdr:colOff>
      <xdr:row>534</xdr:row>
      <xdr:rowOff>64770</xdr:rowOff>
    </xdr:to>
    <xdr:graphicFrame macro="">
      <xdr:nvGraphicFramePr>
        <xdr:cNvPr id="26" name="Chart 25">
          <a:extLst>
            <a:ext uri="{FF2B5EF4-FFF2-40B4-BE49-F238E27FC236}">
              <a16:creationId xmlns:a16="http://schemas.microsoft.com/office/drawing/2014/main" id="{AF07ECB7-0CB2-D003-8C33-C2649864E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68581</xdr:colOff>
      <xdr:row>551</xdr:row>
      <xdr:rowOff>121920</xdr:rowOff>
    </xdr:from>
    <xdr:to>
      <xdr:col>11</xdr:col>
      <xdr:colOff>7620</xdr:colOff>
      <xdr:row>565</xdr:row>
      <xdr:rowOff>68580</xdr:rowOff>
    </xdr:to>
    <xdr:sp macro="" textlink="">
      <xdr:nvSpPr>
        <xdr:cNvPr id="31" name="TextBox 30">
          <a:extLst>
            <a:ext uri="{FF2B5EF4-FFF2-40B4-BE49-F238E27FC236}">
              <a16:creationId xmlns:a16="http://schemas.microsoft.com/office/drawing/2014/main" id="{182E904D-EBF0-418A-A55B-A5B75FD279C5}"/>
            </a:ext>
          </a:extLst>
        </xdr:cNvPr>
        <xdr:cNvSpPr txBox="1"/>
      </xdr:nvSpPr>
      <xdr:spPr>
        <a:xfrm>
          <a:off x="68581" y="54147720"/>
          <a:ext cx="12755879" cy="250698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a:t>1. There's</a:t>
          </a:r>
          <a:r>
            <a:rPr lang="en-PH" sz="1200" b="1" baseline="0"/>
            <a:t> </a:t>
          </a:r>
          <a:r>
            <a:rPr lang="en-PH" sz="1200" b="1" baseline="0">
              <a:solidFill>
                <a:schemeClr val="dk1"/>
              </a:solidFill>
              <a:effectLst/>
              <a:latin typeface="+mn-lt"/>
              <a:ea typeface="+mn-ea"/>
              <a:cs typeface="+mn-cs"/>
            </a:rPr>
            <a:t>₱</a:t>
          </a:r>
          <a:r>
            <a:rPr lang="en-PH" sz="1200" b="1" i="0" baseline="0">
              <a:solidFill>
                <a:schemeClr val="dk1"/>
              </a:solidFill>
              <a:effectLst/>
              <a:latin typeface="+mn-lt"/>
              <a:ea typeface="+mn-ea"/>
              <a:cs typeface="+mn-cs"/>
            </a:rPr>
            <a:t>31,966 from unlabeled income source.</a:t>
          </a:r>
          <a:endParaRPr lang="en-PH" sz="1100" b="1" baseline="0"/>
        </a:p>
        <a:p>
          <a:r>
            <a:rPr lang="en-PH" sz="1100" baseline="0"/>
            <a:t>    - The highest income of the month.</a:t>
          </a:r>
        </a:p>
        <a:p>
          <a:r>
            <a:rPr lang="en-PH" sz="1100" baseline="0">
              <a:solidFill>
                <a:schemeClr val="dk1"/>
              </a:solidFill>
              <a:effectLst/>
              <a:latin typeface="+mn-lt"/>
              <a:ea typeface="+mn-ea"/>
              <a:cs typeface="+mn-cs"/>
            </a:rPr>
            <a:t>    - High likely from different sources (from 13th month pay, salary bonus, etc.)</a:t>
          </a:r>
        </a:p>
        <a:p>
          <a:r>
            <a:rPr lang="en-PH" sz="1100" baseline="0">
              <a:solidFill>
                <a:schemeClr val="dk1"/>
              </a:solidFill>
              <a:effectLst/>
              <a:latin typeface="+mn-lt"/>
              <a:ea typeface="+mn-ea"/>
              <a:cs typeface="+mn-cs"/>
            </a:rPr>
            <a:t>    - </a:t>
          </a:r>
          <a:r>
            <a:rPr lang="en-PH" sz="1100" b="1" baseline="0">
              <a:solidFill>
                <a:schemeClr val="dk1"/>
              </a:solidFill>
              <a:effectLst/>
              <a:latin typeface="+mn-lt"/>
              <a:ea typeface="+mn-ea"/>
              <a:cs typeface="+mn-cs"/>
            </a:rPr>
            <a:t>Could be instead of giving the additional bonus on Dec. 2023, it was delivered on Nov. 2023 altogether.</a:t>
          </a:r>
          <a:endParaRPr lang="en-PH" sz="1100" b="1" baseline="0"/>
        </a:p>
        <a:p>
          <a:endParaRPr lang="en-PH" sz="1100" baseline="0"/>
        </a:p>
        <a:p>
          <a:r>
            <a:rPr lang="en-PH" sz="1200" b="1" baseline="0"/>
            <a:t>2. </a:t>
          </a:r>
          <a:r>
            <a:rPr lang="en-PH" sz="1200" b="1" i="1" baseline="0"/>
            <a:t>"Tahong harvest"</a:t>
          </a:r>
          <a:r>
            <a:rPr lang="en-PH" sz="1200" b="1" baseline="0"/>
            <a:t> as an addition income source.</a:t>
          </a:r>
          <a:endParaRPr lang="en-PH" sz="1100" b="1" baseline="0"/>
        </a:p>
        <a:p>
          <a:r>
            <a:rPr lang="en-PH" sz="1100" baseline="0"/>
            <a:t>    - Additional income source on the top of usual income sources (such as monthly salary)</a:t>
          </a:r>
        </a:p>
        <a:p>
          <a:r>
            <a:rPr lang="en-PH" sz="1100" baseline="0"/>
            <a:t>    - An income source that only received in this month alone.</a:t>
          </a:r>
        </a:p>
        <a:p>
          <a:endParaRPr lang="en-PH" sz="1100" baseline="0"/>
        </a:p>
        <a:p>
          <a:r>
            <a:rPr lang="en-PH" sz="1400" b="1" baseline="0"/>
            <a:t>Conclusion:</a:t>
          </a:r>
          <a:endParaRPr lang="en-PH" sz="1100" b="1" baseline="0"/>
        </a:p>
        <a:p>
          <a:r>
            <a:rPr lang="en-PH" sz="1100" baseline="0"/>
            <a:t>- </a:t>
          </a:r>
          <a:r>
            <a:rPr lang="en-PH" sz="1100" b="1" baseline="0"/>
            <a:t>An unlabeled income source is contributing largely on total income on the month of Nov. 2023.</a:t>
          </a:r>
        </a:p>
        <a:p>
          <a:r>
            <a:rPr lang="en-PH" sz="1100" b="0" baseline="0"/>
            <a:t>- The unlabeled income could be from different sources such as 13th-month pay, salary bonus, etc.</a:t>
          </a:r>
        </a:p>
      </xdr:txBody>
    </xdr:sp>
    <xdr:clientData/>
  </xdr:twoCellAnchor>
  <xdr:twoCellAnchor>
    <xdr:from>
      <xdr:col>5</xdr:col>
      <xdr:colOff>676275</xdr:colOff>
      <xdr:row>535</xdr:row>
      <xdr:rowOff>28575</xdr:rowOff>
    </xdr:from>
    <xdr:to>
      <xdr:col>11</xdr:col>
      <xdr:colOff>13335</xdr:colOff>
      <xdr:row>550</xdr:row>
      <xdr:rowOff>19050</xdr:rowOff>
    </xdr:to>
    <xdr:sp macro="" textlink="">
      <xdr:nvSpPr>
        <xdr:cNvPr id="32" name="TextBox 31">
          <a:extLst>
            <a:ext uri="{FF2B5EF4-FFF2-40B4-BE49-F238E27FC236}">
              <a16:creationId xmlns:a16="http://schemas.microsoft.com/office/drawing/2014/main" id="{494A1DF7-4B3D-9A0E-5DAA-53D238BAB69C}"/>
            </a:ext>
          </a:extLst>
        </xdr:cNvPr>
        <xdr:cNvSpPr txBox="1"/>
      </xdr:nvSpPr>
      <xdr:spPr>
        <a:xfrm>
          <a:off x="6867525" y="107489625"/>
          <a:ext cx="7166610" cy="2847975"/>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baseline="0"/>
            <a:t>Assumption Computation:</a:t>
          </a:r>
          <a:endParaRPr lang="en-PH" sz="1100" b="1" baseline="0"/>
        </a:p>
        <a:p>
          <a:r>
            <a:rPr lang="en-PH" sz="1100" baseline="0"/>
            <a:t>Since there's a salary of </a:t>
          </a:r>
          <a:r>
            <a:rPr lang="en-PH" sz="1100" b="0" baseline="0">
              <a:solidFill>
                <a:schemeClr val="dk1"/>
              </a:solidFill>
              <a:effectLst/>
              <a:latin typeface="+mn-lt"/>
              <a:ea typeface="+mn-ea"/>
              <a:cs typeface="+mn-cs"/>
            </a:rPr>
            <a:t>₱</a:t>
          </a:r>
          <a:r>
            <a:rPr lang="en-PH" sz="1100" baseline="0"/>
            <a:t>12,734 in November 2023, which is half of the full monthly salary (approximately </a:t>
          </a:r>
          <a:r>
            <a:rPr lang="en-PH" sz="1100" b="0" baseline="0">
              <a:solidFill>
                <a:schemeClr val="dk1"/>
              </a:solidFill>
              <a:effectLst/>
              <a:latin typeface="+mn-lt"/>
              <a:ea typeface="+mn-ea"/>
              <a:cs typeface="+mn-cs"/>
            </a:rPr>
            <a:t>₱25,500). The other half might be in "</a:t>
          </a:r>
          <a:r>
            <a:rPr lang="en-PH" sz="1100" b="0" i="1" baseline="0">
              <a:solidFill>
                <a:schemeClr val="dk1"/>
              </a:solidFill>
              <a:effectLst/>
              <a:latin typeface="+mn-lt"/>
              <a:ea typeface="+mn-ea"/>
              <a:cs typeface="+mn-cs"/>
            </a:rPr>
            <a:t>Income (with bonus)</a:t>
          </a:r>
          <a:r>
            <a:rPr lang="en-PH" sz="1100" b="0" baseline="0">
              <a:solidFill>
                <a:schemeClr val="dk1"/>
              </a:solidFill>
              <a:effectLst/>
              <a:latin typeface="+mn-lt"/>
              <a:ea typeface="+mn-ea"/>
              <a:cs typeface="+mn-cs"/>
            </a:rPr>
            <a:t>", so separating the other half from that amount:</a:t>
          </a:r>
        </a:p>
        <a:p>
          <a:r>
            <a:rPr lang="en-PH" sz="1100" b="0" baseline="0">
              <a:solidFill>
                <a:schemeClr val="dk1"/>
              </a:solidFill>
              <a:effectLst/>
              <a:latin typeface="+mn-lt"/>
              <a:ea typeface="+mn-ea"/>
              <a:cs typeface="+mn-cs"/>
            </a:rPr>
            <a:t>    - Let </a:t>
          </a:r>
          <a:r>
            <a:rPr lang="en-PH" sz="1100" b="1" i="1" baseline="0">
              <a:solidFill>
                <a:schemeClr val="dk1"/>
              </a:solidFill>
              <a:effectLst/>
              <a:latin typeface="+mn-lt"/>
              <a:ea typeface="+mn-ea"/>
              <a:cs typeface="+mn-cs"/>
            </a:rPr>
            <a:t>x</a:t>
          </a:r>
          <a:r>
            <a:rPr lang="en-PH" sz="1100" b="0" baseline="0">
              <a:solidFill>
                <a:schemeClr val="dk1"/>
              </a:solidFill>
              <a:effectLst/>
              <a:latin typeface="+mn-lt"/>
              <a:ea typeface="+mn-ea"/>
              <a:cs typeface="+mn-cs"/>
            </a:rPr>
            <a:t> be the </a:t>
          </a:r>
          <a:r>
            <a:rPr lang="en-PH" sz="1100" b="0" i="1" baseline="0">
              <a:solidFill>
                <a:schemeClr val="dk1"/>
              </a:solidFill>
              <a:effectLst/>
              <a:latin typeface="+mn-lt"/>
              <a:ea typeface="+mn-ea"/>
              <a:cs typeface="+mn-cs"/>
            </a:rPr>
            <a:t>remaining half of monthly salary</a:t>
          </a:r>
        </a:p>
        <a:p>
          <a:r>
            <a:rPr lang="en-PH" sz="1100" b="0" baseline="0">
              <a:solidFill>
                <a:schemeClr val="dk1"/>
              </a:solidFill>
              <a:effectLst/>
              <a:latin typeface="+mn-lt"/>
              <a:ea typeface="+mn-ea"/>
              <a:cs typeface="+mn-cs"/>
            </a:rPr>
            <a:t>        - </a:t>
          </a:r>
          <a:r>
            <a:rPr lang="en-PH" sz="1100" b="0" i="1" baseline="0">
              <a:solidFill>
                <a:schemeClr val="dk1"/>
              </a:solidFill>
              <a:effectLst/>
              <a:latin typeface="+mn-lt"/>
              <a:ea typeface="+mn-ea"/>
              <a:cs typeface="+mn-cs"/>
            </a:rPr>
            <a:t>x</a:t>
          </a:r>
          <a:r>
            <a:rPr lang="en-PH" sz="1100" b="0" baseline="0">
              <a:solidFill>
                <a:schemeClr val="dk1"/>
              </a:solidFill>
              <a:effectLst/>
              <a:latin typeface="+mn-lt"/>
              <a:ea typeface="+mn-ea"/>
              <a:cs typeface="+mn-cs"/>
            </a:rPr>
            <a:t> = 25,500 - 12,734 </a:t>
          </a:r>
          <a:endParaRPr lang="en-PH" sz="1100" b="1" baseline="0"/>
        </a:p>
        <a:p>
          <a:pPr marL="0" marR="0" lvl="0" indent="0" defTabSz="914400" eaLnBrk="1" fontAlgn="auto" latinLnBrk="0" hangingPunct="1">
            <a:lnSpc>
              <a:spcPct val="100000"/>
            </a:lnSpc>
            <a:spcBef>
              <a:spcPts val="0"/>
            </a:spcBef>
            <a:spcAft>
              <a:spcPts val="0"/>
            </a:spcAft>
            <a:buClrTx/>
            <a:buSzTx/>
            <a:buFontTx/>
            <a:buNone/>
            <a:tabLst/>
            <a:defRPr/>
          </a:pPr>
          <a:r>
            <a:rPr lang="en-PH" sz="1100" b="0" baseline="0">
              <a:solidFill>
                <a:schemeClr val="dk1"/>
              </a:solidFill>
              <a:effectLst/>
              <a:latin typeface="+mn-lt"/>
              <a:ea typeface="+mn-ea"/>
              <a:cs typeface="+mn-cs"/>
            </a:rPr>
            <a:t>        - </a:t>
          </a:r>
          <a:r>
            <a:rPr lang="en-PH" sz="1100" b="1" i="1" baseline="0">
              <a:solidFill>
                <a:schemeClr val="dk1"/>
              </a:solidFill>
              <a:effectLst/>
              <a:latin typeface="+mn-lt"/>
              <a:ea typeface="+mn-ea"/>
              <a:cs typeface="+mn-cs"/>
            </a:rPr>
            <a:t>x </a:t>
          </a:r>
          <a:r>
            <a:rPr lang="en-PH" sz="1100" b="1" i="0" baseline="0">
              <a:solidFill>
                <a:schemeClr val="dk1"/>
              </a:solidFill>
              <a:effectLst/>
              <a:latin typeface="+mn-lt"/>
              <a:ea typeface="+mn-ea"/>
              <a:cs typeface="+mn-cs"/>
            </a:rPr>
            <a:t>= </a:t>
          </a:r>
          <a:r>
            <a:rPr lang="en-PH" sz="1100" b="1" baseline="0">
              <a:solidFill>
                <a:schemeClr val="dk1"/>
              </a:solidFill>
              <a:effectLst/>
              <a:latin typeface="+mn-lt"/>
              <a:ea typeface="+mn-ea"/>
              <a:cs typeface="+mn-cs"/>
            </a:rPr>
            <a:t>12,766</a:t>
          </a:r>
        </a:p>
        <a:p>
          <a:pPr marL="0" marR="0" lvl="0" indent="0" defTabSz="914400" eaLnBrk="1" fontAlgn="auto" latinLnBrk="0" hangingPunct="1">
            <a:lnSpc>
              <a:spcPct val="100000"/>
            </a:lnSpc>
            <a:spcBef>
              <a:spcPts val="0"/>
            </a:spcBef>
            <a:spcAft>
              <a:spcPts val="0"/>
            </a:spcAft>
            <a:buClrTx/>
            <a:buSzTx/>
            <a:buFontTx/>
            <a:buNone/>
            <a:tabLst/>
            <a:defRPr/>
          </a:pPr>
          <a:endParaRPr lang="en-PH" sz="1100" baseline="0"/>
        </a:p>
        <a:p>
          <a:r>
            <a:rPr lang="en-PH" sz="1100" baseline="0"/>
            <a:t>    - Then subtract "Income (with bonus?) by </a:t>
          </a:r>
          <a:r>
            <a:rPr lang="en-PH" sz="1100" b="1" i="1" baseline="0"/>
            <a:t>x</a:t>
          </a:r>
          <a:r>
            <a:rPr lang="en-PH" sz="1100" b="0" i="0" baseline="0"/>
            <a:t> to separate half monthly salary, and get the </a:t>
          </a:r>
          <a:r>
            <a:rPr lang="en-PH" sz="1100" b="0" i="1" baseline="0"/>
            <a:t>unknown income. </a:t>
          </a:r>
          <a:r>
            <a:rPr lang="en-PH" sz="1100" b="0" i="0" baseline="0"/>
            <a:t>Let it be </a:t>
          </a:r>
          <a:r>
            <a:rPr lang="en-PH" sz="1100" b="1" i="1" baseline="0"/>
            <a:t>y</a:t>
          </a:r>
          <a:r>
            <a:rPr lang="en-PH" sz="1100" baseline="0"/>
            <a:t>:</a:t>
          </a:r>
        </a:p>
        <a:p>
          <a:r>
            <a:rPr lang="en-PH" sz="1100" baseline="0"/>
            <a:t>        - </a:t>
          </a:r>
          <a:r>
            <a:rPr lang="en-PH" sz="1100" i="1" baseline="0"/>
            <a:t>y</a:t>
          </a:r>
          <a:r>
            <a:rPr lang="en-PH" sz="1100" i="0" baseline="0"/>
            <a:t> = 44,732 - </a:t>
          </a:r>
          <a:r>
            <a:rPr lang="en-PH" sz="1100" i="1" baseline="0"/>
            <a:t>x</a:t>
          </a:r>
          <a:endParaRPr lang="en-PH" sz="1100" i="0" baseline="0"/>
        </a:p>
        <a:p>
          <a:r>
            <a:rPr lang="en-PH" sz="1100" baseline="0">
              <a:solidFill>
                <a:schemeClr val="dk1"/>
              </a:solidFill>
              <a:effectLst/>
              <a:latin typeface="+mn-lt"/>
              <a:ea typeface="+mn-ea"/>
              <a:cs typeface="+mn-cs"/>
            </a:rPr>
            <a:t>        - </a:t>
          </a:r>
          <a:r>
            <a:rPr lang="en-PH" sz="1100" i="1" baseline="0">
              <a:solidFill>
                <a:schemeClr val="dk1"/>
              </a:solidFill>
              <a:effectLst/>
              <a:latin typeface="+mn-lt"/>
              <a:ea typeface="+mn-ea"/>
              <a:cs typeface="+mn-cs"/>
            </a:rPr>
            <a:t>y</a:t>
          </a:r>
          <a:r>
            <a:rPr lang="en-PH" sz="1100" i="0" baseline="0">
              <a:solidFill>
                <a:schemeClr val="dk1"/>
              </a:solidFill>
              <a:effectLst/>
              <a:latin typeface="+mn-lt"/>
              <a:ea typeface="+mn-ea"/>
              <a:cs typeface="+mn-cs"/>
            </a:rPr>
            <a:t> = 44,732 - 12,766</a:t>
          </a:r>
        </a:p>
        <a:p>
          <a:r>
            <a:rPr lang="en-PH" sz="1100" baseline="0">
              <a:solidFill>
                <a:schemeClr val="dk1"/>
              </a:solidFill>
              <a:effectLst/>
              <a:latin typeface="+mn-lt"/>
              <a:ea typeface="+mn-ea"/>
              <a:cs typeface="+mn-cs"/>
            </a:rPr>
            <a:t>        - </a:t>
          </a:r>
          <a:r>
            <a:rPr lang="en-PH" sz="1100" b="1" i="1" baseline="0">
              <a:solidFill>
                <a:schemeClr val="dk1"/>
              </a:solidFill>
              <a:effectLst/>
              <a:latin typeface="+mn-lt"/>
              <a:ea typeface="+mn-ea"/>
              <a:cs typeface="+mn-cs"/>
            </a:rPr>
            <a:t>y</a:t>
          </a:r>
          <a:r>
            <a:rPr lang="en-PH" sz="1100" b="1" i="0" baseline="0">
              <a:solidFill>
                <a:schemeClr val="dk1"/>
              </a:solidFill>
              <a:effectLst/>
              <a:latin typeface="+mn-lt"/>
              <a:ea typeface="+mn-ea"/>
              <a:cs typeface="+mn-cs"/>
            </a:rPr>
            <a:t> = 31,966</a:t>
          </a:r>
          <a:endParaRPr lang="en-PH" sz="1100" b="1" i="1" baseline="0">
            <a:solidFill>
              <a:schemeClr val="dk1"/>
            </a:solidFill>
            <a:effectLst/>
            <a:latin typeface="+mn-lt"/>
            <a:ea typeface="+mn-ea"/>
            <a:cs typeface="+mn-cs"/>
          </a:endParaRPr>
        </a:p>
        <a:p>
          <a:endParaRPr lang="en-PH" sz="1100" i="1" baseline="0">
            <a:solidFill>
              <a:schemeClr val="dk1"/>
            </a:solidFill>
            <a:effectLst/>
            <a:latin typeface="+mn-lt"/>
            <a:ea typeface="+mn-ea"/>
            <a:cs typeface="+mn-cs"/>
          </a:endParaRPr>
        </a:p>
        <a:p>
          <a:r>
            <a:rPr lang="en-PH" sz="1400" b="1" i="0" baseline="0">
              <a:solidFill>
                <a:schemeClr val="dk1"/>
              </a:solidFill>
              <a:effectLst/>
              <a:latin typeface="+mn-lt"/>
              <a:ea typeface="+mn-ea"/>
              <a:cs typeface="+mn-cs"/>
            </a:rPr>
            <a:t>Conclusion:</a:t>
          </a:r>
        </a:p>
        <a:p>
          <a:r>
            <a:rPr lang="en-PH" sz="1100" i="0" baseline="0">
              <a:solidFill>
                <a:schemeClr val="dk1"/>
              </a:solidFill>
              <a:effectLst/>
              <a:latin typeface="+mn-lt"/>
              <a:ea typeface="+mn-ea"/>
              <a:cs typeface="+mn-cs"/>
            </a:rPr>
            <a:t>- There is </a:t>
          </a:r>
          <a:r>
            <a:rPr lang="en-PH" sz="1100" b="0" baseline="0">
              <a:solidFill>
                <a:schemeClr val="dk1"/>
              </a:solidFill>
              <a:effectLst/>
              <a:latin typeface="+mn-lt"/>
              <a:ea typeface="+mn-ea"/>
              <a:cs typeface="+mn-cs"/>
            </a:rPr>
            <a:t>₱</a:t>
          </a:r>
          <a:r>
            <a:rPr lang="en-PH" sz="1100" i="0" baseline="0">
              <a:solidFill>
                <a:schemeClr val="dk1"/>
              </a:solidFill>
              <a:effectLst/>
              <a:latin typeface="+mn-lt"/>
              <a:ea typeface="+mn-ea"/>
              <a:cs typeface="+mn-cs"/>
            </a:rPr>
            <a:t>31,966 unlabeled income.</a:t>
          </a:r>
        </a:p>
        <a:p>
          <a:r>
            <a:rPr lang="en-PH" sz="1100" i="0" baseline="0">
              <a:solidFill>
                <a:schemeClr val="dk1"/>
              </a:solidFill>
              <a:effectLst/>
              <a:latin typeface="+mn-lt"/>
              <a:ea typeface="+mn-ea"/>
              <a:cs typeface="+mn-cs"/>
            </a:rPr>
            <a:t>- Remainig half of monthly salary in Nov. 2023 is </a:t>
          </a:r>
          <a:r>
            <a:rPr lang="en-PH" sz="1100" b="0" baseline="0">
              <a:solidFill>
                <a:schemeClr val="dk1"/>
              </a:solidFill>
              <a:effectLst/>
              <a:latin typeface="+mn-lt"/>
              <a:ea typeface="+mn-ea"/>
              <a:cs typeface="+mn-cs"/>
            </a:rPr>
            <a:t>₱12,766</a:t>
          </a:r>
        </a:p>
      </xdr:txBody>
    </xdr:sp>
    <xdr:clientData/>
  </xdr:twoCellAnchor>
  <xdr:twoCellAnchor>
    <xdr:from>
      <xdr:col>8</xdr:col>
      <xdr:colOff>24765</xdr:colOff>
      <xdr:row>519</xdr:row>
      <xdr:rowOff>85725</xdr:rowOff>
    </xdr:from>
    <xdr:to>
      <xdr:col>9</xdr:col>
      <xdr:colOff>0</xdr:colOff>
      <xdr:row>519</xdr:row>
      <xdr:rowOff>167640</xdr:rowOff>
    </xdr:to>
    <xdr:cxnSp macro="">
      <xdr:nvCxnSpPr>
        <xdr:cNvPr id="34" name="Connector: Curved 33">
          <a:extLst>
            <a:ext uri="{FF2B5EF4-FFF2-40B4-BE49-F238E27FC236}">
              <a16:creationId xmlns:a16="http://schemas.microsoft.com/office/drawing/2014/main" id="{E2367BC3-7C1B-654E-936F-494FB857B405}"/>
            </a:ext>
          </a:extLst>
        </xdr:cNvPr>
        <xdr:cNvCxnSpPr/>
      </xdr:nvCxnSpPr>
      <xdr:spPr>
        <a:xfrm flipV="1">
          <a:off x="10340340" y="105870375"/>
          <a:ext cx="1470660" cy="81915"/>
        </a:xfrm>
        <a:prstGeom prst="curvedConnector3">
          <a:avLst>
            <a:gd name="adj1" fmla="val 50000"/>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106680</xdr:colOff>
      <xdr:row>535</xdr:row>
      <xdr:rowOff>26670</xdr:rowOff>
    </xdr:from>
    <xdr:to>
      <xdr:col>5</xdr:col>
      <xdr:colOff>533400</xdr:colOff>
      <xdr:row>550</xdr:row>
      <xdr:rowOff>26670</xdr:rowOff>
    </xdr:to>
    <xdr:graphicFrame macro="">
      <xdr:nvGraphicFramePr>
        <xdr:cNvPr id="39" name="Chart 38">
          <a:extLst>
            <a:ext uri="{FF2B5EF4-FFF2-40B4-BE49-F238E27FC236}">
              <a16:creationId xmlns:a16="http://schemas.microsoft.com/office/drawing/2014/main" id="{24437310-EE26-BC52-E235-7B5FDD1E7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1466852</xdr:colOff>
      <xdr:row>519</xdr:row>
      <xdr:rowOff>228602</xdr:rowOff>
    </xdr:from>
    <xdr:to>
      <xdr:col>9</xdr:col>
      <xdr:colOff>323852</xdr:colOff>
      <xdr:row>526</xdr:row>
      <xdr:rowOff>28578</xdr:rowOff>
    </xdr:to>
    <xdr:cxnSp macro="">
      <xdr:nvCxnSpPr>
        <xdr:cNvPr id="45" name="Connector: Elbow 44">
          <a:extLst>
            <a:ext uri="{FF2B5EF4-FFF2-40B4-BE49-F238E27FC236}">
              <a16:creationId xmlns:a16="http://schemas.microsoft.com/office/drawing/2014/main" id="{01174635-D09D-BA0E-DF12-38E8C5F876B5}"/>
            </a:ext>
          </a:extLst>
        </xdr:cNvPr>
        <xdr:cNvCxnSpPr/>
      </xdr:nvCxnSpPr>
      <xdr:spPr>
        <a:xfrm rot="16200000" flipH="1">
          <a:off x="11353802" y="106441877"/>
          <a:ext cx="1209676" cy="352425"/>
        </a:xfrm>
        <a:prstGeom prst="bentConnector3">
          <a:avLst>
            <a:gd name="adj1" fmla="val 89370"/>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83820</xdr:colOff>
      <xdr:row>570</xdr:row>
      <xdr:rowOff>41910</xdr:rowOff>
    </xdr:from>
    <xdr:to>
      <xdr:col>6</xdr:col>
      <xdr:colOff>556260</xdr:colOff>
      <xdr:row>585</xdr:row>
      <xdr:rowOff>41910</xdr:rowOff>
    </xdr:to>
    <xdr:graphicFrame macro="">
      <xdr:nvGraphicFramePr>
        <xdr:cNvPr id="60" name="Chart 59">
          <a:extLst>
            <a:ext uri="{FF2B5EF4-FFF2-40B4-BE49-F238E27FC236}">
              <a16:creationId xmlns:a16="http://schemas.microsoft.com/office/drawing/2014/main" id="{B7CA0B03-886A-F4A9-15B3-270815344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34290</xdr:colOff>
      <xdr:row>641</xdr:row>
      <xdr:rowOff>186689</xdr:rowOff>
    </xdr:from>
    <xdr:to>
      <xdr:col>7</xdr:col>
      <xdr:colOff>53340</xdr:colOff>
      <xdr:row>659</xdr:row>
      <xdr:rowOff>9525</xdr:rowOff>
    </xdr:to>
    <xdr:sp macro="" textlink="">
      <xdr:nvSpPr>
        <xdr:cNvPr id="62" name="TextBox 61">
          <a:extLst>
            <a:ext uri="{FF2B5EF4-FFF2-40B4-BE49-F238E27FC236}">
              <a16:creationId xmlns:a16="http://schemas.microsoft.com/office/drawing/2014/main" id="{C9E33C8C-B026-71D3-DC17-643F77A87144}"/>
            </a:ext>
          </a:extLst>
        </xdr:cNvPr>
        <xdr:cNvSpPr txBox="1"/>
      </xdr:nvSpPr>
      <xdr:spPr>
        <a:xfrm>
          <a:off x="34290" y="73767314"/>
          <a:ext cx="7800975" cy="3251836"/>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a:t>1. There are more extra income other than monthly salary in months</a:t>
          </a:r>
          <a:r>
            <a:rPr lang="en-PH" sz="1200" b="1" baseline="0"/>
            <a:t> of November.</a:t>
          </a:r>
          <a:endParaRPr lang="en-PH" sz="1100" b="1" baseline="0"/>
        </a:p>
        <a:p>
          <a:r>
            <a:rPr lang="en-PH" sz="1100" baseline="0"/>
            <a:t>    - </a:t>
          </a:r>
          <a:r>
            <a:rPr lang="en-PH" sz="1100" b="1" baseline="0"/>
            <a:t>Month of November is when receiving Year-end bonus seems a tendency.</a:t>
          </a:r>
        </a:p>
        <a:p>
          <a:r>
            <a:rPr lang="en-PH" sz="1100" b="1" baseline="0"/>
            <a:t>    </a:t>
          </a:r>
          <a:r>
            <a:rPr lang="en-PH" sz="1100" b="0" baseline="0"/>
            <a:t>- Also includes other incentives.</a:t>
          </a:r>
        </a:p>
        <a:p>
          <a:r>
            <a:rPr lang="en-PH" sz="1100" b="0" baseline="0"/>
            <a:t>    - "Tahong harvest" just happen to be in this month which contributes more to increased monthly income.</a:t>
          </a:r>
        </a:p>
        <a:p>
          <a:endParaRPr lang="en-PH" sz="1100" baseline="0"/>
        </a:p>
        <a:p>
          <a:r>
            <a:rPr lang="en-PH" sz="1200" b="1" baseline="0"/>
            <a:t>2. Month of </a:t>
          </a:r>
          <a:r>
            <a:rPr lang="en-PH" sz="1200" b="1" i="0" baseline="0"/>
            <a:t>May also have high income, but it is caused by "Bonus salary".</a:t>
          </a:r>
          <a:endParaRPr lang="en-PH" sz="1100" b="1" i="0" baseline="0"/>
        </a:p>
        <a:p>
          <a:r>
            <a:rPr lang="en-PH" sz="1100" baseline="0"/>
            <a:t>    - Additional income source on the top of usual income sources (such as monthly salary)</a:t>
          </a:r>
        </a:p>
        <a:p>
          <a:r>
            <a:rPr lang="en-PH" sz="1100" baseline="0"/>
            <a:t>    - Could be another pattern that May is also another month when there's more income than the usual months.</a:t>
          </a:r>
        </a:p>
        <a:p>
          <a:endParaRPr lang="en-PH" sz="1100" baseline="0"/>
        </a:p>
        <a:p>
          <a:pPr marL="0" marR="0" lvl="0" indent="0" defTabSz="914400" eaLnBrk="1" fontAlgn="auto" latinLnBrk="0" hangingPunct="1">
            <a:lnSpc>
              <a:spcPct val="100000"/>
            </a:lnSpc>
            <a:spcBef>
              <a:spcPts val="0"/>
            </a:spcBef>
            <a:spcAft>
              <a:spcPts val="0"/>
            </a:spcAft>
            <a:buClrTx/>
            <a:buSzTx/>
            <a:buFontTx/>
            <a:buNone/>
            <a:tabLst/>
            <a:defRPr/>
          </a:pPr>
          <a:r>
            <a:rPr lang="en-PH" sz="1200" b="1" baseline="0">
              <a:solidFill>
                <a:schemeClr val="dk1"/>
              </a:solidFill>
              <a:effectLst/>
              <a:latin typeface="+mn-lt"/>
              <a:ea typeface="+mn-ea"/>
              <a:cs typeface="+mn-cs"/>
            </a:rPr>
            <a:t>3. Incentives and benefits tend to come around Novermber and December.</a:t>
          </a:r>
          <a:endParaRPr lang="en-PH" sz="1100" baseline="0"/>
        </a:p>
        <a:p>
          <a:r>
            <a:rPr lang="en-PH" sz="1100" baseline="0"/>
            <a:t>    - For some reason, most benefits comes during November.</a:t>
          </a:r>
        </a:p>
        <a:p>
          <a:r>
            <a:rPr lang="en-PH" sz="1100" baseline="0"/>
            <a:t>    - Causes more than usual amount of income.</a:t>
          </a:r>
        </a:p>
        <a:p>
          <a:endParaRPr lang="en-PH" sz="1100" baseline="0"/>
        </a:p>
        <a:p>
          <a:r>
            <a:rPr lang="en-PH" sz="1400" b="1" baseline="0"/>
            <a:t>Conclusion:</a:t>
          </a:r>
          <a:endParaRPr lang="en-PH" sz="1100" b="1" baseline="0"/>
        </a:p>
        <a:p>
          <a:r>
            <a:rPr lang="en-PH" sz="1100" baseline="0"/>
            <a:t>- </a:t>
          </a:r>
          <a:r>
            <a:rPr lang="en-PH" sz="1100" b="1">
              <a:solidFill>
                <a:schemeClr val="dk1"/>
              </a:solidFill>
              <a:effectLst/>
              <a:latin typeface="+mn-lt"/>
              <a:ea typeface="+mn-ea"/>
              <a:cs typeface="+mn-cs"/>
            </a:rPr>
            <a:t>There are more extra income (benifits</a:t>
          </a:r>
          <a:r>
            <a:rPr lang="en-PH" sz="1100" b="1" baseline="0">
              <a:solidFill>
                <a:schemeClr val="dk1"/>
              </a:solidFill>
              <a:effectLst/>
              <a:latin typeface="+mn-lt"/>
              <a:ea typeface="+mn-ea"/>
              <a:cs typeface="+mn-cs"/>
            </a:rPr>
            <a:t> and incentives) </a:t>
          </a:r>
          <a:r>
            <a:rPr lang="en-PH" sz="1100" b="1">
              <a:solidFill>
                <a:schemeClr val="dk1"/>
              </a:solidFill>
              <a:effectLst/>
              <a:latin typeface="+mn-lt"/>
              <a:ea typeface="+mn-ea"/>
              <a:cs typeface="+mn-cs"/>
            </a:rPr>
            <a:t>other than monthly salary in months</a:t>
          </a:r>
          <a:r>
            <a:rPr lang="en-PH" sz="1100" b="1" baseline="0">
              <a:solidFill>
                <a:schemeClr val="dk1"/>
              </a:solidFill>
              <a:effectLst/>
              <a:latin typeface="+mn-lt"/>
              <a:ea typeface="+mn-ea"/>
              <a:cs typeface="+mn-cs"/>
            </a:rPr>
            <a:t> of November.</a:t>
          </a:r>
        </a:p>
        <a:p>
          <a:pPr marL="0" marR="0" lvl="0" indent="0" defTabSz="914400" eaLnBrk="1" fontAlgn="auto" latinLnBrk="0" hangingPunct="1">
            <a:lnSpc>
              <a:spcPct val="100000"/>
            </a:lnSpc>
            <a:spcBef>
              <a:spcPts val="0"/>
            </a:spcBef>
            <a:spcAft>
              <a:spcPts val="0"/>
            </a:spcAft>
            <a:buClrTx/>
            <a:buSzTx/>
            <a:buFontTx/>
            <a:buNone/>
            <a:tabLst/>
            <a:defRPr/>
          </a:pPr>
          <a:r>
            <a:rPr lang="en-PH" sz="1100" b="0" baseline="0">
              <a:solidFill>
                <a:schemeClr val="dk1"/>
              </a:solidFill>
              <a:effectLst/>
              <a:latin typeface="+mn-lt"/>
              <a:ea typeface="+mn-ea"/>
              <a:cs typeface="+mn-cs"/>
            </a:rPr>
            <a:t>- Incentives and benefits tend to come around Novermber and December, but most of them is in November.</a:t>
          </a:r>
          <a:endParaRPr lang="en-PH" b="0">
            <a:effectLst/>
          </a:endParaRPr>
        </a:p>
      </xdr:txBody>
    </xdr:sp>
    <xdr:clientData/>
  </xdr:twoCellAnchor>
  <xdr:twoCellAnchor>
    <xdr:from>
      <xdr:col>1</xdr:col>
      <xdr:colOff>962027</xdr:colOff>
      <xdr:row>571</xdr:row>
      <xdr:rowOff>142874</xdr:rowOff>
    </xdr:from>
    <xdr:to>
      <xdr:col>7</xdr:col>
      <xdr:colOff>9526</xdr:colOff>
      <xdr:row>587</xdr:row>
      <xdr:rowOff>76199</xdr:rowOff>
    </xdr:to>
    <xdr:cxnSp macro="">
      <xdr:nvCxnSpPr>
        <xdr:cNvPr id="24" name="Connector: Elbow 23">
          <a:extLst>
            <a:ext uri="{FF2B5EF4-FFF2-40B4-BE49-F238E27FC236}">
              <a16:creationId xmlns:a16="http://schemas.microsoft.com/office/drawing/2014/main" id="{94DDB231-BFCC-E2D8-1E73-21FB24222F37}"/>
            </a:ext>
          </a:extLst>
        </xdr:cNvPr>
        <xdr:cNvCxnSpPr/>
      </xdr:nvCxnSpPr>
      <xdr:spPr>
        <a:xfrm rot="10800000" flipV="1">
          <a:off x="2724152" y="116214524"/>
          <a:ext cx="6286499" cy="3057525"/>
        </a:xfrm>
        <a:prstGeom prst="bentConnector3">
          <a:avLst>
            <a:gd name="adj1" fmla="val 1667"/>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952500</xdr:colOff>
      <xdr:row>587</xdr:row>
      <xdr:rowOff>161925</xdr:rowOff>
    </xdr:from>
    <xdr:to>
      <xdr:col>4</xdr:col>
      <xdr:colOff>19050</xdr:colOff>
      <xdr:row>588</xdr:row>
      <xdr:rowOff>123825</xdr:rowOff>
    </xdr:to>
    <xdr:cxnSp macro="">
      <xdr:nvCxnSpPr>
        <xdr:cNvPr id="36" name="Connector: Curved 35">
          <a:extLst>
            <a:ext uri="{FF2B5EF4-FFF2-40B4-BE49-F238E27FC236}">
              <a16:creationId xmlns:a16="http://schemas.microsoft.com/office/drawing/2014/main" id="{9D192179-D29F-27EB-0CA1-620EEBC41C43}"/>
            </a:ext>
          </a:extLst>
        </xdr:cNvPr>
        <xdr:cNvCxnSpPr/>
      </xdr:nvCxnSpPr>
      <xdr:spPr>
        <a:xfrm>
          <a:off x="2466975" y="63703200"/>
          <a:ext cx="2409825" cy="228600"/>
        </a:xfrm>
        <a:prstGeom prst="curvedConnector3">
          <a:avLst>
            <a:gd name="adj1" fmla="val 71739"/>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76200</xdr:colOff>
      <xdr:row>587</xdr:row>
      <xdr:rowOff>152400</xdr:rowOff>
    </xdr:from>
    <xdr:to>
      <xdr:col>8</xdr:col>
      <xdr:colOff>1457325</xdr:colOff>
      <xdr:row>588</xdr:row>
      <xdr:rowOff>76200</xdr:rowOff>
    </xdr:to>
    <xdr:cxnSp macro="">
      <xdr:nvCxnSpPr>
        <xdr:cNvPr id="46" name="Connector: Curved 45">
          <a:extLst>
            <a:ext uri="{FF2B5EF4-FFF2-40B4-BE49-F238E27FC236}">
              <a16:creationId xmlns:a16="http://schemas.microsoft.com/office/drawing/2014/main" id="{462F5067-B9EE-CFD1-A53B-BC27DB255C91}"/>
            </a:ext>
          </a:extLst>
        </xdr:cNvPr>
        <xdr:cNvCxnSpPr/>
      </xdr:nvCxnSpPr>
      <xdr:spPr>
        <a:xfrm flipV="1">
          <a:off x="7581900" y="117824250"/>
          <a:ext cx="4191000" cy="190500"/>
        </a:xfrm>
        <a:prstGeom prst="curvedConnector3">
          <a:avLst>
            <a:gd name="adj1" fmla="val 50000"/>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66675</xdr:colOff>
      <xdr:row>588</xdr:row>
      <xdr:rowOff>180974</xdr:rowOff>
    </xdr:from>
    <xdr:to>
      <xdr:col>9</xdr:col>
      <xdr:colOff>9524</xdr:colOff>
      <xdr:row>612</xdr:row>
      <xdr:rowOff>47623</xdr:rowOff>
    </xdr:to>
    <xdr:cxnSp macro="">
      <xdr:nvCxnSpPr>
        <xdr:cNvPr id="54" name="Connector: Curved 53">
          <a:extLst>
            <a:ext uri="{FF2B5EF4-FFF2-40B4-BE49-F238E27FC236}">
              <a16:creationId xmlns:a16="http://schemas.microsoft.com/office/drawing/2014/main" id="{028F4D15-0D51-F173-E103-F5C6BBDDB35D}"/>
            </a:ext>
          </a:extLst>
        </xdr:cNvPr>
        <xdr:cNvCxnSpPr/>
      </xdr:nvCxnSpPr>
      <xdr:spPr>
        <a:xfrm rot="16200000" flipH="1">
          <a:off x="7439025" y="119776874"/>
          <a:ext cx="4514849" cy="4248149"/>
        </a:xfrm>
        <a:prstGeom prst="curvedConnector3">
          <a:avLst>
            <a:gd name="adj1" fmla="val 21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304800</xdr:colOff>
      <xdr:row>620</xdr:row>
      <xdr:rowOff>14286</xdr:rowOff>
    </xdr:from>
    <xdr:to>
      <xdr:col>8</xdr:col>
      <xdr:colOff>962025</xdr:colOff>
      <xdr:row>639</xdr:row>
      <xdr:rowOff>76199</xdr:rowOff>
    </xdr:to>
    <xdr:graphicFrame macro="">
      <xdr:nvGraphicFramePr>
        <xdr:cNvPr id="58" name="Chart 57">
          <a:extLst>
            <a:ext uri="{FF2B5EF4-FFF2-40B4-BE49-F238E27FC236}">
              <a16:creationId xmlns:a16="http://schemas.microsoft.com/office/drawing/2014/main" id="{5DE3E783-C32C-9A6F-65A9-F3F5B0C4E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657225</xdr:colOff>
      <xdr:row>234</xdr:row>
      <xdr:rowOff>95250</xdr:rowOff>
    </xdr:from>
    <xdr:to>
      <xdr:col>7</xdr:col>
      <xdr:colOff>1209675</xdr:colOff>
      <xdr:row>234</xdr:row>
      <xdr:rowOff>114300</xdr:rowOff>
    </xdr:to>
    <xdr:cxnSp macro="">
      <xdr:nvCxnSpPr>
        <xdr:cNvPr id="37" name="Connector: Curved 36">
          <a:extLst>
            <a:ext uri="{FF2B5EF4-FFF2-40B4-BE49-F238E27FC236}">
              <a16:creationId xmlns:a16="http://schemas.microsoft.com/office/drawing/2014/main" id="{16CBACBB-AE46-7194-53B9-910B176543DC}"/>
            </a:ext>
          </a:extLst>
        </xdr:cNvPr>
        <xdr:cNvCxnSpPr/>
      </xdr:nvCxnSpPr>
      <xdr:spPr>
        <a:xfrm flipV="1">
          <a:off x="3543300" y="50415825"/>
          <a:ext cx="6667500" cy="19050"/>
        </a:xfrm>
        <a:prstGeom prst="curvedConnector3">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1247777</xdr:colOff>
      <xdr:row>234</xdr:row>
      <xdr:rowOff>180978</xdr:rowOff>
    </xdr:from>
    <xdr:to>
      <xdr:col>8</xdr:col>
      <xdr:colOff>285750</xdr:colOff>
      <xdr:row>257</xdr:row>
      <xdr:rowOff>180974</xdr:rowOff>
    </xdr:to>
    <xdr:cxnSp macro="">
      <xdr:nvCxnSpPr>
        <xdr:cNvPr id="50" name="Connector: Elbow 49">
          <a:extLst>
            <a:ext uri="{FF2B5EF4-FFF2-40B4-BE49-F238E27FC236}">
              <a16:creationId xmlns:a16="http://schemas.microsoft.com/office/drawing/2014/main" id="{D12B4C8C-3F57-0213-ACE1-0BE5E771716A}"/>
            </a:ext>
          </a:extLst>
        </xdr:cNvPr>
        <xdr:cNvCxnSpPr/>
      </xdr:nvCxnSpPr>
      <xdr:spPr>
        <a:xfrm rot="16200000" flipH="1">
          <a:off x="8196266" y="52554189"/>
          <a:ext cx="4457696" cy="352423"/>
        </a:xfrm>
        <a:prstGeom prst="bentConnector3">
          <a:avLst>
            <a:gd name="adj1" fmla="val 95086"/>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9525</xdr:colOff>
      <xdr:row>317</xdr:row>
      <xdr:rowOff>9524</xdr:rowOff>
    </xdr:from>
    <xdr:to>
      <xdr:col>14</xdr:col>
      <xdr:colOff>66675</xdr:colOff>
      <xdr:row>340</xdr:row>
      <xdr:rowOff>95249</xdr:rowOff>
    </xdr:to>
    <xdr:sp macro="" textlink="">
      <xdr:nvSpPr>
        <xdr:cNvPr id="56" name="TextBox 55">
          <a:extLst>
            <a:ext uri="{FF2B5EF4-FFF2-40B4-BE49-F238E27FC236}">
              <a16:creationId xmlns:a16="http://schemas.microsoft.com/office/drawing/2014/main" id="{8CA264D3-7F97-4247-8ACA-6C910C548A3B}"/>
            </a:ext>
          </a:extLst>
        </xdr:cNvPr>
        <xdr:cNvSpPr txBox="1"/>
      </xdr:nvSpPr>
      <xdr:spPr>
        <a:xfrm>
          <a:off x="10320338" y="66517837"/>
          <a:ext cx="8034337" cy="4467225"/>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baseline="0">
              <a:solidFill>
                <a:schemeClr val="dk1"/>
              </a:solidFill>
              <a:effectLst/>
              <a:latin typeface="+mn-lt"/>
              <a:ea typeface="+mn-ea"/>
              <a:cs typeface="+mn-cs"/>
            </a:rPr>
            <a:t>1. Top 20 Expenses covers 75.31% of the total expenses:</a:t>
          </a:r>
          <a:endParaRPr lang="en-PH" sz="1200" b="1"/>
        </a:p>
        <a:p>
          <a:r>
            <a:rPr lang="en-PH" sz="1100" b="0"/>
            <a:t>    - Analyzing</a:t>
          </a:r>
          <a:r>
            <a:rPr lang="en-PH" sz="1100" b="0" baseline="0"/>
            <a:t> this top 20 expenses coud give information of top contributors of total expenses.</a:t>
          </a:r>
          <a:br>
            <a:rPr lang="en-PH" sz="1100" b="0" baseline="0"/>
          </a:br>
          <a:endParaRPr lang="en-PH" sz="1100" b="0"/>
        </a:p>
        <a:p>
          <a:r>
            <a:rPr lang="en-PH" sz="1200" b="1"/>
            <a:t>2. 5 G-cash</a:t>
          </a:r>
          <a:r>
            <a:rPr lang="en-PH" sz="1200" b="1" baseline="0"/>
            <a:t> expenses transaction made to the top 20 expenses.</a:t>
          </a:r>
          <a:endParaRPr lang="en-PH" sz="1200" b="1"/>
        </a:p>
        <a:p>
          <a:r>
            <a:rPr lang="en-PH" sz="1100" b="0" baseline="0">
              <a:solidFill>
                <a:schemeClr val="dk1"/>
              </a:solidFill>
              <a:effectLst/>
              <a:latin typeface="+mn-lt"/>
              <a:ea typeface="+mn-ea"/>
              <a:cs typeface="+mn-cs"/>
            </a:rPr>
            <a:t>    1. </a:t>
          </a:r>
          <a:r>
            <a:rPr lang="en-PH" sz="1100" b="1" baseline="0">
              <a:solidFill>
                <a:schemeClr val="dk1"/>
              </a:solidFill>
              <a:effectLst/>
              <a:latin typeface="+mn-lt"/>
              <a:ea typeface="+mn-ea"/>
              <a:cs typeface="+mn-cs"/>
            </a:rPr>
            <a:t>Rank 5:</a:t>
          </a:r>
          <a:r>
            <a:rPr lang="en-PH" sz="1100" b="0" baseline="0">
              <a:solidFill>
                <a:schemeClr val="dk1"/>
              </a:solidFill>
              <a:effectLst/>
              <a:latin typeface="+mn-lt"/>
              <a:ea typeface="+mn-ea"/>
              <a:cs typeface="+mn-cs"/>
            </a:rPr>
            <a:t> "sheena-related" with ₱150 total expenses (just 2% in G-cash expenses)</a:t>
          </a:r>
          <a:endParaRPr lang="en-PH" sz="1100" baseline="0"/>
        </a:p>
        <a:p>
          <a:r>
            <a:rPr lang="en-PH" sz="1100" baseline="0"/>
            <a:t>    2. </a:t>
          </a:r>
          <a:r>
            <a:rPr lang="en-PH" sz="1100" b="1" baseline="0"/>
            <a:t>Rank 8:</a:t>
          </a:r>
          <a:r>
            <a:rPr lang="en-PH" sz="1100" baseline="0"/>
            <a:t> "Supa" with </a:t>
          </a:r>
          <a:r>
            <a:rPr lang="en-PH" sz="1100" b="0" baseline="0">
              <a:solidFill>
                <a:schemeClr val="dk1"/>
              </a:solidFill>
              <a:effectLst/>
              <a:latin typeface="+mn-lt"/>
              <a:ea typeface="+mn-ea"/>
              <a:cs typeface="+mn-cs"/>
            </a:rPr>
            <a:t>₱6,154 total expenses.</a:t>
          </a:r>
        </a:p>
        <a:p>
          <a:r>
            <a:rPr lang="en-PH" sz="1100" b="0" baseline="0">
              <a:solidFill>
                <a:schemeClr val="dk1"/>
              </a:solidFill>
              <a:effectLst/>
              <a:latin typeface="+mn-lt"/>
              <a:ea typeface="+mn-ea"/>
              <a:cs typeface="+mn-cs"/>
            </a:rPr>
            <a:t>    3. </a:t>
          </a:r>
          <a:r>
            <a:rPr lang="en-PH" sz="1100" b="1" baseline="0">
              <a:solidFill>
                <a:schemeClr val="dk1"/>
              </a:solidFill>
              <a:effectLst/>
              <a:latin typeface="+mn-lt"/>
              <a:ea typeface="+mn-ea"/>
              <a:cs typeface="+mn-cs"/>
            </a:rPr>
            <a:t>Rank 10:</a:t>
          </a:r>
          <a:r>
            <a:rPr lang="en-PH" sz="1100" b="0" baseline="0">
              <a:solidFill>
                <a:schemeClr val="dk1"/>
              </a:solidFill>
              <a:effectLst/>
              <a:latin typeface="+mn-lt"/>
              <a:ea typeface="+mn-ea"/>
              <a:cs typeface="+mn-cs"/>
            </a:rPr>
            <a:t> "wifi load (magic data)" with ₱4,494 total expenses.</a:t>
          </a:r>
        </a:p>
        <a:p>
          <a:r>
            <a:rPr lang="en-PH" sz="1100" b="0" baseline="0">
              <a:solidFill>
                <a:schemeClr val="dk1"/>
              </a:solidFill>
              <a:effectLst/>
              <a:latin typeface="+mn-lt"/>
              <a:ea typeface="+mn-ea"/>
              <a:cs typeface="+mn-cs"/>
            </a:rPr>
            <a:t>    4. </a:t>
          </a:r>
          <a:r>
            <a:rPr lang="en-PH" sz="1100" b="1" baseline="0">
              <a:solidFill>
                <a:schemeClr val="dk1"/>
              </a:solidFill>
              <a:effectLst/>
              <a:latin typeface="+mn-lt"/>
              <a:ea typeface="+mn-ea"/>
              <a:cs typeface="+mn-cs"/>
            </a:rPr>
            <a:t>Rank 12:</a:t>
          </a:r>
          <a:r>
            <a:rPr lang="en-PH" sz="1100" b="0" baseline="0">
              <a:solidFill>
                <a:schemeClr val="dk1"/>
              </a:solidFill>
              <a:effectLst/>
              <a:latin typeface="+mn-lt"/>
              <a:ea typeface="+mn-ea"/>
              <a:cs typeface="+mn-cs"/>
            </a:rPr>
            <a:t> "wifi load (family access)" with ₱3,981 total expenses.</a:t>
          </a:r>
        </a:p>
        <a:p>
          <a:r>
            <a:rPr lang="en-PH" sz="1100" b="0" baseline="0">
              <a:solidFill>
                <a:schemeClr val="dk1"/>
              </a:solidFill>
              <a:effectLst/>
              <a:latin typeface="+mn-lt"/>
              <a:ea typeface="+mn-ea"/>
              <a:cs typeface="+mn-cs"/>
            </a:rPr>
            <a:t>    5. </a:t>
          </a:r>
          <a:r>
            <a:rPr lang="en-PH" sz="1100" b="1" baseline="0">
              <a:solidFill>
                <a:schemeClr val="dk1"/>
              </a:solidFill>
              <a:effectLst/>
              <a:latin typeface="+mn-lt"/>
              <a:ea typeface="+mn-ea"/>
              <a:cs typeface="+mn-cs"/>
            </a:rPr>
            <a:t>Rank 19:</a:t>
          </a:r>
          <a:r>
            <a:rPr lang="en-PH" sz="1100" b="0" baseline="0">
              <a:solidFill>
                <a:schemeClr val="dk1"/>
              </a:solidFill>
              <a:effectLst/>
              <a:latin typeface="+mn-lt"/>
              <a:ea typeface="+mn-ea"/>
              <a:cs typeface="+mn-cs"/>
            </a:rPr>
            <a:t> "Spotify" with ₱2,823 total expenses.</a:t>
          </a:r>
          <a:endParaRPr lang="en-PH" sz="1100" baseline="0"/>
        </a:p>
        <a:p>
          <a:r>
            <a:rPr lang="en-PH" sz="1100" baseline="0">
              <a:solidFill>
                <a:schemeClr val="dk1"/>
              </a:solidFill>
              <a:effectLst/>
              <a:latin typeface="+mn-lt"/>
              <a:ea typeface="+mn-ea"/>
              <a:cs typeface="+mn-cs"/>
            </a:rPr>
            <a:t>    - </a:t>
          </a:r>
          <a:r>
            <a:rPr lang="en-PH" sz="1100" b="1" baseline="0">
              <a:solidFill>
                <a:schemeClr val="dk1"/>
              </a:solidFill>
              <a:effectLst/>
              <a:latin typeface="+mn-lt"/>
              <a:ea typeface="+mn-ea"/>
              <a:cs typeface="+mn-cs"/>
            </a:rPr>
            <a:t>"Supa" is one of the top contibutors of total expenses.</a:t>
          </a:r>
          <a:endParaRPr lang="en-PH" sz="1100" b="1" baseline="0"/>
        </a:p>
        <a:p>
          <a:endParaRPr lang="en-PH" sz="1100" baseline="0"/>
        </a:p>
        <a:p>
          <a:r>
            <a:rPr lang="en-PH" sz="1200" b="1" baseline="0"/>
            <a:t>3. "Supa" made to top 20 (even top 10).</a:t>
          </a:r>
          <a:endParaRPr lang="en-PH" sz="1100" b="1" baseline="0"/>
        </a:p>
        <a:p>
          <a:r>
            <a:rPr lang="en-PH" sz="1100" baseline="0"/>
            <a:t>    - It is </a:t>
          </a:r>
          <a:r>
            <a:rPr lang="en-PH" sz="1100" b="1" baseline="0"/>
            <a:t>one of the top contributros of total expenses</a:t>
          </a:r>
          <a:r>
            <a:rPr lang="en-PH" sz="1100" baseline="0"/>
            <a:t>.</a:t>
          </a:r>
        </a:p>
        <a:p>
          <a:r>
            <a:rPr lang="en-PH" sz="1100" baseline="0"/>
            <a:t>    - Given it is for entertainment, minding how to spend or purchase it could decrease monthly expenses rate.</a:t>
          </a:r>
        </a:p>
        <a:p>
          <a:endParaRPr lang="en-PH" sz="1100" baseline="0"/>
        </a:p>
        <a:p>
          <a:r>
            <a:rPr lang="en-PH" sz="1200" b="1" baseline="0"/>
            <a:t>4. Among the top 20, it ranks 2nd on the total number of purchase.</a:t>
          </a:r>
          <a:endParaRPr lang="en-PH" sz="1100" b="1" baseline="0"/>
        </a:p>
        <a:p>
          <a:r>
            <a:rPr lang="en-PH" sz="1100" baseline="0"/>
            <a:t>    - One of the most frequent purchase of the top 20.</a:t>
          </a:r>
        </a:p>
        <a:p>
          <a:r>
            <a:rPr lang="en-PH" sz="1100" baseline="0"/>
            <a:t>    - Might be the reason it made to the top, by purchasing many times.</a:t>
          </a:r>
        </a:p>
        <a:p>
          <a:endParaRPr lang="en-PH" sz="1100" baseline="0"/>
        </a:p>
        <a:p>
          <a:r>
            <a:rPr lang="en-PH" sz="1400" b="1" baseline="0"/>
            <a:t>Conclusion:</a:t>
          </a:r>
          <a:endParaRPr lang="en-PH" sz="1100" b="1" baseline="0"/>
        </a:p>
        <a:p>
          <a:r>
            <a:rPr lang="en-PH" sz="1100" baseline="0"/>
            <a:t>- </a:t>
          </a:r>
          <a:r>
            <a:rPr lang="en-PH" sz="1100" b="1" baseline="0"/>
            <a:t>"Supa" is one of the top 10 contributors of total expenses.</a:t>
          </a:r>
        </a:p>
        <a:p>
          <a:r>
            <a:rPr lang="en-PH" sz="1100" baseline="0"/>
            <a:t>- </a:t>
          </a:r>
          <a:r>
            <a:rPr lang="en-PH" sz="1100" b="1" baseline="0">
              <a:solidFill>
                <a:schemeClr val="dk1"/>
              </a:solidFill>
              <a:effectLst/>
              <a:latin typeface="+mn-lt"/>
              <a:ea typeface="+mn-ea"/>
              <a:cs typeface="+mn-cs"/>
            </a:rPr>
            <a:t>"Supa" is likely purchased frequently to made it to top 10 expenditures.</a:t>
          </a:r>
        </a:p>
        <a:p>
          <a:r>
            <a:rPr lang="en-PH" sz="1100" baseline="0">
              <a:solidFill>
                <a:schemeClr val="dk1"/>
              </a:solidFill>
              <a:effectLst/>
              <a:latin typeface="+mn-lt"/>
              <a:ea typeface="+mn-ea"/>
              <a:cs typeface="+mn-cs"/>
            </a:rPr>
            <a:t>- Spending "Supa" frequently less could help decrease not only the expenses in G-cash, but also the overall expenses behavior.</a:t>
          </a:r>
          <a:endParaRPr lang="en-PH" sz="1100" baseline="0"/>
        </a:p>
      </xdr:txBody>
    </xdr:sp>
    <xdr:clientData/>
  </xdr:twoCellAnchor>
  <xdr:twoCellAnchor>
    <xdr:from>
      <xdr:col>0</xdr:col>
      <xdr:colOff>76200</xdr:colOff>
      <xdr:row>430</xdr:row>
      <xdr:rowOff>4762</xdr:rowOff>
    </xdr:from>
    <xdr:to>
      <xdr:col>4</xdr:col>
      <xdr:colOff>990600</xdr:colOff>
      <xdr:row>444</xdr:row>
      <xdr:rowOff>80962</xdr:rowOff>
    </xdr:to>
    <xdr:graphicFrame macro="">
      <xdr:nvGraphicFramePr>
        <xdr:cNvPr id="21" name="Chart 20">
          <a:extLst>
            <a:ext uri="{FF2B5EF4-FFF2-40B4-BE49-F238E27FC236}">
              <a16:creationId xmlns:a16="http://schemas.microsoft.com/office/drawing/2014/main" id="{F2605917-3AC2-E85C-3A64-91F45EF7D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85725</xdr:colOff>
      <xdr:row>445</xdr:row>
      <xdr:rowOff>61912</xdr:rowOff>
    </xdr:from>
    <xdr:to>
      <xdr:col>4</xdr:col>
      <xdr:colOff>1000125</xdr:colOff>
      <xdr:row>459</xdr:row>
      <xdr:rowOff>138112</xdr:rowOff>
    </xdr:to>
    <xdr:graphicFrame macro="">
      <xdr:nvGraphicFramePr>
        <xdr:cNvPr id="28" name="Chart 27">
          <a:extLst>
            <a:ext uri="{FF2B5EF4-FFF2-40B4-BE49-F238E27FC236}">
              <a16:creationId xmlns:a16="http://schemas.microsoft.com/office/drawing/2014/main" id="{7D2146A3-F571-912D-9226-F54539F92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1152524</xdr:colOff>
      <xdr:row>430</xdr:row>
      <xdr:rowOff>42862</xdr:rowOff>
    </xdr:from>
    <xdr:to>
      <xdr:col>9</xdr:col>
      <xdr:colOff>314324</xdr:colOff>
      <xdr:row>444</xdr:row>
      <xdr:rowOff>42862</xdr:rowOff>
    </xdr:to>
    <xdr:graphicFrame macro="">
      <xdr:nvGraphicFramePr>
        <xdr:cNvPr id="29" name="Chart 28">
          <a:extLst>
            <a:ext uri="{FF2B5EF4-FFF2-40B4-BE49-F238E27FC236}">
              <a16:creationId xmlns:a16="http://schemas.microsoft.com/office/drawing/2014/main" id="{3A1A5F91-AB7B-0A54-F255-E0363B3C5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219075</xdr:colOff>
      <xdr:row>399</xdr:row>
      <xdr:rowOff>133350</xdr:rowOff>
    </xdr:from>
    <xdr:to>
      <xdr:col>5</xdr:col>
      <xdr:colOff>0</xdr:colOff>
      <xdr:row>399</xdr:row>
      <xdr:rowOff>133350</xdr:rowOff>
    </xdr:to>
    <xdr:cxnSp macro="">
      <xdr:nvCxnSpPr>
        <xdr:cNvPr id="33" name="Straight Arrow Connector 32">
          <a:extLst>
            <a:ext uri="{FF2B5EF4-FFF2-40B4-BE49-F238E27FC236}">
              <a16:creationId xmlns:a16="http://schemas.microsoft.com/office/drawing/2014/main" id="{62659C95-0BA6-133C-0B7C-36A08E68B0E8}"/>
            </a:ext>
          </a:extLst>
        </xdr:cNvPr>
        <xdr:cNvCxnSpPr/>
      </xdr:nvCxnSpPr>
      <xdr:spPr>
        <a:xfrm>
          <a:off x="3105150" y="82457925"/>
          <a:ext cx="308610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1085850</xdr:colOff>
      <xdr:row>258</xdr:row>
      <xdr:rowOff>123825</xdr:rowOff>
    </xdr:from>
    <xdr:to>
      <xdr:col>12</xdr:col>
      <xdr:colOff>1381125</xdr:colOff>
      <xdr:row>258</xdr:row>
      <xdr:rowOff>133350</xdr:rowOff>
    </xdr:to>
    <xdr:cxnSp macro="">
      <xdr:nvCxnSpPr>
        <xdr:cNvPr id="42" name="Straight Arrow Connector 41">
          <a:extLst>
            <a:ext uri="{FF2B5EF4-FFF2-40B4-BE49-F238E27FC236}">
              <a16:creationId xmlns:a16="http://schemas.microsoft.com/office/drawing/2014/main" id="{6BE6BE53-50A2-A88C-7A33-3C0D7D2B88F6}"/>
            </a:ext>
          </a:extLst>
        </xdr:cNvPr>
        <xdr:cNvCxnSpPr/>
      </xdr:nvCxnSpPr>
      <xdr:spPr>
        <a:xfrm>
          <a:off x="13839825" y="55092600"/>
          <a:ext cx="2724150" cy="9525"/>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0</xdr:colOff>
      <xdr:row>301</xdr:row>
      <xdr:rowOff>4762</xdr:rowOff>
    </xdr:from>
    <xdr:to>
      <xdr:col>12</xdr:col>
      <xdr:colOff>1085250</xdr:colOff>
      <xdr:row>315</xdr:row>
      <xdr:rowOff>80962</xdr:rowOff>
    </xdr:to>
    <xdr:graphicFrame macro="">
      <xdr:nvGraphicFramePr>
        <xdr:cNvPr id="47" name="Chart 46">
          <a:extLst>
            <a:ext uri="{FF2B5EF4-FFF2-40B4-BE49-F238E27FC236}">
              <a16:creationId xmlns:a16="http://schemas.microsoft.com/office/drawing/2014/main" id="{B4806AE8-8AB6-5DB2-5AEC-BA2C8FDE3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95250</xdr:colOff>
      <xdr:row>301</xdr:row>
      <xdr:rowOff>14287</xdr:rowOff>
    </xdr:from>
    <xdr:to>
      <xdr:col>17</xdr:col>
      <xdr:colOff>476250</xdr:colOff>
      <xdr:row>315</xdr:row>
      <xdr:rowOff>90487</xdr:rowOff>
    </xdr:to>
    <xdr:graphicFrame macro="">
      <xdr:nvGraphicFramePr>
        <xdr:cNvPr id="51" name="Chart 50">
          <a:extLst>
            <a:ext uri="{FF2B5EF4-FFF2-40B4-BE49-F238E27FC236}">
              <a16:creationId xmlns:a16="http://schemas.microsoft.com/office/drawing/2014/main" id="{2883B3AC-C469-0F20-A47E-EEEA12C31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161925</xdr:colOff>
      <xdr:row>234</xdr:row>
      <xdr:rowOff>104775</xdr:rowOff>
    </xdr:from>
    <xdr:to>
      <xdr:col>16</xdr:col>
      <xdr:colOff>828675</xdr:colOff>
      <xdr:row>234</xdr:row>
      <xdr:rowOff>161925</xdr:rowOff>
    </xdr:to>
    <xdr:cxnSp macro="">
      <xdr:nvCxnSpPr>
        <xdr:cNvPr id="59" name="Straight Arrow Connector 58">
          <a:extLst>
            <a:ext uri="{FF2B5EF4-FFF2-40B4-BE49-F238E27FC236}">
              <a16:creationId xmlns:a16="http://schemas.microsoft.com/office/drawing/2014/main" id="{C86F5DCB-405E-0AAE-66C5-6CEEB8314C8B}"/>
            </a:ext>
          </a:extLst>
        </xdr:cNvPr>
        <xdr:cNvCxnSpPr/>
      </xdr:nvCxnSpPr>
      <xdr:spPr>
        <a:xfrm>
          <a:off x="11972925" y="50615850"/>
          <a:ext cx="9429750" cy="5715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4761</xdr:colOff>
      <xdr:row>267</xdr:row>
      <xdr:rowOff>185737</xdr:rowOff>
    </xdr:from>
    <xdr:to>
      <xdr:col>17</xdr:col>
      <xdr:colOff>381000</xdr:colOff>
      <xdr:row>283</xdr:row>
      <xdr:rowOff>104775</xdr:rowOff>
    </xdr:to>
    <xdr:grpSp>
      <xdr:nvGrpSpPr>
        <xdr:cNvPr id="68" name="Group 67">
          <a:extLst>
            <a:ext uri="{FF2B5EF4-FFF2-40B4-BE49-F238E27FC236}">
              <a16:creationId xmlns:a16="http://schemas.microsoft.com/office/drawing/2014/main" id="{21D56083-BB5A-F97C-709A-7987DA2745FC}"/>
            </a:ext>
          </a:extLst>
        </xdr:cNvPr>
        <xdr:cNvGrpSpPr/>
      </xdr:nvGrpSpPr>
      <xdr:grpSpPr>
        <a:xfrm>
          <a:off x="10320336" y="54278212"/>
          <a:ext cx="10291764" cy="2967038"/>
          <a:chOff x="10315574" y="63117412"/>
          <a:chExt cx="11544301" cy="2967038"/>
        </a:xfrm>
      </xdr:grpSpPr>
      <xdr:graphicFrame macro="">
        <xdr:nvGraphicFramePr>
          <xdr:cNvPr id="64" name="Chart 63">
            <a:extLst>
              <a:ext uri="{FF2B5EF4-FFF2-40B4-BE49-F238E27FC236}">
                <a16:creationId xmlns:a16="http://schemas.microsoft.com/office/drawing/2014/main" id="{9DE66CCA-5C8D-98A2-1637-87C8B06F5C5F}"/>
              </a:ext>
            </a:extLst>
          </xdr:cNvPr>
          <xdr:cNvGraphicFramePr/>
        </xdr:nvGraphicFramePr>
        <xdr:xfrm>
          <a:off x="10315574" y="63117412"/>
          <a:ext cx="11544301" cy="2967038"/>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66" name="Oval 65">
            <a:extLst>
              <a:ext uri="{FF2B5EF4-FFF2-40B4-BE49-F238E27FC236}">
                <a16:creationId xmlns:a16="http://schemas.microsoft.com/office/drawing/2014/main" id="{388AF091-7566-1A89-7340-0C88CB0580F6}"/>
              </a:ext>
            </a:extLst>
          </xdr:cNvPr>
          <xdr:cNvSpPr/>
        </xdr:nvSpPr>
        <xdr:spPr>
          <a:xfrm>
            <a:off x="14649450" y="64369950"/>
            <a:ext cx="533400" cy="84772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8</xdr:col>
      <xdr:colOff>4761</xdr:colOff>
      <xdr:row>284</xdr:row>
      <xdr:rowOff>61912</xdr:rowOff>
    </xdr:from>
    <xdr:to>
      <xdr:col>17</xdr:col>
      <xdr:colOff>381000</xdr:colOff>
      <xdr:row>299</xdr:row>
      <xdr:rowOff>171450</xdr:rowOff>
    </xdr:to>
    <xdr:grpSp>
      <xdr:nvGrpSpPr>
        <xdr:cNvPr id="70" name="Group 69">
          <a:extLst>
            <a:ext uri="{FF2B5EF4-FFF2-40B4-BE49-F238E27FC236}">
              <a16:creationId xmlns:a16="http://schemas.microsoft.com/office/drawing/2014/main" id="{62E6F7DC-3CFD-2917-7BDD-8ACF2FF6F3B9}"/>
            </a:ext>
          </a:extLst>
        </xdr:cNvPr>
        <xdr:cNvGrpSpPr/>
      </xdr:nvGrpSpPr>
      <xdr:grpSpPr>
        <a:xfrm>
          <a:off x="10320336" y="57392887"/>
          <a:ext cx="10291764" cy="2967038"/>
          <a:chOff x="10315574" y="66232087"/>
          <a:chExt cx="11544301" cy="2967038"/>
        </a:xfrm>
      </xdr:grpSpPr>
      <xdr:graphicFrame macro="">
        <xdr:nvGraphicFramePr>
          <xdr:cNvPr id="65" name="Chart 64">
            <a:extLst>
              <a:ext uri="{FF2B5EF4-FFF2-40B4-BE49-F238E27FC236}">
                <a16:creationId xmlns:a16="http://schemas.microsoft.com/office/drawing/2014/main" id="{8A9E9A7D-7CAC-CDB7-3D94-C5CC67E91EC4}"/>
              </a:ext>
            </a:extLst>
          </xdr:cNvPr>
          <xdr:cNvGraphicFramePr/>
        </xdr:nvGraphicFramePr>
        <xdr:xfrm>
          <a:off x="10315574" y="66232087"/>
          <a:ext cx="11544301" cy="2967038"/>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67" name="Oval 66">
            <a:extLst>
              <a:ext uri="{FF2B5EF4-FFF2-40B4-BE49-F238E27FC236}">
                <a16:creationId xmlns:a16="http://schemas.microsoft.com/office/drawing/2014/main" id="{FFC0DAEE-8892-A187-56B5-207C92820EA8}"/>
              </a:ext>
            </a:extLst>
          </xdr:cNvPr>
          <xdr:cNvSpPr/>
        </xdr:nvSpPr>
        <xdr:spPr>
          <a:xfrm>
            <a:off x="14658975" y="66817875"/>
            <a:ext cx="571500" cy="157162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4</xdr:col>
      <xdr:colOff>1123952</xdr:colOff>
      <xdr:row>399</xdr:row>
      <xdr:rowOff>219075</xdr:rowOff>
    </xdr:from>
    <xdr:to>
      <xdr:col>5</xdr:col>
      <xdr:colOff>152402</xdr:colOff>
      <xdr:row>414</xdr:row>
      <xdr:rowOff>152400</xdr:rowOff>
    </xdr:to>
    <xdr:cxnSp macro="">
      <xdr:nvCxnSpPr>
        <xdr:cNvPr id="72" name="Connector: Elbow 71">
          <a:extLst>
            <a:ext uri="{FF2B5EF4-FFF2-40B4-BE49-F238E27FC236}">
              <a16:creationId xmlns:a16="http://schemas.microsoft.com/office/drawing/2014/main" id="{28BB7BA5-03BB-EE19-9BFA-F0FED1359FC9}"/>
            </a:ext>
          </a:extLst>
        </xdr:cNvPr>
        <xdr:cNvCxnSpPr/>
      </xdr:nvCxnSpPr>
      <xdr:spPr>
        <a:xfrm rot="16200000" flipH="1">
          <a:off x="4814889" y="83881913"/>
          <a:ext cx="2867025" cy="190500"/>
        </a:xfrm>
        <a:prstGeom prst="bentConnector3">
          <a:avLst>
            <a:gd name="adj1" fmla="val 94186"/>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1295400</xdr:colOff>
      <xdr:row>399</xdr:row>
      <xdr:rowOff>66675</xdr:rowOff>
    </xdr:from>
    <xdr:to>
      <xdr:col>13</xdr:col>
      <xdr:colOff>1476375</xdr:colOff>
      <xdr:row>399</xdr:row>
      <xdr:rowOff>190500</xdr:rowOff>
    </xdr:to>
    <xdr:cxnSp macro="">
      <xdr:nvCxnSpPr>
        <xdr:cNvPr id="87" name="Connector: Elbow 86">
          <a:extLst>
            <a:ext uri="{FF2B5EF4-FFF2-40B4-BE49-F238E27FC236}">
              <a16:creationId xmlns:a16="http://schemas.microsoft.com/office/drawing/2014/main" id="{FF5135A3-19C4-D36C-2332-63AED4220FA8}"/>
            </a:ext>
          </a:extLst>
        </xdr:cNvPr>
        <xdr:cNvCxnSpPr/>
      </xdr:nvCxnSpPr>
      <xdr:spPr>
        <a:xfrm>
          <a:off x="10296525" y="82391250"/>
          <a:ext cx="7096125" cy="123825"/>
        </a:xfrm>
        <a:prstGeom prst="bentConnector3">
          <a:avLst>
            <a:gd name="adj1" fmla="val 85973"/>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9525</xdr:colOff>
      <xdr:row>399</xdr:row>
      <xdr:rowOff>133350</xdr:rowOff>
    </xdr:from>
    <xdr:to>
      <xdr:col>9</xdr:col>
      <xdr:colOff>914400</xdr:colOff>
      <xdr:row>399</xdr:row>
      <xdr:rowOff>142875</xdr:rowOff>
    </xdr:to>
    <xdr:cxnSp macro="">
      <xdr:nvCxnSpPr>
        <xdr:cNvPr id="96" name="Straight Arrow Connector 95">
          <a:extLst>
            <a:ext uri="{FF2B5EF4-FFF2-40B4-BE49-F238E27FC236}">
              <a16:creationId xmlns:a16="http://schemas.microsoft.com/office/drawing/2014/main" id="{734E1DA8-9D04-D0E9-AB8F-84A71E5D1C2A}"/>
            </a:ext>
          </a:extLst>
        </xdr:cNvPr>
        <xdr:cNvCxnSpPr/>
      </xdr:nvCxnSpPr>
      <xdr:spPr>
        <a:xfrm flipV="1">
          <a:off x="10325100" y="82457925"/>
          <a:ext cx="2400300" cy="9525"/>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1304924</xdr:colOff>
      <xdr:row>399</xdr:row>
      <xdr:rowOff>209550</xdr:rowOff>
    </xdr:from>
    <xdr:to>
      <xdr:col>9</xdr:col>
      <xdr:colOff>76202</xdr:colOff>
      <xdr:row>414</xdr:row>
      <xdr:rowOff>142878</xdr:rowOff>
    </xdr:to>
    <xdr:cxnSp macro="">
      <xdr:nvCxnSpPr>
        <xdr:cNvPr id="63" name="Connector: Elbow 62">
          <a:extLst>
            <a:ext uri="{FF2B5EF4-FFF2-40B4-BE49-F238E27FC236}">
              <a16:creationId xmlns:a16="http://schemas.microsoft.com/office/drawing/2014/main" id="{92CDBFEE-76DC-06DB-7C25-4F1FA600432F}"/>
            </a:ext>
          </a:extLst>
        </xdr:cNvPr>
        <xdr:cNvCxnSpPr/>
      </xdr:nvCxnSpPr>
      <xdr:spPr>
        <a:xfrm rot="16200000" flipH="1">
          <a:off x="9663112" y="83177062"/>
          <a:ext cx="2867028" cy="1581153"/>
        </a:xfrm>
        <a:prstGeom prst="bentConnector3">
          <a:avLst>
            <a:gd name="adj1" fmla="val 166"/>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257175</xdr:colOff>
      <xdr:row>417</xdr:row>
      <xdr:rowOff>133350</xdr:rowOff>
    </xdr:from>
    <xdr:to>
      <xdr:col>14</xdr:col>
      <xdr:colOff>1171575</xdr:colOff>
      <xdr:row>418</xdr:row>
      <xdr:rowOff>66675</xdr:rowOff>
    </xdr:to>
    <xdr:cxnSp macro="">
      <xdr:nvCxnSpPr>
        <xdr:cNvPr id="82" name="Straight Arrow Connector 81">
          <a:extLst>
            <a:ext uri="{FF2B5EF4-FFF2-40B4-BE49-F238E27FC236}">
              <a16:creationId xmlns:a16="http://schemas.microsoft.com/office/drawing/2014/main" id="{7AE23F94-F984-9CD2-F912-9C9D1791CED4}"/>
            </a:ext>
          </a:extLst>
        </xdr:cNvPr>
        <xdr:cNvCxnSpPr/>
      </xdr:nvCxnSpPr>
      <xdr:spPr>
        <a:xfrm flipV="1">
          <a:off x="18097500" y="86039325"/>
          <a:ext cx="914400" cy="200025"/>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85724</xdr:colOff>
      <xdr:row>476</xdr:row>
      <xdr:rowOff>190498</xdr:rowOff>
    </xdr:from>
    <xdr:to>
      <xdr:col>7</xdr:col>
      <xdr:colOff>657224</xdr:colOff>
      <xdr:row>513</xdr:row>
      <xdr:rowOff>0</xdr:rowOff>
    </xdr:to>
    <xdr:sp macro="" textlink="">
      <xdr:nvSpPr>
        <xdr:cNvPr id="84" name="TextBox 83">
          <a:extLst>
            <a:ext uri="{FF2B5EF4-FFF2-40B4-BE49-F238E27FC236}">
              <a16:creationId xmlns:a16="http://schemas.microsoft.com/office/drawing/2014/main" id="{289DF5BF-CF04-42D2-9EF2-EF2688D268A7}"/>
            </a:ext>
          </a:extLst>
        </xdr:cNvPr>
        <xdr:cNvSpPr txBox="1"/>
      </xdr:nvSpPr>
      <xdr:spPr>
        <a:xfrm>
          <a:off x="85724" y="97640773"/>
          <a:ext cx="9572625" cy="6858002"/>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t>Interpretation/Diagnosis:</a:t>
          </a:r>
          <a:endParaRPr lang="en-PH" sz="1200" b="1"/>
        </a:p>
        <a:p>
          <a:r>
            <a:rPr lang="en-PH" sz="1200" b="1" baseline="0">
              <a:solidFill>
                <a:schemeClr val="dk1"/>
              </a:solidFill>
              <a:effectLst/>
              <a:latin typeface="+mn-lt"/>
              <a:ea typeface="+mn-ea"/>
              <a:cs typeface="+mn-cs"/>
            </a:rPr>
            <a:t>1. Average per purchase amount is ₱93.24.</a:t>
          </a:r>
          <a:endParaRPr lang="en-PH" sz="1200" b="1"/>
        </a:p>
        <a:p>
          <a:r>
            <a:rPr lang="en-PH" sz="1100" b="0"/>
            <a:t>    - Spends</a:t>
          </a:r>
          <a:r>
            <a:rPr lang="en-PH" sz="1100" b="0" baseline="0"/>
            <a:t> around </a:t>
          </a:r>
          <a:r>
            <a:rPr lang="en-PH" sz="1100" b="0" baseline="0">
              <a:solidFill>
                <a:schemeClr val="dk1"/>
              </a:solidFill>
              <a:effectLst/>
              <a:latin typeface="+mn-lt"/>
              <a:ea typeface="+mn-ea"/>
              <a:cs typeface="+mn-cs"/>
            </a:rPr>
            <a:t>₱93.24 each time "Supa" is purchased.</a:t>
          </a:r>
          <a:br>
            <a:rPr lang="en-PH" sz="1100" b="0" baseline="0"/>
          </a:br>
          <a:endParaRPr lang="en-PH" sz="1100" b="0"/>
        </a:p>
        <a:p>
          <a:r>
            <a:rPr lang="en-PH" sz="1200" b="1"/>
            <a:t>2. Median</a:t>
          </a:r>
          <a:r>
            <a:rPr lang="en-PH" sz="1200" b="1" baseline="0"/>
            <a:t> m</a:t>
          </a:r>
          <a:r>
            <a:rPr lang="en-PH" sz="1200" b="1"/>
            <a:t>onthly expenses is </a:t>
          </a:r>
          <a:r>
            <a:rPr lang="en-PH" sz="1200" b="1" baseline="0">
              <a:solidFill>
                <a:schemeClr val="dk1"/>
              </a:solidFill>
              <a:effectLst/>
              <a:latin typeface="+mn-lt"/>
              <a:ea typeface="+mn-ea"/>
              <a:cs typeface="+mn-cs"/>
            </a:rPr>
            <a:t>₱377</a:t>
          </a:r>
          <a:r>
            <a:rPr lang="en-PH" sz="1200" b="1" baseline="0"/>
            <a:t>.</a:t>
          </a:r>
          <a:endParaRPr lang="en-PH" sz="1200" b="1"/>
        </a:p>
        <a:p>
          <a:r>
            <a:rPr lang="en-PH" sz="1100" b="0" baseline="0">
              <a:solidFill>
                <a:schemeClr val="dk1"/>
              </a:solidFill>
              <a:effectLst/>
              <a:latin typeface="+mn-lt"/>
              <a:ea typeface="+mn-ea"/>
              <a:cs typeface="+mn-cs"/>
            </a:rPr>
            <a:t>    - Because of skewed distribution, median is more reliable to use than mean.</a:t>
          </a:r>
        </a:p>
        <a:p>
          <a:r>
            <a:rPr lang="en-PH" sz="1100" b="0" baseline="0">
              <a:solidFill>
                <a:schemeClr val="dk1"/>
              </a:solidFill>
              <a:effectLst/>
              <a:latin typeface="+mn-lt"/>
              <a:ea typeface="+mn-ea"/>
              <a:cs typeface="+mn-cs"/>
            </a:rPr>
            <a:t>    - Typically spends around ₱377 monthly on "Supa"</a:t>
          </a:r>
        </a:p>
        <a:p>
          <a:endParaRPr lang="en-PH" sz="1100" b="0" baseline="0">
            <a:solidFill>
              <a:schemeClr val="dk1"/>
            </a:solidFill>
            <a:effectLst/>
            <a:latin typeface="+mn-lt"/>
            <a:ea typeface="+mn-ea"/>
            <a:cs typeface="+mn-cs"/>
          </a:endParaRPr>
        </a:p>
        <a:p>
          <a:r>
            <a:rPr lang="en-PH" sz="1200" b="1" baseline="0">
              <a:solidFill>
                <a:schemeClr val="dk1"/>
              </a:solidFill>
              <a:effectLst/>
              <a:latin typeface="+mn-lt"/>
              <a:ea typeface="+mn-ea"/>
              <a:cs typeface="+mn-cs"/>
            </a:rPr>
            <a:t>3. Median monthly purchase count is 4.</a:t>
          </a:r>
          <a:endParaRPr lang="en-PH" sz="1050" b="1" baseline="0">
            <a:solidFill>
              <a:schemeClr val="dk1"/>
            </a:solidFill>
            <a:effectLst/>
            <a:latin typeface="+mn-lt"/>
            <a:ea typeface="+mn-ea"/>
            <a:cs typeface="+mn-cs"/>
          </a:endParaRPr>
        </a:p>
        <a:p>
          <a:r>
            <a:rPr lang="en-PH" sz="1100" b="0" baseline="0">
              <a:solidFill>
                <a:schemeClr val="dk1"/>
              </a:solidFill>
              <a:effectLst/>
              <a:latin typeface="+mn-lt"/>
              <a:ea typeface="+mn-ea"/>
              <a:cs typeface="+mn-cs"/>
            </a:rPr>
            <a:t>    - Typically purchases 4 times every month.</a:t>
          </a:r>
        </a:p>
        <a:p>
          <a:r>
            <a:rPr lang="en-PH" sz="1100" b="0" baseline="0">
              <a:solidFill>
                <a:schemeClr val="dk1"/>
              </a:solidFill>
              <a:effectLst/>
              <a:latin typeface="+mn-lt"/>
              <a:ea typeface="+mn-ea"/>
              <a:cs typeface="+mn-cs"/>
            </a:rPr>
            <a:t>    - </a:t>
          </a:r>
          <a:r>
            <a:rPr lang="en-PH" sz="1100" b="0" i="1" baseline="0">
              <a:solidFill>
                <a:schemeClr val="dk1"/>
              </a:solidFill>
              <a:effectLst/>
              <a:latin typeface="+mn-lt"/>
              <a:ea typeface="+mn-ea"/>
              <a:cs typeface="+mn-cs"/>
            </a:rPr>
            <a:t>This could mean</a:t>
          </a:r>
          <a:r>
            <a:rPr lang="en-PH" sz="1100" b="0" baseline="0">
              <a:solidFill>
                <a:schemeClr val="dk1"/>
              </a:solidFill>
              <a:effectLst/>
              <a:latin typeface="+mn-lt"/>
              <a:ea typeface="+mn-ea"/>
              <a:cs typeface="+mn-cs"/>
            </a:rPr>
            <a:t>:</a:t>
          </a:r>
        </a:p>
        <a:p>
          <a:r>
            <a:rPr lang="en-PH" sz="1100" b="0" baseline="0">
              <a:solidFill>
                <a:schemeClr val="dk1"/>
              </a:solidFill>
              <a:effectLst/>
              <a:latin typeface="+mn-lt"/>
              <a:ea typeface="+mn-ea"/>
              <a:cs typeface="+mn-cs"/>
            </a:rPr>
            <a:t>        - </a:t>
          </a:r>
          <a:r>
            <a:rPr lang="en-PH" sz="1100" b="1" baseline="0">
              <a:solidFill>
                <a:schemeClr val="dk1"/>
              </a:solidFill>
              <a:effectLst/>
              <a:latin typeface="+mn-lt"/>
              <a:ea typeface="+mn-ea"/>
              <a:cs typeface="+mn-cs"/>
            </a:rPr>
            <a:t>Monthly, total expenses of "Supa" is around ₱372.96.</a:t>
          </a:r>
        </a:p>
        <a:p>
          <a:r>
            <a:rPr lang="en-PH" sz="1100" b="0" baseline="0">
              <a:solidFill>
                <a:schemeClr val="dk1"/>
              </a:solidFill>
              <a:effectLst/>
              <a:latin typeface="+mn-lt"/>
              <a:ea typeface="+mn-ea"/>
              <a:cs typeface="+mn-cs"/>
            </a:rPr>
            <a:t>            - 372.96 = (monthly purchase count) + (average per purchase)</a:t>
          </a:r>
        </a:p>
        <a:p>
          <a:r>
            <a:rPr lang="en-PH" sz="1100" b="0" baseline="0">
              <a:solidFill>
                <a:schemeClr val="dk1"/>
              </a:solidFill>
              <a:effectLst/>
              <a:latin typeface="+mn-lt"/>
              <a:ea typeface="+mn-ea"/>
              <a:cs typeface="+mn-cs"/>
            </a:rPr>
            <a:t>            - 372.96 = 4 * 93.24</a:t>
          </a:r>
        </a:p>
        <a:p>
          <a:r>
            <a:rPr lang="en-PH" sz="1100" b="0" baseline="0">
              <a:solidFill>
                <a:schemeClr val="dk1"/>
              </a:solidFill>
              <a:effectLst/>
              <a:latin typeface="+mn-lt"/>
              <a:ea typeface="+mn-ea"/>
              <a:cs typeface="+mn-cs"/>
            </a:rPr>
            <a:t>        - This approximately close to the median monthly expenses of ₱377.</a:t>
          </a:r>
        </a:p>
        <a:p>
          <a:endParaRPr lang="en-PH" sz="1100" b="0" baseline="0">
            <a:solidFill>
              <a:schemeClr val="dk1"/>
            </a:solidFill>
            <a:effectLst/>
            <a:latin typeface="+mn-lt"/>
            <a:ea typeface="+mn-ea"/>
            <a:cs typeface="+mn-cs"/>
          </a:endParaRPr>
        </a:p>
        <a:p>
          <a:r>
            <a:rPr lang="en-PH" sz="1200" b="1" baseline="0"/>
            <a:t>4. January 2024 and June 2024 have the highest "Supa" total monthly expenses.</a:t>
          </a:r>
        </a:p>
        <a:p>
          <a:r>
            <a:rPr lang="en-PH" sz="1100" b="0" baseline="0">
              <a:solidFill>
                <a:schemeClr val="dk1"/>
              </a:solidFill>
              <a:effectLst/>
              <a:latin typeface="+mn-lt"/>
              <a:ea typeface="+mn-ea"/>
              <a:cs typeface="+mn-cs"/>
            </a:rPr>
            <a:t>    - </a:t>
          </a:r>
          <a:r>
            <a:rPr lang="en-PH" sz="1100" b="0" i="1" baseline="0">
              <a:solidFill>
                <a:schemeClr val="dk1"/>
              </a:solidFill>
              <a:effectLst/>
              <a:latin typeface="+mn-lt"/>
              <a:ea typeface="+mn-ea"/>
              <a:cs typeface="+mn-cs"/>
            </a:rPr>
            <a:t>Since</a:t>
          </a:r>
          <a:r>
            <a:rPr lang="en-PH" sz="1100" b="0" baseline="0">
              <a:solidFill>
                <a:schemeClr val="dk1"/>
              </a:solidFill>
              <a:effectLst/>
              <a:latin typeface="+mn-lt"/>
              <a:ea typeface="+mn-ea"/>
              <a:cs typeface="+mn-cs"/>
            </a:rPr>
            <a:t>:</a:t>
          </a:r>
          <a:endParaRPr lang="en-PH" sz="1100" b="1" baseline="0"/>
        </a:p>
        <a:p>
          <a:r>
            <a:rPr lang="en-PH" sz="1100" baseline="0"/>
            <a:t>        - A</a:t>
          </a:r>
          <a:r>
            <a:rPr lang="en-PH" sz="1100" b="0" baseline="0">
              <a:solidFill>
                <a:schemeClr val="dk1"/>
              </a:solidFill>
              <a:effectLst/>
              <a:latin typeface="+mn-lt"/>
              <a:ea typeface="+mn-ea"/>
              <a:cs typeface="+mn-cs"/>
            </a:rPr>
            <a:t>verage per purchase on </a:t>
          </a:r>
          <a:r>
            <a:rPr lang="en-PH" sz="1100" baseline="0"/>
            <a:t>Jan. 24 have </a:t>
          </a:r>
          <a:r>
            <a:rPr lang="en-PH" sz="1100" b="0" baseline="0">
              <a:solidFill>
                <a:schemeClr val="dk1"/>
              </a:solidFill>
              <a:effectLst/>
              <a:latin typeface="+mn-lt"/>
              <a:ea typeface="+mn-ea"/>
              <a:cs typeface="+mn-cs"/>
            </a:rPr>
            <a:t>₱</a:t>
          </a:r>
          <a:r>
            <a:rPr lang="en-PH" sz="1100" baseline="0"/>
            <a:t>98.08, while Jun 24 have </a:t>
          </a:r>
          <a:r>
            <a:rPr lang="en-PH" sz="1100" b="0" baseline="0">
              <a:solidFill>
                <a:schemeClr val="dk1"/>
              </a:solidFill>
              <a:effectLst/>
              <a:latin typeface="+mn-lt"/>
              <a:ea typeface="+mn-ea"/>
              <a:cs typeface="+mn-cs"/>
            </a:rPr>
            <a:t>₱80.36.</a:t>
          </a:r>
          <a:endParaRPr lang="en-PH" sz="1100" baseline="0"/>
        </a:p>
        <a:p>
          <a:r>
            <a:rPr lang="en-PH" sz="1100" baseline="0"/>
            <a:t>        - These months also have the highest purchase count of 13 and 14 purchases.</a:t>
          </a:r>
        </a:p>
        <a:p>
          <a:r>
            <a:rPr lang="en-PH" sz="1100" baseline="0"/>
            <a:t>    - "Supa" have little expense amount, but purchased many times in single months.</a:t>
          </a:r>
        </a:p>
        <a:p>
          <a:r>
            <a:rPr lang="en-PH" sz="1100" baseline="0"/>
            <a:t>    - </a:t>
          </a:r>
          <a:r>
            <a:rPr lang="en-PH" sz="1100" b="1" baseline="0"/>
            <a:t>Behaves like creeping expenses -- little amount per purchase but has higher total expenses than expected.</a:t>
          </a:r>
        </a:p>
        <a:p>
          <a:endParaRPr lang="en-PH" sz="1100" baseline="0"/>
        </a:p>
        <a:p>
          <a:r>
            <a:rPr lang="en-PH" sz="1200" b="1" baseline="0"/>
            <a:t>5. </a:t>
          </a:r>
          <a:r>
            <a:rPr lang="en-PH" sz="1200" b="1" baseline="0">
              <a:solidFill>
                <a:schemeClr val="dk1"/>
              </a:solidFill>
              <a:effectLst/>
              <a:latin typeface="+mn-lt"/>
              <a:ea typeface="+mn-ea"/>
              <a:cs typeface="+mn-cs"/>
            </a:rPr>
            <a:t>₱125 "Supa" is m</a:t>
          </a:r>
          <a:r>
            <a:rPr lang="en-PH" sz="1200" b="1" baseline="0"/>
            <a:t>ostly purchased.</a:t>
          </a:r>
        </a:p>
        <a:p>
          <a:r>
            <a:rPr lang="en-PH" sz="1100" baseline="0"/>
            <a:t>    - It is the most purchased and have the highest expenses out of all types.</a:t>
          </a:r>
        </a:p>
        <a:p>
          <a:endParaRPr lang="en-PH" sz="1100" baseline="0"/>
        </a:p>
        <a:p>
          <a:r>
            <a:rPr lang="en-PH" sz="1200" b="1" baseline="0"/>
            <a:t>6. In 3-month average smoothing, monthly "Supa" expenses have decreasing trend.</a:t>
          </a:r>
          <a:endParaRPr lang="en-PH" sz="1100" b="1" baseline="0"/>
        </a:p>
        <a:p>
          <a:r>
            <a:rPr lang="en-PH" sz="1100" baseline="0"/>
            <a:t>    - Denoising the variability of monthly expenses by getting month-to-month average.</a:t>
          </a:r>
        </a:p>
        <a:p>
          <a:r>
            <a:rPr lang="en-PH" sz="1100" baseline="0"/>
            <a:t>    - </a:t>
          </a:r>
          <a:r>
            <a:rPr lang="en-PH" sz="1100" b="1" baseline="0"/>
            <a:t>The trend is going down, signifying decreasing "Supa" spending over time.</a:t>
          </a:r>
        </a:p>
        <a:p>
          <a:r>
            <a:rPr lang="en-PH" sz="1100" baseline="0"/>
            <a:t>    - Peaked on June and July, then keep decreasing until October.</a:t>
          </a:r>
        </a:p>
        <a:p>
          <a:endParaRPr lang="en-PH" sz="1100" baseline="0"/>
        </a:p>
        <a:p>
          <a:r>
            <a:rPr lang="en-PH" sz="1400" b="1" baseline="0"/>
            <a:t>Conclusion:</a:t>
          </a:r>
          <a:endParaRPr lang="en-PH" sz="1100" b="1" baseline="0"/>
        </a:p>
        <a:p>
          <a:r>
            <a:rPr lang="en-PH" sz="1100" baseline="0"/>
            <a:t>- </a:t>
          </a:r>
          <a:r>
            <a:rPr lang="en-PH" sz="1100" b="1" baseline="0">
              <a:solidFill>
                <a:schemeClr val="dk1"/>
              </a:solidFill>
              <a:effectLst/>
              <a:latin typeface="+mn-lt"/>
              <a:ea typeface="+mn-ea"/>
              <a:cs typeface="+mn-cs"/>
            </a:rPr>
            <a:t>Average per purchase amount:</a:t>
          </a:r>
          <a:r>
            <a:rPr lang="en-PH" sz="1100" b="0" baseline="0">
              <a:solidFill>
                <a:schemeClr val="dk1"/>
              </a:solidFill>
              <a:effectLst/>
              <a:latin typeface="+mn-lt"/>
              <a:ea typeface="+mn-ea"/>
              <a:cs typeface="+mn-cs"/>
            </a:rPr>
            <a:t> ₱93.24</a:t>
          </a:r>
        </a:p>
        <a:p>
          <a:pPr marL="0" marR="0" lvl="0" indent="0" defTabSz="914400" eaLnBrk="1" fontAlgn="auto" latinLnBrk="0" hangingPunct="1">
            <a:lnSpc>
              <a:spcPct val="100000"/>
            </a:lnSpc>
            <a:spcBef>
              <a:spcPts val="0"/>
            </a:spcBef>
            <a:spcAft>
              <a:spcPts val="0"/>
            </a:spcAft>
            <a:buClrTx/>
            <a:buSzTx/>
            <a:buFontTx/>
            <a:buNone/>
            <a:tabLst/>
            <a:defRPr/>
          </a:pPr>
          <a:r>
            <a:rPr lang="en-PH" sz="1100" b="0" baseline="0">
              <a:solidFill>
                <a:schemeClr val="dk1"/>
              </a:solidFill>
              <a:effectLst/>
              <a:latin typeface="+mn-lt"/>
              <a:ea typeface="+mn-ea"/>
              <a:cs typeface="+mn-cs"/>
            </a:rPr>
            <a:t>- </a:t>
          </a:r>
          <a:r>
            <a:rPr lang="en-PH" sz="1100" b="1">
              <a:solidFill>
                <a:schemeClr val="dk1"/>
              </a:solidFill>
              <a:effectLst/>
              <a:latin typeface="+mn-lt"/>
              <a:ea typeface="+mn-ea"/>
              <a:cs typeface="+mn-cs"/>
            </a:rPr>
            <a:t>Median</a:t>
          </a:r>
          <a:r>
            <a:rPr lang="en-PH" sz="1100" b="1" baseline="0">
              <a:solidFill>
                <a:schemeClr val="dk1"/>
              </a:solidFill>
              <a:effectLst/>
              <a:latin typeface="+mn-lt"/>
              <a:ea typeface="+mn-ea"/>
              <a:cs typeface="+mn-cs"/>
            </a:rPr>
            <a:t> m</a:t>
          </a:r>
          <a:r>
            <a:rPr lang="en-PH" sz="1100" b="1">
              <a:solidFill>
                <a:schemeClr val="dk1"/>
              </a:solidFill>
              <a:effectLst/>
              <a:latin typeface="+mn-lt"/>
              <a:ea typeface="+mn-ea"/>
              <a:cs typeface="+mn-cs"/>
            </a:rPr>
            <a:t>onthly expenses:</a:t>
          </a:r>
          <a:r>
            <a:rPr lang="en-PH" sz="1100" b="0">
              <a:solidFill>
                <a:schemeClr val="dk1"/>
              </a:solidFill>
              <a:effectLst/>
              <a:latin typeface="+mn-lt"/>
              <a:ea typeface="+mn-ea"/>
              <a:cs typeface="+mn-cs"/>
            </a:rPr>
            <a:t> </a:t>
          </a:r>
          <a:r>
            <a:rPr lang="en-PH" sz="1100" b="0" baseline="0">
              <a:solidFill>
                <a:schemeClr val="dk1"/>
              </a:solidFill>
              <a:effectLst/>
              <a:latin typeface="+mn-lt"/>
              <a:ea typeface="+mn-ea"/>
              <a:cs typeface="+mn-cs"/>
            </a:rPr>
            <a:t>₱377</a:t>
          </a:r>
          <a:endParaRPr lang="en-PH"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PH" sz="1100" b="0" baseline="0"/>
            <a:t>- </a:t>
          </a:r>
          <a:r>
            <a:rPr lang="en-PH" sz="1100" b="1" baseline="0">
              <a:solidFill>
                <a:schemeClr val="dk1"/>
              </a:solidFill>
              <a:effectLst/>
              <a:latin typeface="+mn-lt"/>
              <a:ea typeface="+mn-ea"/>
              <a:cs typeface="+mn-cs"/>
            </a:rPr>
            <a:t>Median monthly purchase count: </a:t>
          </a:r>
          <a:r>
            <a:rPr lang="en-PH" sz="1100" b="0" baseline="0">
              <a:solidFill>
                <a:schemeClr val="dk1"/>
              </a:solidFill>
              <a:effectLst/>
              <a:latin typeface="+mn-lt"/>
              <a:ea typeface="+mn-ea"/>
              <a:cs typeface="+mn-cs"/>
            </a:rPr>
            <a:t>4</a:t>
          </a:r>
          <a:endParaRPr lang="en-PH"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PH" sz="1100" b="0" baseline="0"/>
            <a:t>- </a:t>
          </a:r>
          <a:r>
            <a:rPr lang="en-PH" sz="1100" b="1" baseline="0">
              <a:solidFill>
                <a:schemeClr val="dk1"/>
              </a:solidFill>
              <a:effectLst/>
              <a:latin typeface="+mn-lt"/>
              <a:ea typeface="+mn-ea"/>
              <a:cs typeface="+mn-cs"/>
            </a:rPr>
            <a:t>"Supa" behaves like creeping expenses </a:t>
          </a:r>
          <a:r>
            <a:rPr lang="en-PH" sz="1100" b="0" baseline="0">
              <a:solidFill>
                <a:schemeClr val="dk1"/>
              </a:solidFill>
              <a:effectLst/>
              <a:latin typeface="+mn-lt"/>
              <a:ea typeface="+mn-ea"/>
              <a:cs typeface="+mn-cs"/>
            </a:rPr>
            <a:t>(little amount per purchase but has higher total expenses than expected)</a:t>
          </a:r>
          <a:r>
            <a:rPr lang="en-PH" sz="1100" b="1" baseline="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PH" sz="1100" b="0" baseline="0">
              <a:solidFill>
                <a:schemeClr val="dk1"/>
              </a:solidFill>
              <a:effectLst/>
              <a:latin typeface="+mn-lt"/>
              <a:ea typeface="+mn-ea"/>
              <a:cs typeface="+mn-cs"/>
            </a:rPr>
            <a:t>- </a:t>
          </a:r>
          <a:r>
            <a:rPr lang="en-PH" sz="1100" b="1" baseline="0">
              <a:solidFill>
                <a:schemeClr val="dk1"/>
              </a:solidFill>
              <a:effectLst/>
              <a:latin typeface="+mn-lt"/>
              <a:ea typeface="+mn-ea"/>
              <a:cs typeface="+mn-cs"/>
            </a:rPr>
            <a:t>₱125 "Supa" is mostly purchased.</a:t>
          </a:r>
          <a:endParaRPr lang="en-PH"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PH" b="0">
              <a:effectLst/>
            </a:rPr>
            <a:t>- M</a:t>
          </a:r>
          <a:r>
            <a:rPr lang="en-PH" sz="1100" b="1" baseline="0">
              <a:solidFill>
                <a:schemeClr val="dk1"/>
              </a:solidFill>
              <a:effectLst/>
              <a:latin typeface="+mn-lt"/>
              <a:ea typeface="+mn-ea"/>
              <a:cs typeface="+mn-cs"/>
            </a:rPr>
            <a:t>onthly "Supa" expenses have decreasing trend </a:t>
          </a:r>
          <a:r>
            <a:rPr lang="en-PH" sz="1100" b="0" baseline="0">
              <a:solidFill>
                <a:schemeClr val="dk1"/>
              </a:solidFill>
              <a:effectLst/>
              <a:latin typeface="+mn-lt"/>
              <a:ea typeface="+mn-ea"/>
              <a:cs typeface="+mn-cs"/>
            </a:rPr>
            <a:t>(3-month average smoothing)</a:t>
          </a:r>
          <a:endParaRPr lang="en-PH" b="1">
            <a:effectLst/>
          </a:endParaRPr>
        </a:p>
      </xdr:txBody>
    </xdr:sp>
    <xdr:clientData/>
  </xdr:twoCellAnchor>
  <xdr:twoCellAnchor>
    <xdr:from>
      <xdr:col>5</xdr:col>
      <xdr:colOff>14287</xdr:colOff>
      <xdr:row>460</xdr:row>
      <xdr:rowOff>123825</xdr:rowOff>
    </xdr:from>
    <xdr:to>
      <xdr:col>9</xdr:col>
      <xdr:colOff>342901</xdr:colOff>
      <xdr:row>475</xdr:row>
      <xdr:rowOff>19050</xdr:rowOff>
    </xdr:to>
    <xdr:graphicFrame macro="">
      <xdr:nvGraphicFramePr>
        <xdr:cNvPr id="85" name="Chart 84">
          <a:extLst>
            <a:ext uri="{FF2B5EF4-FFF2-40B4-BE49-F238E27FC236}">
              <a16:creationId xmlns:a16="http://schemas.microsoft.com/office/drawing/2014/main" id="{88326C24-75B0-45ED-FB49-58AB5BBB7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866775</xdr:colOff>
      <xdr:row>433</xdr:row>
      <xdr:rowOff>152398</xdr:rowOff>
    </xdr:from>
    <xdr:to>
      <xdr:col>10</xdr:col>
      <xdr:colOff>123826</xdr:colOff>
      <xdr:row>441</xdr:row>
      <xdr:rowOff>190499</xdr:rowOff>
    </xdr:to>
    <xdr:cxnSp macro="">
      <xdr:nvCxnSpPr>
        <xdr:cNvPr id="95" name="Connector: Elbow 94">
          <a:extLst>
            <a:ext uri="{FF2B5EF4-FFF2-40B4-BE49-F238E27FC236}">
              <a16:creationId xmlns:a16="http://schemas.microsoft.com/office/drawing/2014/main" id="{90C70005-92A9-6E32-8F9E-F2476748DE04}"/>
            </a:ext>
          </a:extLst>
        </xdr:cNvPr>
        <xdr:cNvCxnSpPr/>
      </xdr:nvCxnSpPr>
      <xdr:spPr>
        <a:xfrm rot="16200000" flipH="1">
          <a:off x="11958637" y="89977911"/>
          <a:ext cx="1638301" cy="200026"/>
        </a:xfrm>
        <a:prstGeom prst="bentConnector3">
          <a:avLst>
            <a:gd name="adj1" fmla="val 85465"/>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445</xdr:row>
      <xdr:rowOff>71437</xdr:rowOff>
    </xdr:from>
    <xdr:to>
      <xdr:col>9</xdr:col>
      <xdr:colOff>323850</xdr:colOff>
      <xdr:row>459</xdr:row>
      <xdr:rowOff>147637</xdr:rowOff>
    </xdr:to>
    <xdr:graphicFrame macro="">
      <xdr:nvGraphicFramePr>
        <xdr:cNvPr id="102" name="Chart 101">
          <a:extLst>
            <a:ext uri="{FF2B5EF4-FFF2-40B4-BE49-F238E27FC236}">
              <a16:creationId xmlns:a16="http://schemas.microsoft.com/office/drawing/2014/main" id="{5868F540-CBB5-7A74-00D3-5D6F4676E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95250</xdr:colOff>
      <xdr:row>460</xdr:row>
      <xdr:rowOff>128587</xdr:rowOff>
    </xdr:from>
    <xdr:to>
      <xdr:col>4</xdr:col>
      <xdr:colOff>1009650</xdr:colOff>
      <xdr:row>475</xdr:row>
      <xdr:rowOff>14287</xdr:rowOff>
    </xdr:to>
    <xdr:graphicFrame macro="">
      <xdr:nvGraphicFramePr>
        <xdr:cNvPr id="104" name="Chart 103">
          <a:extLst>
            <a:ext uri="{FF2B5EF4-FFF2-40B4-BE49-F238E27FC236}">
              <a16:creationId xmlns:a16="http://schemas.microsoft.com/office/drawing/2014/main" id="{F09325D6-1671-7DBA-2E1A-BA8C6FA30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xdr:col>
      <xdr:colOff>28575</xdr:colOff>
      <xdr:row>31</xdr:row>
      <xdr:rowOff>152400</xdr:rowOff>
    </xdr:from>
    <xdr:to>
      <xdr:col>13</xdr:col>
      <xdr:colOff>134100</xdr:colOff>
      <xdr:row>48</xdr:row>
      <xdr:rowOff>20700</xdr:rowOff>
    </xdr:to>
    <xdr:graphicFrame macro="">
      <xdr:nvGraphicFramePr>
        <xdr:cNvPr id="25" name="Chart 24">
          <a:extLst>
            <a:ext uri="{FF2B5EF4-FFF2-40B4-BE49-F238E27FC236}">
              <a16:creationId xmlns:a16="http://schemas.microsoft.com/office/drawing/2014/main" id="{3C7366F1-8815-4210-9063-13A34DAB1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0.12512</cdr:x>
      <cdr:y>0.08497</cdr:y>
    </cdr:from>
    <cdr:to>
      <cdr:x>0.20545</cdr:x>
      <cdr:y>0.93791</cdr:y>
    </cdr:to>
    <cdr:sp macro="" textlink="">
      <cdr:nvSpPr>
        <cdr:cNvPr id="2" name="Oval 1">
          <a:extLst xmlns:a="http://schemas.openxmlformats.org/drawingml/2006/main">
            <a:ext uri="{FF2B5EF4-FFF2-40B4-BE49-F238E27FC236}">
              <a16:creationId xmlns:a16="http://schemas.microsoft.com/office/drawing/2014/main" id="{8B3DD442-3396-CF32-20F0-5FD643A10A4E}"/>
            </a:ext>
          </a:extLst>
        </cdr:cNvPr>
        <cdr:cNvSpPr/>
      </cdr:nvSpPr>
      <cdr:spPr>
        <a:xfrm xmlns:a="http://schemas.openxmlformats.org/drawingml/2006/main">
          <a:off x="1241173" y="230947"/>
          <a:ext cx="796875" cy="2318279"/>
        </a:xfrm>
        <a:prstGeom xmlns:a="http://schemas.openxmlformats.org/drawingml/2006/main" prst="ellipse">
          <a:avLst/>
        </a:prstGeom>
        <a:noFill xmlns:a="http://schemas.openxmlformats.org/drawingml/2006/main"/>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9.xml><?xml version="1.0" encoding="utf-8"?>
<c:userShapes xmlns:c="http://schemas.openxmlformats.org/drawingml/2006/chart">
  <cdr:relSizeAnchor xmlns:cdr="http://schemas.openxmlformats.org/drawingml/2006/chartDrawing">
    <cdr:from>
      <cdr:x>0.10784</cdr:x>
      <cdr:y>0.07917</cdr:y>
    </cdr:from>
    <cdr:to>
      <cdr:x>0.1826</cdr:x>
      <cdr:y>0.74861</cdr:y>
    </cdr:to>
    <cdr:sp macro="" textlink="">
      <cdr:nvSpPr>
        <cdr:cNvPr id="2" name="Oval 1">
          <a:extLst xmlns:a="http://schemas.openxmlformats.org/drawingml/2006/main">
            <a:ext uri="{FF2B5EF4-FFF2-40B4-BE49-F238E27FC236}">
              <a16:creationId xmlns:a16="http://schemas.microsoft.com/office/drawing/2014/main" id="{F5C27315-BC1D-307D-2988-6F3DC522D897}"/>
            </a:ext>
          </a:extLst>
        </cdr:cNvPr>
        <cdr:cNvSpPr/>
      </cdr:nvSpPr>
      <cdr:spPr>
        <a:xfrm xmlns:a="http://schemas.openxmlformats.org/drawingml/2006/main">
          <a:off x="670560" y="217170"/>
          <a:ext cx="464820" cy="1836420"/>
        </a:xfrm>
        <a:prstGeom xmlns:a="http://schemas.openxmlformats.org/drawingml/2006/main" prst="ellipse">
          <a:avLst/>
        </a:prstGeom>
        <a:noFill xmlns:a="http://schemas.openxmlformats.org/drawingml/2006/main"/>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0.xml><?xml version="1.0" encoding="utf-8"?>
<c:userShapes xmlns:c="http://schemas.openxmlformats.org/drawingml/2006/chart">
  <cdr:relSizeAnchor xmlns:cdr="http://schemas.openxmlformats.org/drawingml/2006/chartDrawing">
    <cdr:from>
      <cdr:x>0.09675</cdr:x>
      <cdr:y>0.10139</cdr:y>
    </cdr:from>
    <cdr:to>
      <cdr:x>0.16969</cdr:x>
      <cdr:y>0.81806</cdr:y>
    </cdr:to>
    <cdr:sp macro="" textlink="">
      <cdr:nvSpPr>
        <cdr:cNvPr id="2" name="Oval 1">
          <a:extLst xmlns:a="http://schemas.openxmlformats.org/drawingml/2006/main">
            <a:ext uri="{FF2B5EF4-FFF2-40B4-BE49-F238E27FC236}">
              <a16:creationId xmlns:a16="http://schemas.microsoft.com/office/drawing/2014/main" id="{4FE618D2-A65D-1A36-F066-2BAC81AA9A6E}"/>
            </a:ext>
          </a:extLst>
        </cdr:cNvPr>
        <cdr:cNvSpPr/>
      </cdr:nvSpPr>
      <cdr:spPr>
        <a:xfrm xmlns:a="http://schemas.openxmlformats.org/drawingml/2006/main">
          <a:off x="689879" y="297448"/>
          <a:ext cx="520093" cy="2102495"/>
        </a:xfrm>
        <a:prstGeom xmlns:a="http://schemas.openxmlformats.org/drawingml/2006/main" prst="ellipse">
          <a:avLst/>
        </a:prstGeom>
        <a:noFill xmlns:a="http://schemas.openxmlformats.org/drawingml/2006/main"/>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0.79598</cdr:x>
      <cdr:y>0.19583</cdr:y>
    </cdr:from>
    <cdr:to>
      <cdr:x>0.86892</cdr:x>
      <cdr:y>0.82639</cdr:y>
    </cdr:to>
    <cdr:sp macro="" textlink="">
      <cdr:nvSpPr>
        <cdr:cNvPr id="3" name="Oval 2">
          <a:extLst xmlns:a="http://schemas.openxmlformats.org/drawingml/2006/main">
            <a:ext uri="{FF2B5EF4-FFF2-40B4-BE49-F238E27FC236}">
              <a16:creationId xmlns:a16="http://schemas.microsoft.com/office/drawing/2014/main" id="{5634627A-9599-7C2E-F80B-B99710174EAE}"/>
            </a:ext>
          </a:extLst>
        </cdr:cNvPr>
        <cdr:cNvSpPr/>
      </cdr:nvSpPr>
      <cdr:spPr>
        <a:xfrm xmlns:a="http://schemas.openxmlformats.org/drawingml/2006/main">
          <a:off x="5737860" y="537210"/>
          <a:ext cx="525780" cy="1729740"/>
        </a:xfrm>
        <a:prstGeom xmlns:a="http://schemas.openxmlformats.org/drawingml/2006/main" prst="ellipse">
          <a:avLst/>
        </a:prstGeom>
        <a:noFill xmlns:a="http://schemas.openxmlformats.org/drawingml/2006/main"/>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104775</xdr:colOff>
      <xdr:row>1</xdr:row>
      <xdr:rowOff>76199</xdr:rowOff>
    </xdr:from>
    <xdr:to>
      <xdr:col>5</xdr:col>
      <xdr:colOff>1002150</xdr:colOff>
      <xdr:row>20</xdr:row>
      <xdr:rowOff>189899</xdr:rowOff>
    </xdr:to>
    <xdr:graphicFrame macro="">
      <xdr:nvGraphicFramePr>
        <xdr:cNvPr id="9" name="Chart 8">
          <a:extLst>
            <a:ext uri="{FF2B5EF4-FFF2-40B4-BE49-F238E27FC236}">
              <a16:creationId xmlns:a16="http://schemas.microsoft.com/office/drawing/2014/main" id="{6DFC7E2A-23A3-4ED3-A3AD-2FEE826CF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1188383</xdr:colOff>
      <xdr:row>1</xdr:row>
      <xdr:rowOff>80681</xdr:rowOff>
    </xdr:from>
    <xdr:to>
      <xdr:col>15</xdr:col>
      <xdr:colOff>342683</xdr:colOff>
      <xdr:row>21</xdr:row>
      <xdr:rowOff>4799</xdr:rowOff>
    </xdr:to>
    <xdr:graphicFrame macro="">
      <xdr:nvGraphicFramePr>
        <xdr:cNvPr id="3" name="Chart 2">
          <a:extLst>
            <a:ext uri="{FF2B5EF4-FFF2-40B4-BE49-F238E27FC236}">
              <a16:creationId xmlns:a16="http://schemas.microsoft.com/office/drawing/2014/main" id="{BE49E567-551F-4F54-63D8-6FCEBCE1C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112057</xdr:colOff>
      <xdr:row>21</xdr:row>
      <xdr:rowOff>143436</xdr:rowOff>
    </xdr:from>
    <xdr:to>
      <xdr:col>5</xdr:col>
      <xdr:colOff>1009432</xdr:colOff>
      <xdr:row>41</xdr:row>
      <xdr:rowOff>67553</xdr:rowOff>
    </xdr:to>
    <xdr:graphicFrame macro="">
      <xdr:nvGraphicFramePr>
        <xdr:cNvPr id="5" name="Chart 4">
          <a:extLst>
            <a:ext uri="{FF2B5EF4-FFF2-40B4-BE49-F238E27FC236}">
              <a16:creationId xmlns:a16="http://schemas.microsoft.com/office/drawing/2014/main" id="{8014A941-889D-83E6-896A-DF91B666E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1188383</xdr:colOff>
      <xdr:row>21</xdr:row>
      <xdr:rowOff>152401</xdr:rowOff>
    </xdr:from>
    <xdr:to>
      <xdr:col>15</xdr:col>
      <xdr:colOff>342683</xdr:colOff>
      <xdr:row>41</xdr:row>
      <xdr:rowOff>76518</xdr:rowOff>
    </xdr:to>
    <xdr:graphicFrame macro="">
      <xdr:nvGraphicFramePr>
        <xdr:cNvPr id="6" name="Chart 5">
          <a:extLst>
            <a:ext uri="{FF2B5EF4-FFF2-40B4-BE49-F238E27FC236}">
              <a16:creationId xmlns:a16="http://schemas.microsoft.com/office/drawing/2014/main" id="{542A671D-6794-55D0-BBEB-7B2D56B99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134473</xdr:colOff>
      <xdr:row>42</xdr:row>
      <xdr:rowOff>0</xdr:rowOff>
    </xdr:from>
    <xdr:to>
      <xdr:col>15</xdr:col>
      <xdr:colOff>352426</xdr:colOff>
      <xdr:row>61</xdr:row>
      <xdr:rowOff>103412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FEE17B2-497C-4B3D-A78A-379D90AEB4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4473" y="8286750"/>
              <a:ext cx="13486278" cy="3722912"/>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152401</xdr:colOff>
      <xdr:row>62</xdr:row>
      <xdr:rowOff>32656</xdr:rowOff>
    </xdr:from>
    <xdr:to>
      <xdr:col>15</xdr:col>
      <xdr:colOff>352426</xdr:colOff>
      <xdr:row>81</xdr:row>
      <xdr:rowOff>134571</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CDA9CEEB-18EC-449C-A091-43B2603DC9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2401" y="12129406"/>
              <a:ext cx="13468350" cy="3721415"/>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206828</xdr:colOff>
      <xdr:row>102</xdr:row>
      <xdr:rowOff>185055</xdr:rowOff>
    </xdr:from>
    <xdr:to>
      <xdr:col>15</xdr:col>
      <xdr:colOff>381000</xdr:colOff>
      <xdr:row>122</xdr:row>
      <xdr:rowOff>101912</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B346F2CF-E1E8-4694-9925-4C8866CBDF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06828" y="19901805"/>
              <a:ext cx="13442497" cy="3726857"/>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198120</xdr:colOff>
      <xdr:row>123</xdr:row>
      <xdr:rowOff>83820</xdr:rowOff>
    </xdr:from>
    <xdr:to>
      <xdr:col>5</xdr:col>
      <xdr:colOff>1095495</xdr:colOff>
      <xdr:row>143</xdr:row>
      <xdr:rowOff>15420</xdr:rowOff>
    </xdr:to>
    <xdr:graphicFrame macro="">
      <xdr:nvGraphicFramePr>
        <xdr:cNvPr id="10" name="Chart 9">
          <a:extLst>
            <a:ext uri="{FF2B5EF4-FFF2-40B4-BE49-F238E27FC236}">
              <a16:creationId xmlns:a16="http://schemas.microsoft.com/office/drawing/2014/main" id="{665F3802-20FC-4C59-A21F-3E66A7BB7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26670</xdr:colOff>
      <xdr:row>123</xdr:row>
      <xdr:rowOff>72390</xdr:rowOff>
    </xdr:from>
    <xdr:to>
      <xdr:col>15</xdr:col>
      <xdr:colOff>381120</xdr:colOff>
      <xdr:row>143</xdr:row>
      <xdr:rowOff>3990</xdr:rowOff>
    </xdr:to>
    <xdr:graphicFrame macro="">
      <xdr:nvGraphicFramePr>
        <xdr:cNvPr id="15" name="Chart 14">
          <a:extLst>
            <a:ext uri="{FF2B5EF4-FFF2-40B4-BE49-F238E27FC236}">
              <a16:creationId xmlns:a16="http://schemas.microsoft.com/office/drawing/2014/main" id="{7D77A356-B2F2-09E2-8AAE-6A649CA0B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175260</xdr:colOff>
      <xdr:row>82</xdr:row>
      <xdr:rowOff>114300</xdr:rowOff>
    </xdr:from>
    <xdr:to>
      <xdr:col>5</xdr:col>
      <xdr:colOff>1072635</xdr:colOff>
      <xdr:row>102</xdr:row>
      <xdr:rowOff>45900</xdr:rowOff>
    </xdr:to>
    <xdr:graphicFrame macro="">
      <xdr:nvGraphicFramePr>
        <xdr:cNvPr id="16" name="Chart 15">
          <a:extLst>
            <a:ext uri="{FF2B5EF4-FFF2-40B4-BE49-F238E27FC236}">
              <a16:creationId xmlns:a16="http://schemas.microsoft.com/office/drawing/2014/main" id="{F04371C7-725A-446D-98C1-B31AA4783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33.663265393516" createdVersion="8" refreshedVersion="8" minRefreshableVersion="3" recordCount="671" xr:uid="{BF6FE9DA-7C4F-4FCF-AF16-CC39968992BF}">
  <cacheSource type="worksheet">
    <worksheetSource name="cleaned_personal_finance_data"/>
  </cacheSource>
  <cacheFields count="12">
    <cacheField name="trans_no" numFmtId="0">
      <sharedItems containsSemiMixedTypes="0" containsString="0" containsNumber="1" containsInteger="1" minValue="1" maxValue="671"/>
    </cacheField>
    <cacheField name="date" numFmtId="14">
      <sharedItems containsSemiMixedTypes="0" containsNonDate="0" containsDate="1" containsString="0" minDate="2023-09-14T00:00:00" maxDate="2025-01-31T00:00:00" count="244">
        <d v="2023-09-14T00:00:00"/>
        <d v="2023-10-09T00:00:00"/>
        <d v="2023-10-15T00:00:00"/>
        <d v="2023-10-31T00:00:00"/>
        <d v="2023-11-05T00:00:00"/>
        <d v="2023-11-06T00:00:00"/>
        <d v="2023-11-10T00:00:00"/>
        <d v="2023-11-13T00:00:00"/>
        <d v="2023-11-14T00:00:00"/>
        <d v="2023-11-15T00:00:00"/>
        <d v="2023-11-16T00:00:00"/>
        <d v="2023-11-17T00:00:00"/>
        <d v="2023-11-18T00:00:00"/>
        <d v="2023-11-22T00:00:00"/>
        <d v="2023-11-23T00:00:00"/>
        <d v="2023-11-30T00:00:00"/>
        <d v="2023-12-02T00:00:00"/>
        <d v="2023-12-03T00:00:00"/>
        <d v="2023-12-04T00:00:00"/>
        <d v="2023-12-06T00:00:00"/>
        <d v="2023-12-07T00:00:00"/>
        <d v="2023-12-08T00:00:00"/>
        <d v="2023-12-09T00:00:00"/>
        <d v="2023-12-10T00:00:00"/>
        <d v="2023-12-11T00:00:00"/>
        <d v="2023-12-13T00:00:00"/>
        <d v="2023-12-14T00:00:00"/>
        <d v="2023-12-15T00:00:00"/>
        <d v="2023-12-18T00:00:00"/>
        <d v="2023-12-19T00:00:00"/>
        <d v="2023-12-21T00:00:00"/>
        <d v="2023-12-22T00:00:00"/>
        <d v="2023-12-23T00:00:00"/>
        <d v="2023-12-24T00:00:00"/>
        <d v="2023-12-25T00:00:00"/>
        <d v="2023-12-26T00:00:00"/>
        <d v="2023-12-28T00:00:00"/>
        <d v="2023-12-31T00:00:00"/>
        <d v="2024-01-01T00:00:00"/>
        <d v="2024-01-04T00:00:00"/>
        <d v="2024-01-06T00:00:00"/>
        <d v="2024-01-07T00:00:00"/>
        <d v="2024-01-08T00:00:00"/>
        <d v="2024-01-09T00:00:00"/>
        <d v="2024-01-12T00:00:00"/>
        <d v="2024-01-14T00:00:00"/>
        <d v="2024-01-15T00:00:00"/>
        <d v="2024-01-17T00:00:00"/>
        <d v="2024-01-18T00:00:00"/>
        <d v="2024-01-19T00:00:00"/>
        <d v="2024-01-20T00:00:00"/>
        <d v="2024-01-21T00:00:00"/>
        <d v="2024-01-22T00:00:00"/>
        <d v="2024-01-24T00:00:00"/>
        <d v="2024-01-25T00:00:00"/>
        <d v="2024-01-28T00:00:00"/>
        <d v="2024-01-29T00:00:00"/>
        <d v="2024-01-30T00:00:00"/>
        <d v="2024-01-31T00:00:00"/>
        <d v="2024-02-01T00:00:00"/>
        <d v="2024-02-03T00:00:00"/>
        <d v="2024-02-06T00:00:00"/>
        <d v="2024-02-07T00:00:00"/>
        <d v="2024-02-09T00:00:00"/>
        <d v="2024-02-10T00:00:00"/>
        <d v="2024-02-12T00:00:00"/>
        <d v="2024-02-15T00:00:00"/>
        <d v="2024-02-16T00:00:00"/>
        <d v="2024-02-20T00:00:00"/>
        <d v="2024-02-21T00:00:00"/>
        <d v="2024-02-22T00:00:00"/>
        <d v="2024-02-24T00:00:00"/>
        <d v="2024-02-27T00:00:00"/>
        <d v="2024-02-29T00:00:00"/>
        <d v="2024-03-02T00:00:00"/>
        <d v="2024-03-03T00:00:00"/>
        <d v="2024-03-05T00:00:00"/>
        <d v="2024-03-06T00:00:00"/>
        <d v="2024-03-10T00:00:00"/>
        <d v="2024-03-14T00:00:00"/>
        <d v="2024-03-18T00:00:00"/>
        <d v="2024-03-22T00:00:00"/>
        <d v="2024-03-23T00:00:00"/>
        <d v="2024-03-27T00:00:00"/>
        <d v="2024-03-30T00:00:00"/>
        <d v="2024-03-31T00:00:00"/>
        <d v="2024-04-02T00:00:00"/>
        <d v="2024-04-05T00:00:00"/>
        <d v="2024-04-06T00:00:00"/>
        <d v="2024-04-07T00:00:00"/>
        <d v="2024-04-09T00:00:00"/>
        <d v="2024-04-10T00:00:00"/>
        <d v="2024-04-15T00:00:00"/>
        <d v="2024-04-16T00:00:00"/>
        <d v="2024-04-20T00:00:00"/>
        <d v="2024-04-21T00:00:00"/>
        <d v="2024-04-22T00:00:00"/>
        <d v="2024-04-30T00:00:00"/>
        <d v="2024-05-03T00:00:00"/>
        <d v="2024-05-04T00:00:00"/>
        <d v="2024-05-06T00:00:00"/>
        <d v="2024-05-07T00:00:00"/>
        <d v="2024-05-08T00:00:00"/>
        <d v="2024-05-13T00:00:00"/>
        <d v="2024-05-14T00:00:00"/>
        <d v="2024-05-15T00:00:00"/>
        <d v="2024-05-16T00:00:00"/>
        <d v="2024-05-18T00:00:00"/>
        <d v="2024-05-22T00:00:00"/>
        <d v="2024-05-23T00:00:00"/>
        <d v="2024-05-28T00:00:00"/>
        <d v="2024-05-30T00:00:00"/>
        <d v="2024-06-02T00:00:00"/>
        <d v="2024-06-04T00:00:00"/>
        <d v="2024-06-05T00:00:00"/>
        <d v="2024-06-06T00:00:00"/>
        <d v="2024-06-07T00:00:00"/>
        <d v="2024-06-10T00:00:00"/>
        <d v="2024-06-11T00:00:00"/>
        <d v="2024-06-13T00:00:00"/>
        <d v="2024-06-14T00:00:00"/>
        <d v="2024-06-15T00:00:00"/>
        <d v="2024-06-19T00:00:00"/>
        <d v="2024-06-20T00:00:00"/>
        <d v="2024-06-21T00:00:00"/>
        <d v="2024-06-22T00:00:00"/>
        <d v="2024-06-23T00:00:00"/>
        <d v="2024-06-27T00:00:00"/>
        <d v="2024-06-28T00:00:00"/>
        <d v="2024-07-01T00:00:00"/>
        <d v="2024-07-04T00:00:00"/>
        <d v="2024-07-06T00:00:00"/>
        <d v="2024-07-10T00:00:00"/>
        <d v="2024-07-11T00:00:00"/>
        <d v="2024-07-12T00:00:00"/>
        <d v="2024-07-15T00:00:00"/>
        <d v="2024-07-16T00:00:00"/>
        <d v="2024-07-17T00:00:00"/>
        <d v="2024-07-19T00:00:00"/>
        <d v="2024-07-20T00:00:00"/>
        <d v="2024-07-21T00:00:00"/>
        <d v="2024-07-22T00:00:00"/>
        <d v="2024-07-23T00:00:00"/>
        <d v="2024-07-25T00:00:00"/>
        <d v="2024-07-26T00:00:00"/>
        <d v="2024-07-27T00:00:00"/>
        <d v="2024-07-30T00:00:00"/>
        <d v="2024-07-31T00:00:00"/>
        <d v="2024-08-01T00:00:00"/>
        <d v="2024-08-02T00:00:00"/>
        <d v="2024-08-03T00:00:00"/>
        <d v="2024-08-04T00:00:00"/>
        <d v="2024-08-06T00:00:00"/>
        <d v="2024-08-09T00:00:00"/>
        <d v="2024-08-10T00:00:00"/>
        <d v="2024-08-12T00:00:00"/>
        <d v="2024-08-15T00:00:00"/>
        <d v="2024-08-18T00:00:00"/>
        <d v="2024-08-23T00:00:00"/>
        <d v="2024-08-27T00:00:00"/>
        <d v="2024-08-28T00:00:00"/>
        <d v="2024-08-29T00:00:00"/>
        <d v="2024-08-30T00:00:00"/>
        <d v="2024-08-31T00:00:00"/>
        <d v="2024-09-02T00:00:00"/>
        <d v="2024-09-04T00:00:00"/>
        <d v="2024-09-05T00:00:00"/>
        <d v="2024-09-06T00:00:00"/>
        <d v="2024-09-07T00:00:00"/>
        <d v="2024-09-11T00:00:00"/>
        <d v="2024-09-12T00:00:00"/>
        <d v="2024-09-13T00:00:00"/>
        <d v="2024-09-14T00:00:00"/>
        <d v="2024-09-16T00:00:00"/>
        <d v="2024-09-17T00:00:00"/>
        <d v="2024-09-18T00:00:00"/>
        <d v="2024-09-19T00:00:00"/>
        <d v="2024-09-20T00:00:00"/>
        <d v="2024-09-21T00:00:00"/>
        <d v="2024-09-22T00:00:00"/>
        <d v="2024-09-24T00:00:00"/>
        <d v="2024-09-25T00:00:00"/>
        <d v="2024-09-26T00:00:00"/>
        <d v="2024-09-27T00:00:00"/>
        <d v="2024-09-28T00:00:00"/>
        <d v="2024-09-30T00:00:00"/>
        <d v="2024-10-04T00:00:00"/>
        <d v="2024-10-05T00:00:00"/>
        <d v="2024-10-06T00:00:00"/>
        <d v="2024-10-08T00:00:00"/>
        <d v="2024-10-10T00:00:00"/>
        <d v="2024-10-13T00:00:00"/>
        <d v="2024-10-14T00:00:00"/>
        <d v="2024-10-16T00:00:00"/>
        <d v="2024-10-18T00:00:00"/>
        <d v="2024-10-19T00:00:00"/>
        <d v="2024-10-22T00:00:00"/>
        <d v="2024-10-23T00:00:00"/>
        <d v="2024-10-24T00:00:00"/>
        <d v="2024-10-25T00:00:00"/>
        <d v="2024-10-26T00:00:00"/>
        <d v="2024-10-30T00:00:00"/>
        <d v="2024-10-31T00:00:00"/>
        <d v="2024-11-02T00:00:00"/>
        <d v="2024-11-03T00:00:00"/>
        <d v="2024-11-05T00:00:00"/>
        <d v="2024-11-06T00:00:00"/>
        <d v="2024-11-07T00:00:00"/>
        <d v="2024-11-11T00:00:00"/>
        <d v="2024-11-12T00:00:00"/>
        <d v="2024-11-13T00:00:00"/>
        <d v="2024-11-15T00:00:00"/>
        <d v="2024-11-18T00:00:00"/>
        <d v="2024-11-19T00:00:00"/>
        <d v="2024-11-20T00:00:00"/>
        <d v="2024-11-22T00:00:00"/>
        <d v="2024-11-29T00:00:00"/>
        <d v="2024-11-30T00:00:00"/>
        <d v="2024-12-04T00:00:00"/>
        <d v="2024-12-06T00:00:00"/>
        <d v="2024-12-08T00:00:00"/>
        <d v="2024-12-10T00:00:00"/>
        <d v="2024-12-11T00:00:00"/>
        <d v="2024-12-13T00:00:00"/>
        <d v="2024-12-14T00:00:00"/>
        <d v="2024-12-19T00:00:00"/>
        <d v="2024-12-21T00:00:00"/>
        <d v="2024-12-23T00:00:00"/>
        <d v="2024-12-24T00:00:00"/>
        <d v="2024-12-25T00:00:00"/>
        <d v="2024-12-26T00:00:00"/>
        <d v="2024-12-29T00:00:00"/>
        <d v="2024-12-30T00:00:00"/>
        <d v="2024-12-31T00:00:00"/>
        <d v="2025-01-01T00:00:00"/>
        <d v="2025-01-02T00:00:00"/>
        <d v="2025-01-04T00:00:00"/>
        <d v="2025-01-10T00:00:00"/>
        <d v="2025-01-13T00:00:00"/>
        <d v="2025-01-15T00:00:00"/>
        <d v="2025-01-16T00:00:00"/>
        <d v="2025-01-17T00:00:00"/>
        <d v="2025-01-24T00:00:00"/>
        <d v="2025-01-30T00:00:00"/>
      </sharedItems>
      <fieldGroup par="11"/>
    </cacheField>
    <cacheField name="details" numFmtId="0">
      <sharedItems count="271">
        <s v="サラリー"/>
        <s v="bank withdraw "/>
        <s v="stash deposit"/>
        <s v="Monthly gasoline (oct)"/>
        <s v="Balay (Oct)"/>
        <s v="Tahong harvest"/>
        <s v="pansit canton"/>
        <s v="monay"/>
        <s v="Gcash cash-in"/>
        <s v="Ink"/>
        <s v="Oishi"/>
        <s v="Spotify"/>
        <s v="Monay (1 putos)"/>
        <s v="Century Tuna"/>
        <s v="Tatoos"/>
        <s v="Supa"/>
        <s v="Mineral water"/>
        <s v="Mang Juan"/>
        <s v="Bayad referee "/>
        <s v="chalk"/>
        <s v="Income (with bonus?)"/>
        <s v="YT Membership"/>
        <s v="Genshin Welkin"/>
        <s v="kape"/>
        <s v="bioderm"/>
        <s v="Ebo Sweldo"/>
        <s v="Pasahe"/>
        <s v="Pamahaw"/>
        <s v="Choco-choco"/>
        <s v="Star bread"/>
        <s v="Pamasahe"/>
        <s v="Noodles beef"/>
        <s v="balay (nov)"/>
        <s v="Gasolina (nov)"/>
        <s v="Aragmot (chrsPty_simba)"/>
        <s v="Family day price"/>
        <s v="wifi load (magic data)"/>
        <s v="pamasahe (lamingao - villa)"/>
        <s v="pamasahe (pantalan - sakayan)"/>
        <s v="pamasahe (Villareal - Tacloban)"/>
        <s v="laptop upgrade labor"/>
        <s v="battery "/>
        <s v="SSD"/>
        <s v="HDD enclosure "/>
        <s v="tinapay"/>
        <s v="lubi shake"/>
        <s v="pamasahe (tacloban - villa)"/>
        <s v="pamasahe (villareal - Lamingao)"/>
        <s v="wow ulam"/>
        <s v="wifi load (family access)"/>
        <s v="Steam (nirvanA Initiative)"/>
        <s v="pandesal"/>
        <s v="tubig"/>
        <s v="pamasahe (villa - kasang-an)"/>
        <s v="utang sir caro"/>
        <s v="fita"/>
        <s v="SRI"/>
        <s v="district t-shirt"/>
        <s v="pamasahe (kasang-an - villa"/>
        <s v="putok"/>
        <s v="pamasahe (villa - pantalan)"/>
        <s v="pamasahe (villa - lamingao)"/>
        <s v="hatag kanda mama"/>
        <s v="tuba"/>
        <s v="pepsi"/>
        <s v="pamasahe (villa - tacloban)"/>
        <s v="medisina"/>
        <s v="pagkaon"/>
        <s v="laptop keyboard"/>
        <s v="keyboard labor"/>
        <s v="shawarma"/>
        <s v="coke 1.5 (2 pcs)"/>
        <s v="irimnon"/>
        <s v="Gcash cash-in (aragmot kanda(ate angie, mam angel)"/>
        <s v="Gcash cash-in (aragmot kan(mam jonna)"/>
        <s v="Steam (Left 4 Dead 2)"/>
        <s v="aragmot (trainer)"/>
        <s v="aragmot (trainer kanda(ate angie, mam angel, mam jonna))"/>
        <s v="aragmot (festival trainer)"/>
        <s v="aragmot (misa sponsor)"/>
        <s v="aragmot (kan mam jonna)"/>
        <s v="black shoes"/>
        <s v="bluetooth speaker"/>
        <s v="USB port extension"/>
        <s v="crispy king paniudto"/>
        <s v="pamasahe (catbalogan - pier 1)"/>
        <s v="pamasahe (lamingao - catbalogan x4)"/>
        <s v="Gasolina (dec)"/>
        <s v="Kape 2x"/>
        <s v="tapar para kan sir Rugie"/>
        <s v="paniudto"/>
        <s v="snack"/>
        <s v="pamahase (villa - lamingao)"/>
        <s v="pamasahe (villa - catbalogan)"/>
        <s v="bag sena"/>
        <s v="boxer shorts walker"/>
        <s v="ID picture (michaela)"/>
        <s v="paste"/>
        <s v="photopaper"/>
        <s v="tsinelas"/>
        <s v="notaryo"/>
        <s v="pamasahe (catbalogan - terminal)"/>
        <s v="pamasahe (terminal - villa)"/>
        <s v="Gasolina (jan)"/>
        <s v="balay (jan)"/>
        <s v="Steam (Yakuza 0)"/>
        <s v="pasahe (villa II - villa)"/>
        <s v="Earphone"/>
        <s v="Steam (vampire survivors)"/>
        <s v="Steam (overcooked 2)"/>
        <s v="coke 1.5"/>
        <s v="pamasahe (terminal - downtown)"/>
        <s v="pamasahe (downtown - terminal)"/>
        <s v="earpod"/>
        <s v="さラリー"/>
        <s v="coke"/>
        <s v="Gasolina (feb 2024)"/>
        <s v="balay (feb 2024)"/>
        <s v="Arot"/>
        <s v="bank withdraw"/>
        <s v="bank withdraw fee"/>
        <s v="ref (hulog)"/>
        <s v="ketchup"/>
        <s v="inom"/>
        <s v="panilot"/>
        <s v="sabon powder"/>
        <s v="halo-halo (4x)"/>
        <s v="Gasolina (mar)"/>
        <s v="balay"/>
        <s v="brutsa"/>
        <s v="clothing allowance"/>
        <s v="sabon powder (1 tie)"/>
        <s v="Palaman peanut"/>
        <s v="Tolits financial assistance"/>
        <s v="Tito patron assistance"/>
        <s v="Lola Rosa patron assistance"/>
        <s v="Gasolina (april)"/>
        <s v="mobile load (magic data)"/>
        <s v="ボーナスサラリー"/>
        <s v="folder "/>
        <s v="aragmot (recognition hosting)"/>
        <s v="aragmot (graduation)"/>
        <s v="Gasolina"/>
        <s v="pasahe (villa - tacloban)"/>
        <s v="Mcdo"/>
        <s v="withdraw (atm)"/>
        <s v="withdraw charges"/>
        <s v="deposit (to stash)"/>
        <s v="ID picture (Asayas)"/>
        <s v="pamasahe (prc - mercury)"/>
        <s v="Jollibee"/>
        <s v="Sheena (Exam fee)"/>
        <s v="mango shake"/>
        <s v="aficionado (F28)"/>
        <s v="pasahe (tacloban - villa)"/>
        <s v="Gcash cash-in (NLC)"/>
        <s v="Gcash cash-out (NLC; to mam Daisy)"/>
        <s v="Gacash cash-in"/>
        <s v="Membership gift"/>
        <s v="Sheena "/>
        <s v="pamasahe (lamingao - catbalogan)"/>
        <s v="eco-bag"/>
        <s v="pamasahe (catbalogan - villa)"/>
        <s v="bioderm 3 bxs"/>
        <s v="steam summer sale"/>
        <s v="gaming chair"/>
        <s v="cellophane "/>
        <s v="pancit canton"/>
        <s v="plywood sta clara"/>
        <s v="epoxy el kapitan"/>
        <s v="bronze nail"/>
        <s v="labor"/>
        <s v="jolly-spagetti (1 topperware)"/>
        <s v="jolly-burger"/>
        <s v="handa (birthday)"/>
        <s v="welcome party aragmot"/>
        <s v="bokbok"/>
        <s v="diatabs"/>
        <s v="donation"/>
        <s v="lomotil"/>
        <s v="cash allowance"/>
        <s v="yakult"/>
        <s v="piatos"/>
        <s v="sphero (1 L)"/>
        <s v="epoxy"/>
        <s v="pintura orange (1 L)"/>
        <s v="pintura blue (1 can)"/>
        <s v="mano tantan"/>
        <s v="boysen lemon yellow (1/4 L)"/>
        <s v="Epoxy Red oxide (1 L)"/>
        <s v="chalk allowance"/>
        <s v="soft drinks 1.5L"/>
        <s v="aragmot (induction)"/>
        <s v="microsoft office install"/>
        <s v="gala"/>
        <s v="coke mismo (2 case)"/>
        <s v="bag"/>
        <s v="ぴびび"/>
        <s v="sura"/>
        <s v="YT sticker"/>
        <s v="bonay"/>
        <s v="sheena"/>
        <s v="pamasahe (guimbalangawan - guintarcan)"/>
        <s v="pamasahe (guintarcan - guimbalangawan)"/>
        <s v="notebook"/>
        <s v="coke mismo"/>
        <s v="tito dondon"/>
        <s v="aragmot (teachers day)"/>
        <s v="science quiz bee rewards"/>
        <s v="burger"/>
        <s v="intrams props"/>
        <s v="???"/>
        <s v="gasolina (sept 24)"/>
        <s v="balay (sept 24)"/>
        <s v="sheena paayad"/>
        <s v="pasahe (guimbalangawan - guintarcan)"/>
        <s v="scouting membership"/>
        <s v="sabon panlaba"/>
        <s v="letson"/>
        <s v="steam (outlast)"/>
        <s v="manok"/>
        <s v="hotdog"/>
        <s v="burger steak"/>
        <s v="bayad absent"/>
        <s v="referee"/>
        <s v="suhol tubig"/>
        <s v="disposable cups"/>
        <s v="歳末のボーナス"/>
        <s v="cash gift"/>
        <s v="gasolina (oct 24)"/>
        <s v="asite"/>
        <s v="donation - basket ball G11"/>
        <s v="donation - basket ball G9"/>
        <s v="donation - basket ball G10"/>
        <s v="donation - volley ball"/>
        <s v="ballpen"/>
        <s v="kape blanca"/>
        <s v="portfolio day"/>
        <s v="mesa de gallo"/>
        <s v="xmas party"/>
        <s v="prize"/>
        <s v="soft drinks"/>
        <s v="brownies"/>
        <s v="第十三月のサラリー"/>
        <s v="bado"/>
        <s v="phone stand"/>
        <s v="asiti"/>
        <s v="panigab-i"/>
        <s v="boxer shorts"/>
        <s v="sliced bread"/>
        <s v="kuya huram"/>
        <s v="red horse (1 case)"/>
        <s v="pamaskuhan"/>
        <s v="bata medyas"/>
        <s v="bata pajama w/ hood"/>
        <s v="hoody jacket"/>
        <s v="t-shirt"/>
        <s v="grocery"/>
        <s v="lamesa"/>
        <s v="beer (1 case)"/>
        <s v="pasahe (lamingao - catbalogan)"/>
        <s v="payong"/>
        <s v="pasahe (catbalogan - villa)"/>
        <s v="pashe (villa - lamingao)"/>
        <s v="monitor"/>
        <s v="pasahe (catbalogan - lamingao)"/>
        <s v="pasahe (lamingao - villa)"/>
        <s v="extension wire"/>
        <s v="paperworld"/>
        <s v="photocopy"/>
        <s v="pahahe"/>
      </sharedItems>
    </cacheField>
    <cacheField name="amount" numFmtId="0">
      <sharedItems containsSemiMixedTypes="0" containsString="0" containsNumber="1" containsInteger="1" minValue="5" maxValue="220000" count="196">
        <n v="17732"/>
        <n v="12754"/>
        <n v="26142"/>
        <n v="12834"/>
        <n v="2550"/>
        <n v="5000"/>
        <n v="12560"/>
        <n v="56"/>
        <n v="30"/>
        <n v="2010"/>
        <n v="1000"/>
        <n v="20"/>
        <n v="194"/>
        <n v="43"/>
        <n v="12"/>
        <n v="25"/>
        <n v="125"/>
        <n v="300"/>
        <n v="44732"/>
        <n v="129"/>
        <n v="280"/>
        <n v="12734"/>
        <n v="265"/>
        <n v="1500"/>
        <n v="239"/>
        <n v="45"/>
        <n v="40"/>
        <n v="90"/>
        <n v="13"/>
        <n v="2100"/>
        <n v="544"/>
        <n v="50"/>
        <n v="12732"/>
        <n v="3000"/>
        <n v="599"/>
        <n v="15"/>
        <n v="120"/>
        <n v="142"/>
        <n v="19036"/>
        <n v="19000"/>
        <n v="3600"/>
        <n v="2900"/>
        <n v="60"/>
        <n v="150"/>
        <n v="199"/>
        <n v="768"/>
        <n v="10"/>
        <n v="18000"/>
        <n v="600"/>
        <n v="400"/>
        <n v="100"/>
        <n v="1375"/>
        <n v="157"/>
        <n v="2600"/>
        <n v="500"/>
        <n v="12733"/>
        <n v="160"/>
        <n v="200"/>
        <n v="784"/>
        <n v="380"/>
        <n v="34"/>
        <n v="392"/>
        <n v="1176"/>
        <n v="123"/>
        <n v="173"/>
        <n v="930"/>
        <n v="1990"/>
        <n v="695"/>
        <n v="77"/>
        <n v="1050"/>
        <n v="260"/>
        <n v="85"/>
        <n v="35"/>
        <n v="58"/>
        <n v="1099"/>
        <n v="837"/>
        <n v="75"/>
        <n v="98"/>
        <n v="348"/>
        <n v="130"/>
        <n v="2000"/>
        <n v="48"/>
        <n v="180"/>
        <n v="68"/>
        <n v="12597"/>
        <n v="28"/>
        <n v="144"/>
        <n v="899"/>
        <n v="12598"/>
        <n v="2560"/>
        <n v="19900"/>
        <n v="36"/>
        <n v="7000"/>
        <n v="12579"/>
        <n v="12616"/>
        <n v="8"/>
        <n v="12995"/>
        <n v="6000"/>
        <n v="80"/>
        <n v="13615"/>
        <n v="1700"/>
        <n v="236"/>
        <n v="37"/>
        <n v="73"/>
        <n v="399"/>
        <n v="12615"/>
        <n v="27000"/>
        <n v="246"/>
        <n v="440"/>
        <n v="105"/>
        <n v="699"/>
        <n v="2400"/>
        <n v="240"/>
        <n v="328"/>
        <n v="38"/>
        <n v="170"/>
        <n v="451"/>
        <n v="70"/>
        <n v="320"/>
        <n v="360"/>
        <n v="750"/>
        <n v="250"/>
        <n v="178"/>
        <n v="16"/>
        <n v="220000"/>
        <n v="188"/>
        <n v="2542"/>
        <n v="12663"/>
        <n v="1195"/>
        <n v="455"/>
        <n v="550"/>
        <n v="237"/>
        <n v="4000"/>
        <n v="1200"/>
        <n v="3400"/>
        <n v="650"/>
        <n v="14"/>
        <n v="65"/>
        <n v="290"/>
        <n v="220"/>
        <n v="460"/>
        <n v="12617"/>
        <n v="12400"/>
        <n v="22"/>
        <n v="25418"/>
        <n v="2150"/>
        <n v="55"/>
        <n v="700"/>
        <n v="450"/>
        <n v="13202"/>
        <n v="1365"/>
        <n v="218"/>
        <n v="855"/>
        <n v="1021"/>
        <n v="3150"/>
        <n v="1750"/>
        <n v="13240"/>
        <n v="10000"/>
        <n v="92"/>
        <n v="13241"/>
        <n v="14752"/>
        <n v="2325"/>
        <n v="135"/>
        <n v="225"/>
        <n v="365"/>
        <n v="350"/>
        <n v="175"/>
        <n v="25000"/>
        <n v="210"/>
        <n v="185"/>
        <n v="190"/>
        <n v="798"/>
        <n v="140"/>
        <n v="720"/>
        <n v="1150"/>
        <n v="281"/>
        <n v="9972"/>
        <n v="26"/>
        <n v="69"/>
        <n v="269"/>
        <n v="263"/>
        <n v="279"/>
        <n v="87"/>
        <n v="1289"/>
        <n v="270"/>
        <n v="5"/>
        <n v="83"/>
        <n v="230"/>
        <n v="89"/>
        <n v="20000"/>
        <n v="5490"/>
        <n v="184"/>
        <n v="638"/>
        <n v="42"/>
        <n v="13201"/>
        <n v="18"/>
      </sharedItems>
    </cacheField>
    <cacheField name="transaction" numFmtId="0">
      <sharedItems count="4">
        <s v="Income"/>
        <s v="Withdraw"/>
        <s v="Deposit"/>
        <s v="Expenses"/>
      </sharedItems>
    </cacheField>
    <cacheField name="transaction_mode" numFmtId="0">
      <sharedItems count="3">
        <s v="Bank"/>
        <s v="Stash"/>
        <s v="G-cash"/>
      </sharedItems>
    </cacheField>
    <cacheField name="month" numFmtId="0">
      <sharedItems containsSemiMixedTypes="0" containsString="0" containsNumber="1" containsInteger="1" minValue="1" maxValue="12" count="12">
        <n v="9"/>
        <n v="10"/>
        <n v="11"/>
        <n v="12"/>
        <n v="1"/>
        <n v="2"/>
        <n v="3"/>
        <n v="4"/>
        <n v="5"/>
        <n v="6"/>
        <n v="7"/>
        <n v="8"/>
      </sharedItems>
    </cacheField>
    <cacheField name="year" numFmtId="0">
      <sharedItems containsSemiMixedTypes="0" containsString="0" containsNumber="1" containsInteger="1" minValue="2023" maxValue="2025" count="3">
        <n v="2023"/>
        <n v="2024"/>
        <n v="2025"/>
      </sharedItems>
    </cacheField>
    <cacheField name="cleaned_detail" numFmtId="0">
      <sharedItems count="177">
        <s v="salary"/>
        <s v="bank withdraw "/>
        <s v="stash deposit"/>
        <s v="Gasolina"/>
        <s v="balay"/>
        <s v="Tahong harvest"/>
        <s v="pansit canton"/>
        <s v="Monay (1 putos)"/>
        <s v="Gcash cash-in"/>
        <s v="Ink"/>
        <s v="Oishi"/>
        <s v="Spotify"/>
        <s v="Century Tuna"/>
        <s v="Tatoos"/>
        <s v="Supa"/>
        <s v="Mineral water"/>
        <s v="Mang Juan"/>
        <s v="Bayad referee "/>
        <s v="chalk"/>
        <s v="Income (with bonus?)"/>
        <s v="YT Membership"/>
        <s v="Genshin Welkin"/>
        <s v="Kape"/>
        <s v="Bioderm"/>
        <s v="Ebo Sweldo"/>
        <s v="Pamasahe"/>
        <s v="Pamahaw"/>
        <s v="Choco-choco"/>
        <s v="Star bread"/>
        <s v="Noodles beef"/>
        <s v="aragmot"/>
        <s v="Family day price"/>
        <s v="wifi load (magic data)"/>
        <s v="laptop upgrade labor"/>
        <s v="battery "/>
        <s v="SSD"/>
        <s v="HDD enclosure "/>
        <s v="tinapay"/>
        <s v="lubi shake"/>
        <s v="wow ulam"/>
        <s v="wifi load (family access)"/>
        <s v="steam"/>
        <s v="pandesal"/>
        <s v="tubig"/>
        <s v="utang sir caro"/>
        <s v="fita"/>
        <s v="SRI"/>
        <s v="district t-shirt"/>
        <s v="putok"/>
        <s v="hatag kanda mama"/>
        <s v="tuba"/>
        <s v="pepsi"/>
        <s v="medisina"/>
        <s v="pagkaon"/>
        <s v="laptop keyboard"/>
        <s v="keyboard labor"/>
        <s v="shawarma"/>
        <s v="soft drinks"/>
        <s v="irimnon"/>
        <s v="black shoes"/>
        <s v="bluetooth speaker"/>
        <s v="USB port extension"/>
        <s v="crispy king paniudto"/>
        <s v="tapar para kan sir Rugie"/>
        <s v="paniudto"/>
        <s v="snack"/>
        <s v="bag sena"/>
        <s v="boxer shorts"/>
        <s v="ID picture"/>
        <s v="paste"/>
        <s v="photopaper"/>
        <s v="tsinelas"/>
        <s v="notaryo"/>
        <s v="Earphone"/>
        <s v="earpod"/>
        <s v="Arot"/>
        <s v="bank withdraw"/>
        <s v="bank withdraw fee"/>
        <s v="ref (hulog)"/>
        <s v="ketchup"/>
        <s v="inom"/>
        <s v="panilot"/>
        <s v="sabon panlaba"/>
        <s v="halo-halo (4x)"/>
        <s v="brutsa"/>
        <s v="clothing allowance"/>
        <s v="Palaman peanut"/>
        <s v="Tolits financial assistance"/>
        <s v="Tito patron assistance"/>
        <s v="Lola Rosa patron assistance"/>
        <s v="mobile load (magic data)"/>
        <s v="Bonus salary"/>
        <s v="folder "/>
        <s v="Mcdo"/>
        <s v="withdraw (atm)"/>
        <s v="withdraw charges"/>
        <s v="deposit (to stash)"/>
        <s v="Jollibee"/>
        <s v="sheena-related"/>
        <s v="mango shake"/>
        <s v="aficionado (F28)"/>
        <s v="Gcash cash-out (NLC; to mam Daisy)"/>
        <s v="Gacash cash-in"/>
        <s v="Membership gift"/>
        <s v="eco-bag"/>
        <s v="gaming chair"/>
        <s v="cellophane "/>
        <s v="pancit canton"/>
        <s v="plywood sta clara"/>
        <s v="epoxy"/>
        <s v="bronze nail"/>
        <s v="labor"/>
        <s v="handa (birthday)"/>
        <s v="welcome party aragmot"/>
        <s v="bokbok"/>
        <s v="diatabs"/>
        <s v="donation"/>
        <s v="lomotil"/>
        <s v="cash allowance"/>
        <s v="yakult"/>
        <s v="piatos"/>
        <s v="pintura"/>
        <s v="mano tantan"/>
        <s v="chalk allowance"/>
        <s v="microsoft office install"/>
        <s v="gala"/>
        <s v="bag"/>
        <s v="PBB"/>
        <s v="sura"/>
        <s v="YT sticker"/>
        <s v="bonay"/>
        <s v="notebook"/>
        <s v="tito dondon"/>
        <s v="science quiz bee rewards"/>
        <s v="burger"/>
        <s v="intrams props"/>
        <s v="???"/>
        <s v="scouting membership"/>
        <s v="letson"/>
        <s v="manok"/>
        <s v="hotdog"/>
        <s v="burger steak"/>
        <s v="bayad absent"/>
        <s v="referee"/>
        <s v="suhol tubig"/>
        <s v="disposable cups"/>
        <s v="year-end bonus"/>
        <s v="cash gift"/>
        <s v="asite"/>
        <s v="ballpen"/>
        <s v="portfolio day"/>
        <s v="mesa de gallo"/>
        <s v="xmas party"/>
        <s v="prize"/>
        <s v="brownies"/>
        <s v="13th month pay"/>
        <s v="bado"/>
        <s v="phone stand"/>
        <s v="asiti"/>
        <s v="panigab-i"/>
        <s v="sliced bread"/>
        <s v="kuya huram"/>
        <s v="red horse"/>
        <s v="pamaskuhan"/>
        <s v="bata medyas"/>
        <s v="bata pajama w/ hood"/>
        <s v="hoody jacket"/>
        <s v="t-shirt"/>
        <s v="grocery"/>
        <s v="lamesa"/>
        <s v="beer (1 case)"/>
        <s v="payong"/>
        <s v="monitor"/>
        <s v="extension wire"/>
        <s v="paperworld"/>
        <s v="photocopy"/>
        <s v="pahahe"/>
      </sharedItems>
    </cacheField>
    <cacheField name="Months (date)" numFmtId="0" databaseField="0">
      <fieldGroup base="1">
        <rangePr groupBy="months" startDate="2023-09-14T00:00:00" endDate="2025-01-31T00:00:00"/>
        <groupItems count="14">
          <s v="&lt;9/14/2023"/>
          <s v="Jan"/>
          <s v="Feb"/>
          <s v="Mar"/>
          <s v="Apr"/>
          <s v="May"/>
          <s v="Jun"/>
          <s v="Jul"/>
          <s v="Aug"/>
          <s v="Sep"/>
          <s v="Oct"/>
          <s v="Nov"/>
          <s v="Dec"/>
          <s v="&gt;1/31/2025"/>
        </groupItems>
      </fieldGroup>
    </cacheField>
    <cacheField name="Quarters (date)" numFmtId="0" databaseField="0">
      <fieldGroup base="1">
        <rangePr groupBy="quarters" startDate="2023-09-14T00:00:00" endDate="2025-01-31T00:00:00"/>
        <groupItems count="6">
          <s v="&lt;9/14/2023"/>
          <s v="Qtr1"/>
          <s v="Qtr2"/>
          <s v="Qtr3"/>
          <s v="Qtr4"/>
          <s v="&gt;1/31/2025"/>
        </groupItems>
      </fieldGroup>
    </cacheField>
    <cacheField name="Years (date)" numFmtId="0" databaseField="0">
      <fieldGroup base="1">
        <rangePr groupBy="years" startDate="2023-09-14T00:00:00" endDate="2025-01-31T00:00:00"/>
        <groupItems count="5">
          <s v="&lt;9/14/2023"/>
          <s v="2023"/>
          <s v="2024"/>
          <s v="2025"/>
          <s v="&gt;1/31/2025"/>
        </groupItems>
      </fieldGroup>
    </cacheField>
  </cacheFields>
  <extLst>
    <ext xmlns:x14="http://schemas.microsoft.com/office/spreadsheetml/2009/9/main" uri="{725AE2AE-9491-48be-B2B4-4EB974FC3084}">
      <x14:pivotCacheDefinition pivotCacheId="15261459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34.504209953702" createdVersion="8" refreshedVersion="8" minRefreshableVersion="3" recordCount="670" xr:uid="{D59E2C78-9EA1-41EA-996E-30E46B0507F7}">
  <cacheSource type="worksheet">
    <worksheetSource ref="A1:I671" sheet="Expenses_table"/>
  </cacheSource>
  <cacheFields count="12">
    <cacheField name="trans_no" numFmtId="0">
      <sharedItems containsSemiMixedTypes="0" containsString="0" containsNumber="1" containsInteger="1" minValue="1" maxValue="670"/>
    </cacheField>
    <cacheField name="date" numFmtId="14">
      <sharedItems containsSemiMixedTypes="0" containsNonDate="0" containsDate="1" containsString="0" minDate="2023-09-14T00:00:00" maxDate="2025-01-25T00:00:00" count="243">
        <d v="2023-09-14T00:00:00"/>
        <d v="2023-10-09T00:00:00"/>
        <d v="2023-10-15T00:00:00"/>
        <d v="2023-10-31T00:00:00"/>
        <d v="2023-11-05T00:00:00"/>
        <d v="2023-11-06T00:00:00"/>
        <d v="2023-11-10T00:00:00"/>
        <d v="2023-11-13T00:00:00"/>
        <d v="2023-11-14T00:00:00"/>
        <d v="2023-11-15T00:00:00"/>
        <d v="2023-11-16T00:00:00"/>
        <d v="2023-11-17T00:00:00"/>
        <d v="2023-11-18T00:00:00"/>
        <d v="2023-11-22T00:00:00"/>
        <d v="2023-11-23T00:00:00"/>
        <d v="2023-11-30T00:00:00"/>
        <d v="2023-12-02T00:00:00"/>
        <d v="2023-12-03T00:00:00"/>
        <d v="2023-12-04T00:00:00"/>
        <d v="2023-12-06T00:00:00"/>
        <d v="2023-12-07T00:00:00"/>
        <d v="2023-12-08T00:00:00"/>
        <d v="2023-12-09T00:00:00"/>
        <d v="2023-12-10T00:00:00"/>
        <d v="2023-12-11T00:00:00"/>
        <d v="2023-12-13T00:00:00"/>
        <d v="2023-12-14T00:00:00"/>
        <d v="2023-12-15T00:00:00"/>
        <d v="2023-12-18T00:00:00"/>
        <d v="2023-12-19T00:00:00"/>
        <d v="2023-12-21T00:00:00"/>
        <d v="2023-12-22T00:00:00"/>
        <d v="2023-12-23T00:00:00"/>
        <d v="2023-12-24T00:00:00"/>
        <d v="2023-12-25T00:00:00"/>
        <d v="2023-12-26T00:00:00"/>
        <d v="2023-12-28T00:00:00"/>
        <d v="2023-12-31T00:00:00"/>
        <d v="2024-01-01T00:00:00"/>
        <d v="2024-01-04T00:00:00"/>
        <d v="2024-01-06T00:00:00"/>
        <d v="2024-01-07T00:00:00"/>
        <d v="2024-01-08T00:00:00"/>
        <d v="2024-01-09T00:00:00"/>
        <d v="2024-01-12T00:00:00"/>
        <d v="2024-01-14T00:00:00"/>
        <d v="2024-01-15T00:00:00"/>
        <d v="2024-01-17T00:00:00"/>
        <d v="2024-01-18T00:00:00"/>
        <d v="2024-01-19T00:00:00"/>
        <d v="2024-01-20T00:00:00"/>
        <d v="2024-01-21T00:00:00"/>
        <d v="2024-01-22T00:00:00"/>
        <d v="2024-01-24T00:00:00"/>
        <d v="2024-01-25T00:00:00"/>
        <d v="2024-01-28T00:00:00"/>
        <d v="2024-01-29T00:00:00"/>
        <d v="2024-01-30T00:00:00"/>
        <d v="2024-01-31T00:00:00"/>
        <d v="2024-02-01T00:00:00"/>
        <d v="2024-02-03T00:00:00"/>
        <d v="2024-02-06T00:00:00"/>
        <d v="2024-02-07T00:00:00"/>
        <d v="2024-02-09T00:00:00"/>
        <d v="2024-02-10T00:00:00"/>
        <d v="2024-02-12T00:00:00"/>
        <d v="2024-02-15T00:00:00"/>
        <d v="2024-02-16T00:00:00"/>
        <d v="2024-02-20T00:00:00"/>
        <d v="2024-02-21T00:00:00"/>
        <d v="2024-02-22T00:00:00"/>
        <d v="2024-02-24T00:00:00"/>
        <d v="2024-02-27T00:00:00"/>
        <d v="2024-02-29T00:00:00"/>
        <d v="2024-03-02T00:00:00"/>
        <d v="2024-03-03T00:00:00"/>
        <d v="2024-03-05T00:00:00"/>
        <d v="2024-03-06T00:00:00"/>
        <d v="2024-03-10T00:00:00"/>
        <d v="2024-03-14T00:00:00"/>
        <d v="2024-03-18T00:00:00"/>
        <d v="2024-03-22T00:00:00"/>
        <d v="2024-03-23T00:00:00"/>
        <d v="2024-03-27T00:00:00"/>
        <d v="2024-03-30T00:00:00"/>
        <d v="2024-03-31T00:00:00"/>
        <d v="2024-04-02T00:00:00"/>
        <d v="2024-04-05T00:00:00"/>
        <d v="2024-04-06T00:00:00"/>
        <d v="2024-04-07T00:00:00"/>
        <d v="2024-04-09T00:00:00"/>
        <d v="2024-04-10T00:00:00"/>
        <d v="2024-04-15T00:00:00"/>
        <d v="2024-04-16T00:00:00"/>
        <d v="2024-04-20T00:00:00"/>
        <d v="2024-04-21T00:00:00"/>
        <d v="2024-04-22T00:00:00"/>
        <d v="2024-04-30T00:00:00"/>
        <d v="2024-05-03T00:00:00"/>
        <d v="2024-05-04T00:00:00"/>
        <d v="2024-05-06T00:00:00"/>
        <d v="2024-05-07T00:00:00"/>
        <d v="2024-05-08T00:00:00"/>
        <d v="2024-05-13T00:00:00"/>
        <d v="2024-05-14T00:00:00"/>
        <d v="2024-05-15T00:00:00"/>
        <d v="2024-05-16T00:00:00"/>
        <d v="2024-05-18T00:00:00"/>
        <d v="2024-05-22T00:00:00"/>
        <d v="2024-05-23T00:00:00"/>
        <d v="2024-05-28T00:00:00"/>
        <d v="2024-05-30T00:00:00"/>
        <d v="2024-06-02T00:00:00"/>
        <d v="2024-06-04T00:00:00"/>
        <d v="2024-06-05T00:00:00"/>
        <d v="2024-06-06T00:00:00"/>
        <d v="2024-06-07T00:00:00"/>
        <d v="2024-06-10T00:00:00"/>
        <d v="2024-06-11T00:00:00"/>
        <d v="2024-06-13T00:00:00"/>
        <d v="2024-06-14T00:00:00"/>
        <d v="2024-06-15T00:00:00"/>
        <d v="2024-06-19T00:00:00"/>
        <d v="2024-06-20T00:00:00"/>
        <d v="2024-06-21T00:00:00"/>
        <d v="2024-06-22T00:00:00"/>
        <d v="2024-06-23T00:00:00"/>
        <d v="2024-06-27T00:00:00"/>
        <d v="2024-06-28T00:00:00"/>
        <d v="2024-07-01T00:00:00"/>
        <d v="2024-07-04T00:00:00"/>
        <d v="2024-07-06T00:00:00"/>
        <d v="2024-07-10T00:00:00"/>
        <d v="2024-07-11T00:00:00"/>
        <d v="2024-07-12T00:00:00"/>
        <d v="2024-07-15T00:00:00"/>
        <d v="2024-07-16T00:00:00"/>
        <d v="2024-07-17T00:00:00"/>
        <d v="2024-07-19T00:00:00"/>
        <d v="2024-07-20T00:00:00"/>
        <d v="2024-07-21T00:00:00"/>
        <d v="2024-07-22T00:00:00"/>
        <d v="2024-07-23T00:00:00"/>
        <d v="2024-07-25T00:00:00"/>
        <d v="2024-07-26T00:00:00"/>
        <d v="2024-07-27T00:00:00"/>
        <d v="2024-07-30T00:00:00"/>
        <d v="2024-07-31T00:00:00"/>
        <d v="2024-08-01T00:00:00"/>
        <d v="2024-08-02T00:00:00"/>
        <d v="2024-08-03T00:00:00"/>
        <d v="2024-08-04T00:00:00"/>
        <d v="2024-08-06T00:00:00"/>
        <d v="2024-08-09T00:00:00"/>
        <d v="2024-08-10T00:00:00"/>
        <d v="2024-08-12T00:00:00"/>
        <d v="2024-08-15T00:00:00"/>
        <d v="2024-08-18T00:00:00"/>
        <d v="2024-08-23T00:00:00"/>
        <d v="2024-08-27T00:00:00"/>
        <d v="2024-08-28T00:00:00"/>
        <d v="2024-08-29T00:00:00"/>
        <d v="2024-08-30T00:00:00"/>
        <d v="2024-08-31T00:00:00"/>
        <d v="2024-09-02T00:00:00"/>
        <d v="2024-09-04T00:00:00"/>
        <d v="2024-09-05T00:00:00"/>
        <d v="2024-09-06T00:00:00"/>
        <d v="2024-09-07T00:00:00"/>
        <d v="2024-09-11T00:00:00"/>
        <d v="2024-09-12T00:00:00"/>
        <d v="2024-09-13T00:00:00"/>
        <d v="2024-09-14T00:00:00"/>
        <d v="2024-09-16T00:00:00"/>
        <d v="2024-09-17T00:00:00"/>
        <d v="2024-09-18T00:00:00"/>
        <d v="2024-09-19T00:00:00"/>
        <d v="2024-09-20T00:00:00"/>
        <d v="2024-09-21T00:00:00"/>
        <d v="2024-09-22T00:00:00"/>
        <d v="2024-09-24T00:00:00"/>
        <d v="2024-09-25T00:00:00"/>
        <d v="2024-09-26T00:00:00"/>
        <d v="2024-09-27T00:00:00"/>
        <d v="2024-09-28T00:00:00"/>
        <d v="2024-09-30T00:00:00"/>
        <d v="2024-10-04T00:00:00"/>
        <d v="2024-10-05T00:00:00"/>
        <d v="2024-10-06T00:00:00"/>
        <d v="2024-10-08T00:00:00"/>
        <d v="2024-10-10T00:00:00"/>
        <d v="2024-10-13T00:00:00"/>
        <d v="2024-10-14T00:00:00"/>
        <d v="2024-10-16T00:00:00"/>
        <d v="2024-10-18T00:00:00"/>
        <d v="2024-10-19T00:00:00"/>
        <d v="2024-10-22T00:00:00"/>
        <d v="2024-10-23T00:00:00"/>
        <d v="2024-10-24T00:00:00"/>
        <d v="2024-10-25T00:00:00"/>
        <d v="2024-10-26T00:00:00"/>
        <d v="2024-10-30T00:00:00"/>
        <d v="2024-10-31T00:00:00"/>
        <d v="2024-11-02T00:00:00"/>
        <d v="2024-11-03T00:00:00"/>
        <d v="2024-11-05T00:00:00"/>
        <d v="2024-11-06T00:00:00"/>
        <d v="2024-11-07T00:00:00"/>
        <d v="2024-11-11T00:00:00"/>
        <d v="2024-11-12T00:00:00"/>
        <d v="2024-11-13T00:00:00"/>
        <d v="2024-11-15T00:00:00"/>
        <d v="2024-11-18T00:00:00"/>
        <d v="2024-11-19T00:00:00"/>
        <d v="2024-11-20T00:00:00"/>
        <d v="2024-11-22T00:00:00"/>
        <d v="2024-11-29T00:00:00"/>
        <d v="2024-11-30T00:00:00"/>
        <d v="2024-12-04T00:00:00"/>
        <d v="2024-12-06T00:00:00"/>
        <d v="2024-12-08T00:00:00"/>
        <d v="2024-12-10T00:00:00"/>
        <d v="2024-12-11T00:00:00"/>
        <d v="2024-12-13T00:00:00"/>
        <d v="2024-12-14T00:00:00"/>
        <d v="2024-12-19T00:00:00"/>
        <d v="2024-12-21T00:00:00"/>
        <d v="2024-12-23T00:00:00"/>
        <d v="2024-12-24T00:00:00"/>
        <d v="2024-12-25T00:00:00"/>
        <d v="2024-12-26T00:00:00"/>
        <d v="2024-12-29T00:00:00"/>
        <d v="2024-12-30T00:00:00"/>
        <d v="2024-12-31T00:00:00"/>
        <d v="2025-01-01T00:00:00"/>
        <d v="2025-01-02T00:00:00"/>
        <d v="2025-01-04T00:00:00"/>
        <d v="2025-01-10T00:00:00"/>
        <d v="2025-01-13T00:00:00"/>
        <d v="2025-01-15T00:00:00"/>
        <d v="2025-01-16T00:00:00"/>
        <d v="2025-01-17T00:00:00"/>
        <d v="2025-01-24T00:00:00"/>
      </sharedItems>
      <fieldGroup par="11"/>
    </cacheField>
    <cacheField name="details" numFmtId="0">
      <sharedItems/>
    </cacheField>
    <cacheField name="amount" numFmtId="0">
      <sharedItems containsSemiMixedTypes="0" containsString="0" containsNumber="1" containsInteger="1" minValue="5" maxValue="220000"/>
    </cacheField>
    <cacheField name="transaction" numFmtId="0">
      <sharedItems count="4">
        <s v="Income"/>
        <s v="Withdraw"/>
        <s v="Deposit"/>
        <s v="Expenses"/>
      </sharedItems>
    </cacheField>
    <cacheField name="transaction_mode" numFmtId="0">
      <sharedItems/>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3" maxValue="2025"/>
    </cacheField>
    <cacheField name="cleaned_detail" numFmtId="0">
      <sharedItems/>
    </cacheField>
    <cacheField name="Months (date)" numFmtId="0" databaseField="0">
      <fieldGroup base="1">
        <rangePr groupBy="months" startDate="2023-09-14T00:00:00" endDate="2025-01-25T00:00:00"/>
        <groupItems count="14">
          <s v="&lt;9/14/2023"/>
          <s v="Jan"/>
          <s v="Feb"/>
          <s v="Mar"/>
          <s v="Apr"/>
          <s v="May"/>
          <s v="Jun"/>
          <s v="Jul"/>
          <s v="Aug"/>
          <s v="Sep"/>
          <s v="Oct"/>
          <s v="Nov"/>
          <s v="Dec"/>
          <s v="&gt;1/25/2025"/>
        </groupItems>
      </fieldGroup>
    </cacheField>
    <cacheField name="Quarters (date)" numFmtId="0" databaseField="0">
      <fieldGroup base="1">
        <rangePr groupBy="quarters" startDate="2023-09-14T00:00:00" endDate="2025-01-25T00:00:00"/>
        <groupItems count="6">
          <s v="&lt;9/14/2023"/>
          <s v="Qtr1"/>
          <s v="Qtr2"/>
          <s v="Qtr3"/>
          <s v="Qtr4"/>
          <s v="&gt;1/25/2025"/>
        </groupItems>
      </fieldGroup>
    </cacheField>
    <cacheField name="Years (date)" numFmtId="0" databaseField="0">
      <fieldGroup base="1">
        <rangePr groupBy="years" startDate="2023-09-14T00:00:00" endDate="2025-01-25T00:00:00"/>
        <groupItems count="5">
          <s v="&lt;9/14/2023"/>
          <s v="2023"/>
          <s v="2024"/>
          <s v="2025"/>
          <s v="&gt;1/25/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39.72677685185" createdVersion="8" refreshedVersion="8" minRefreshableVersion="3" recordCount="42" xr:uid="{52B636F9-04A0-45D9-8914-4311A1ED7271}">
  <cacheSource type="worksheet">
    <worksheetSource name="Table16"/>
  </cacheSource>
  <cacheFields count="5">
    <cacheField name="transaction_detail" numFmtId="0">
      <sharedItems/>
    </cacheField>
    <cacheField name="expenses" numFmtId="0">
      <sharedItems containsSemiMixedTypes="0" containsString="0" containsNumber="1" containsInteger="1" minValue="10" maxValue="5000"/>
    </cacheField>
    <cacheField name="expense_prcnt" numFmtId="10">
      <sharedItems containsSemiMixedTypes="0" containsString="0" containsNumber="1" minValue="3.1227555194703808E-4" maxValue="0.15613777597351902"/>
    </cacheField>
    <cacheField name="count" numFmtId="0">
      <sharedItems containsSemiMixedTypes="0" containsString="0" containsNumber="1" containsInteger="1" minValue="1" maxValue="15"/>
    </cacheField>
    <cacheField name="category" numFmtId="0">
      <sharedItems count="8">
        <s v="bills"/>
        <s v="laptop-related"/>
        <s v="medicine"/>
        <s v="transportation"/>
        <s v="entertainment"/>
        <s v="job-related"/>
        <s v="personal necessity"/>
        <s v="food"/>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41.583169907404" createdVersion="8" refreshedVersion="8" minRefreshableVersion="3" recordCount="4" xr:uid="{C7407A09-4098-40DA-8277-9913B1D78EAA}">
  <cacheSource type="worksheet">
    <worksheetSource name="Table21"/>
  </cacheSource>
  <cacheFields count="5">
    <cacheField name="date" numFmtId="17">
      <sharedItems containsSemiMixedTypes="0" containsNonDate="0" containsDate="1" containsString="0" minDate="2023-11-01T00:00:00" maxDate="2023-12-02T00:00:00" count="2">
        <d v="2023-11-01T00:00:00"/>
        <d v="2023-12-01T00:00:00" u="1"/>
      </sharedItems>
      <fieldGroup par="4"/>
    </cacheField>
    <cacheField name="detail" numFmtId="0">
      <sharedItems count="6">
        <s v="Unlabeled Income (bonus?)"/>
        <s v="salary"/>
        <s v="salary (other half)"/>
        <s v="Tahong harvest"/>
        <s v="Unknown Income (bonus?)" u="1"/>
        <s v="SRI" u="1"/>
      </sharedItems>
    </cacheField>
    <cacheField name="income" numFmtId="0">
      <sharedItems containsSemiMixedTypes="0" containsString="0" containsNumber="1" containsInteger="1" minValue="12560" maxValue="31966"/>
    </cacheField>
    <cacheField name="Days (date)" numFmtId="0" databaseField="0">
      <fieldGroup base="0">
        <rangePr groupBy="days" startDate="2023-11-01T00:00:00" endDate="2023-11-02T00:00:00"/>
        <groupItems count="368">
          <s v="&lt;1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2023"/>
        </groupItems>
      </fieldGroup>
    </cacheField>
    <cacheField name="Months (date)" numFmtId="0" databaseField="0">
      <fieldGroup base="0">
        <rangePr groupBy="months" startDate="2023-11-01T00:00:00" endDate="2023-11-02T00:00:00"/>
        <groupItems count="14">
          <s v="&lt;11/1/2023"/>
          <s v="Jan"/>
          <s v="Feb"/>
          <s v="Mar"/>
          <s v="Apr"/>
          <s v="May"/>
          <s v="Jun"/>
          <s v="Jul"/>
          <s v="Aug"/>
          <s v="Sep"/>
          <s v="Oct"/>
          <s v="Nov"/>
          <s v="Dec"/>
          <s v="&gt;11/2/2023"/>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43.568329166665" createdVersion="8" refreshedVersion="8" minRefreshableVersion="3" recordCount="29" xr:uid="{A25858FA-DBF6-4B31-9D09-D87C0D924887}">
  <cacheSource type="worksheet">
    <worksheetSource name="Table24"/>
  </cacheSource>
  <cacheFields count="7">
    <cacheField name="date" numFmtId="17">
      <sharedItems containsSemiMixedTypes="0" containsNonDate="0" containsDate="1" containsString="0" minDate="2023-09-01T00:00:00" maxDate="2025-01-02T00:00:00" count="17">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sharedItems>
      <fieldGroup par="6"/>
    </cacheField>
    <cacheField name="detail" numFmtId="0">
      <sharedItems count="13">
        <s v="salary"/>
        <s v="Income (with bonus?)"/>
        <s v="Tahong harvest"/>
        <s v="SRI"/>
        <s v="clothing allowance"/>
        <s v="Bonus salary"/>
        <s v="cash allowance"/>
        <s v="chalk allowance"/>
        <s v="PBB"/>
        <s v="???"/>
        <s v="cash gift"/>
        <s v="year-end bonus"/>
        <s v="13th month pay"/>
      </sharedItems>
    </cacheField>
    <cacheField name="sum income" numFmtId="0">
      <sharedItems containsSemiMixedTypes="0" containsString="0" containsNumber="1" containsInteger="1" minValue="1021" maxValue="44732"/>
    </cacheField>
    <cacheField name="count of transaction" numFmtId="0">
      <sharedItems containsSemiMixedTypes="0" containsString="0" containsNumber="1" containsInteger="1" minValue="1" maxValue="2"/>
    </cacheField>
    <cacheField name="Months (date)" numFmtId="0" databaseField="0">
      <fieldGroup base="0">
        <rangePr groupBy="months" startDate="2023-09-01T00:00:00" endDate="2025-01-02T00:00:00"/>
        <groupItems count="14">
          <s v="&lt;9/1/2023"/>
          <s v="Jan"/>
          <s v="Feb"/>
          <s v="Mar"/>
          <s v="Apr"/>
          <s v="May"/>
          <s v="Jun"/>
          <s v="Jul"/>
          <s v="Aug"/>
          <s v="Sep"/>
          <s v="Oct"/>
          <s v="Nov"/>
          <s v="Dec"/>
          <s v="&gt;1/2/2025"/>
        </groupItems>
      </fieldGroup>
    </cacheField>
    <cacheField name="Quarters (date)" numFmtId="0" databaseField="0">
      <fieldGroup base="0">
        <rangePr groupBy="quarters" startDate="2023-09-01T00:00:00" endDate="2025-01-02T00:00:00"/>
        <groupItems count="6">
          <s v="&lt;9/1/2023"/>
          <s v="Qtr1"/>
          <s v="Qtr2"/>
          <s v="Qtr3"/>
          <s v="Qtr4"/>
          <s v="&gt;1/2/2025"/>
        </groupItems>
      </fieldGroup>
    </cacheField>
    <cacheField name="Years (date)" numFmtId="0" databaseField="0">
      <fieldGroup base="0">
        <rangePr groupBy="years" startDate="2023-09-01T00:00:00" endDate="2025-01-02T00:00:00"/>
        <groupItems count="5">
          <s v="&lt;9/1/2023"/>
          <s v="2023"/>
          <s v="2024"/>
          <s v="2025"/>
          <s v="&gt;1/2/2025"/>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44.732697453706" createdVersion="8" refreshedVersion="8" minRefreshableVersion="3" recordCount="20" xr:uid="{43F54C52-8125-4409-A11E-95B40A26CE3A}">
  <cacheSource type="worksheet">
    <worksheetSource name="Table20"/>
  </cacheSource>
  <cacheFields count="7">
    <cacheField name="Detail" numFmtId="0">
      <sharedItems count="20">
        <s v="balay"/>
        <s v="Gasolina"/>
        <s v="letson"/>
        <s v="Ebo Sweldo"/>
        <s v="sheena-related"/>
        <s v="ref (hulog)"/>
        <s v="Pamasahe"/>
        <s v="Supa"/>
        <s v="monitor"/>
        <s v="wifi load (magic data)"/>
        <s v="handa (birthday)"/>
        <s v="wifi load (family access)"/>
        <s v="Kape"/>
        <s v="battery "/>
        <s v="aragmot"/>
        <s v="hatag kanda mama"/>
        <s v="irimnon"/>
        <s v="SSD"/>
        <s v="Spotify"/>
        <s v="laptop keyboard"/>
      </sharedItems>
    </cacheField>
    <cacheField name="Sum of G-cash Expenses" numFmtId="0">
      <sharedItems containsString="0" containsBlank="1" containsNumber="1" containsInteger="1" minValue="150" maxValue="6154" count="6">
        <m/>
        <n v="150"/>
        <n v="6154"/>
        <n v="4494"/>
        <n v="3981"/>
        <n v="2823"/>
      </sharedItems>
    </cacheField>
    <cacheField name="Count of G-cash" numFmtId="0">
      <sharedItems containsString="0" containsBlank="1" containsNumber="1" containsInteger="1" minValue="1" maxValue="66"/>
    </cacheField>
    <cacheField name="Total Expenses" numFmtId="0">
      <sharedItems containsSemiMixedTypes="0" containsString="0" containsNumber="1" containsInteger="1" minValue="2600" maxValue="73000"/>
    </cacheField>
    <cacheField name="Total Count" numFmtId="0">
      <sharedItems containsSemiMixedTypes="0" containsString="0" containsNumber="1" containsInteger="1" minValue="1" maxValue="87"/>
    </cacheField>
    <cacheField name="Rank" numFmtId="0">
      <sharedItems containsSemiMixedTypes="0" containsString="0" containsNumber="1" containsInteger="1" minValue="1" maxValue="20" count="20">
        <n v="1"/>
        <n v="2"/>
        <n v="3"/>
        <n v="4"/>
        <n v="5"/>
        <n v="6"/>
        <n v="7"/>
        <n v="8"/>
        <n v="9"/>
        <n v="10"/>
        <n v="11"/>
        <n v="12"/>
        <n v="13"/>
        <n v="14"/>
        <n v="15"/>
        <n v="16"/>
        <n v="17"/>
        <n v="18"/>
        <n v="19"/>
        <n v="20"/>
      </sharedItems>
    </cacheField>
    <cacheField name="G-cash Percentage" numFmtId="0">
      <sharedItems containsSemiMixedTypes="0" containsString="0" containsNumber="1" minValue="0" maxValue="1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45.555291087963" createdVersion="8" refreshedVersion="8" minRefreshableVersion="3" recordCount="66" xr:uid="{2B34A734-B41C-49A9-B537-83CCC2638063}">
  <cacheSource type="worksheet">
    <worksheetSource name="Table29[amount]"/>
  </cacheSource>
  <cacheFields count="1">
    <cacheField name="amount" numFmtId="0">
      <sharedItems containsSemiMixedTypes="0" containsString="0" containsNumber="1" containsInteger="1" minValue="25" maxValue="129" count="4">
        <n v="25"/>
        <n v="125"/>
        <n v="50"/>
        <n v="12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1">
  <r>
    <n v="1"/>
    <x v="0"/>
    <x v="0"/>
    <x v="0"/>
    <x v="0"/>
    <x v="0"/>
    <x v="0"/>
    <x v="0"/>
    <x v="0"/>
  </r>
  <r>
    <n v="2"/>
    <x v="1"/>
    <x v="0"/>
    <x v="1"/>
    <x v="0"/>
    <x v="0"/>
    <x v="1"/>
    <x v="0"/>
    <x v="0"/>
  </r>
  <r>
    <n v="3"/>
    <x v="2"/>
    <x v="1"/>
    <x v="2"/>
    <x v="1"/>
    <x v="0"/>
    <x v="1"/>
    <x v="0"/>
    <x v="1"/>
  </r>
  <r>
    <n v="4"/>
    <x v="2"/>
    <x v="2"/>
    <x v="2"/>
    <x v="2"/>
    <x v="1"/>
    <x v="1"/>
    <x v="0"/>
    <x v="2"/>
  </r>
  <r>
    <n v="5"/>
    <x v="3"/>
    <x v="0"/>
    <x v="3"/>
    <x v="0"/>
    <x v="0"/>
    <x v="1"/>
    <x v="0"/>
    <x v="0"/>
  </r>
  <r>
    <n v="6"/>
    <x v="4"/>
    <x v="3"/>
    <x v="4"/>
    <x v="3"/>
    <x v="1"/>
    <x v="2"/>
    <x v="0"/>
    <x v="3"/>
  </r>
  <r>
    <n v="7"/>
    <x v="4"/>
    <x v="4"/>
    <x v="5"/>
    <x v="3"/>
    <x v="1"/>
    <x v="2"/>
    <x v="0"/>
    <x v="4"/>
  </r>
  <r>
    <n v="8"/>
    <x v="4"/>
    <x v="5"/>
    <x v="6"/>
    <x v="0"/>
    <x v="1"/>
    <x v="2"/>
    <x v="0"/>
    <x v="5"/>
  </r>
  <r>
    <n v="9"/>
    <x v="4"/>
    <x v="6"/>
    <x v="7"/>
    <x v="3"/>
    <x v="1"/>
    <x v="2"/>
    <x v="0"/>
    <x v="6"/>
  </r>
  <r>
    <n v="10"/>
    <x v="4"/>
    <x v="7"/>
    <x v="8"/>
    <x v="3"/>
    <x v="1"/>
    <x v="2"/>
    <x v="0"/>
    <x v="7"/>
  </r>
  <r>
    <n v="11"/>
    <x v="4"/>
    <x v="8"/>
    <x v="9"/>
    <x v="1"/>
    <x v="1"/>
    <x v="2"/>
    <x v="0"/>
    <x v="8"/>
  </r>
  <r>
    <n v="12"/>
    <x v="4"/>
    <x v="8"/>
    <x v="9"/>
    <x v="2"/>
    <x v="2"/>
    <x v="2"/>
    <x v="0"/>
    <x v="8"/>
  </r>
  <r>
    <n v="13"/>
    <x v="4"/>
    <x v="9"/>
    <x v="10"/>
    <x v="3"/>
    <x v="1"/>
    <x v="2"/>
    <x v="0"/>
    <x v="9"/>
  </r>
  <r>
    <n v="14"/>
    <x v="5"/>
    <x v="10"/>
    <x v="11"/>
    <x v="3"/>
    <x v="1"/>
    <x v="2"/>
    <x v="0"/>
    <x v="10"/>
  </r>
  <r>
    <n v="15"/>
    <x v="5"/>
    <x v="11"/>
    <x v="12"/>
    <x v="3"/>
    <x v="2"/>
    <x v="2"/>
    <x v="0"/>
    <x v="11"/>
  </r>
  <r>
    <n v="16"/>
    <x v="6"/>
    <x v="12"/>
    <x v="8"/>
    <x v="3"/>
    <x v="1"/>
    <x v="2"/>
    <x v="0"/>
    <x v="7"/>
  </r>
  <r>
    <n v="17"/>
    <x v="6"/>
    <x v="13"/>
    <x v="13"/>
    <x v="3"/>
    <x v="1"/>
    <x v="2"/>
    <x v="0"/>
    <x v="12"/>
  </r>
  <r>
    <n v="18"/>
    <x v="7"/>
    <x v="14"/>
    <x v="14"/>
    <x v="3"/>
    <x v="1"/>
    <x v="2"/>
    <x v="0"/>
    <x v="13"/>
  </r>
  <r>
    <n v="19"/>
    <x v="7"/>
    <x v="15"/>
    <x v="15"/>
    <x v="3"/>
    <x v="2"/>
    <x v="2"/>
    <x v="0"/>
    <x v="14"/>
  </r>
  <r>
    <n v="20"/>
    <x v="7"/>
    <x v="15"/>
    <x v="16"/>
    <x v="3"/>
    <x v="2"/>
    <x v="2"/>
    <x v="0"/>
    <x v="14"/>
  </r>
  <r>
    <n v="21"/>
    <x v="8"/>
    <x v="16"/>
    <x v="15"/>
    <x v="3"/>
    <x v="1"/>
    <x v="2"/>
    <x v="0"/>
    <x v="15"/>
  </r>
  <r>
    <n v="22"/>
    <x v="9"/>
    <x v="15"/>
    <x v="16"/>
    <x v="3"/>
    <x v="2"/>
    <x v="2"/>
    <x v="0"/>
    <x v="14"/>
  </r>
  <r>
    <n v="23"/>
    <x v="10"/>
    <x v="16"/>
    <x v="15"/>
    <x v="3"/>
    <x v="1"/>
    <x v="2"/>
    <x v="0"/>
    <x v="15"/>
  </r>
  <r>
    <n v="24"/>
    <x v="11"/>
    <x v="17"/>
    <x v="14"/>
    <x v="3"/>
    <x v="1"/>
    <x v="2"/>
    <x v="0"/>
    <x v="16"/>
  </r>
  <r>
    <n v="25"/>
    <x v="11"/>
    <x v="16"/>
    <x v="15"/>
    <x v="3"/>
    <x v="1"/>
    <x v="2"/>
    <x v="0"/>
    <x v="15"/>
  </r>
  <r>
    <n v="26"/>
    <x v="12"/>
    <x v="18"/>
    <x v="17"/>
    <x v="3"/>
    <x v="1"/>
    <x v="2"/>
    <x v="0"/>
    <x v="17"/>
  </r>
  <r>
    <n v="27"/>
    <x v="12"/>
    <x v="19"/>
    <x v="11"/>
    <x v="3"/>
    <x v="1"/>
    <x v="2"/>
    <x v="0"/>
    <x v="18"/>
  </r>
  <r>
    <n v="28"/>
    <x v="12"/>
    <x v="20"/>
    <x v="18"/>
    <x v="0"/>
    <x v="0"/>
    <x v="2"/>
    <x v="0"/>
    <x v="19"/>
  </r>
  <r>
    <n v="29"/>
    <x v="10"/>
    <x v="12"/>
    <x v="8"/>
    <x v="3"/>
    <x v="1"/>
    <x v="2"/>
    <x v="0"/>
    <x v="7"/>
  </r>
  <r>
    <n v="30"/>
    <x v="13"/>
    <x v="21"/>
    <x v="19"/>
    <x v="3"/>
    <x v="2"/>
    <x v="2"/>
    <x v="0"/>
    <x v="20"/>
  </r>
  <r>
    <n v="31"/>
    <x v="13"/>
    <x v="22"/>
    <x v="20"/>
    <x v="3"/>
    <x v="2"/>
    <x v="2"/>
    <x v="0"/>
    <x v="21"/>
  </r>
  <r>
    <n v="32"/>
    <x v="14"/>
    <x v="15"/>
    <x v="16"/>
    <x v="3"/>
    <x v="2"/>
    <x v="2"/>
    <x v="0"/>
    <x v="14"/>
  </r>
  <r>
    <n v="33"/>
    <x v="15"/>
    <x v="0"/>
    <x v="21"/>
    <x v="0"/>
    <x v="0"/>
    <x v="2"/>
    <x v="0"/>
    <x v="0"/>
  </r>
  <r>
    <n v="34"/>
    <x v="16"/>
    <x v="15"/>
    <x v="16"/>
    <x v="3"/>
    <x v="2"/>
    <x v="3"/>
    <x v="0"/>
    <x v="14"/>
  </r>
  <r>
    <n v="35"/>
    <x v="17"/>
    <x v="23"/>
    <x v="22"/>
    <x v="3"/>
    <x v="1"/>
    <x v="3"/>
    <x v="0"/>
    <x v="22"/>
  </r>
  <r>
    <n v="36"/>
    <x v="18"/>
    <x v="24"/>
    <x v="15"/>
    <x v="3"/>
    <x v="1"/>
    <x v="3"/>
    <x v="0"/>
    <x v="23"/>
  </r>
  <r>
    <n v="37"/>
    <x v="18"/>
    <x v="25"/>
    <x v="23"/>
    <x v="3"/>
    <x v="1"/>
    <x v="3"/>
    <x v="0"/>
    <x v="24"/>
  </r>
  <r>
    <n v="38"/>
    <x v="19"/>
    <x v="11"/>
    <x v="24"/>
    <x v="3"/>
    <x v="2"/>
    <x v="3"/>
    <x v="0"/>
    <x v="11"/>
  </r>
  <r>
    <n v="39"/>
    <x v="20"/>
    <x v="16"/>
    <x v="15"/>
    <x v="3"/>
    <x v="1"/>
    <x v="3"/>
    <x v="0"/>
    <x v="15"/>
  </r>
  <r>
    <n v="40"/>
    <x v="21"/>
    <x v="15"/>
    <x v="16"/>
    <x v="3"/>
    <x v="2"/>
    <x v="3"/>
    <x v="0"/>
    <x v="14"/>
  </r>
  <r>
    <n v="41"/>
    <x v="22"/>
    <x v="26"/>
    <x v="8"/>
    <x v="3"/>
    <x v="1"/>
    <x v="3"/>
    <x v="0"/>
    <x v="25"/>
  </r>
  <r>
    <n v="42"/>
    <x v="22"/>
    <x v="27"/>
    <x v="25"/>
    <x v="3"/>
    <x v="1"/>
    <x v="3"/>
    <x v="0"/>
    <x v="26"/>
  </r>
  <r>
    <n v="43"/>
    <x v="22"/>
    <x v="16"/>
    <x v="8"/>
    <x v="3"/>
    <x v="1"/>
    <x v="3"/>
    <x v="0"/>
    <x v="15"/>
  </r>
  <r>
    <n v="44"/>
    <x v="22"/>
    <x v="28"/>
    <x v="11"/>
    <x v="3"/>
    <x v="1"/>
    <x v="3"/>
    <x v="0"/>
    <x v="27"/>
  </r>
  <r>
    <n v="45"/>
    <x v="22"/>
    <x v="29"/>
    <x v="26"/>
    <x v="3"/>
    <x v="1"/>
    <x v="3"/>
    <x v="0"/>
    <x v="28"/>
  </r>
  <r>
    <n v="46"/>
    <x v="22"/>
    <x v="30"/>
    <x v="27"/>
    <x v="3"/>
    <x v="1"/>
    <x v="3"/>
    <x v="0"/>
    <x v="25"/>
  </r>
  <r>
    <n v="47"/>
    <x v="22"/>
    <x v="31"/>
    <x v="28"/>
    <x v="3"/>
    <x v="1"/>
    <x v="3"/>
    <x v="0"/>
    <x v="29"/>
  </r>
  <r>
    <n v="48"/>
    <x v="23"/>
    <x v="32"/>
    <x v="5"/>
    <x v="3"/>
    <x v="1"/>
    <x v="3"/>
    <x v="0"/>
    <x v="4"/>
  </r>
  <r>
    <n v="49"/>
    <x v="23"/>
    <x v="33"/>
    <x v="29"/>
    <x v="3"/>
    <x v="1"/>
    <x v="3"/>
    <x v="0"/>
    <x v="3"/>
  </r>
  <r>
    <n v="50"/>
    <x v="24"/>
    <x v="24"/>
    <x v="15"/>
    <x v="3"/>
    <x v="1"/>
    <x v="3"/>
    <x v="0"/>
    <x v="23"/>
  </r>
  <r>
    <n v="51"/>
    <x v="24"/>
    <x v="16"/>
    <x v="8"/>
    <x v="3"/>
    <x v="1"/>
    <x v="3"/>
    <x v="0"/>
    <x v="15"/>
  </r>
  <r>
    <n v="52"/>
    <x v="24"/>
    <x v="34"/>
    <x v="30"/>
    <x v="3"/>
    <x v="1"/>
    <x v="3"/>
    <x v="0"/>
    <x v="30"/>
  </r>
  <r>
    <n v="53"/>
    <x v="25"/>
    <x v="35"/>
    <x v="31"/>
    <x v="3"/>
    <x v="1"/>
    <x v="3"/>
    <x v="0"/>
    <x v="31"/>
  </r>
  <r>
    <n v="54"/>
    <x v="25"/>
    <x v="16"/>
    <x v="11"/>
    <x v="3"/>
    <x v="1"/>
    <x v="3"/>
    <x v="0"/>
    <x v="15"/>
  </r>
  <r>
    <n v="55"/>
    <x v="26"/>
    <x v="0"/>
    <x v="32"/>
    <x v="0"/>
    <x v="0"/>
    <x v="3"/>
    <x v="0"/>
    <x v="0"/>
  </r>
  <r>
    <n v="56"/>
    <x v="26"/>
    <x v="8"/>
    <x v="33"/>
    <x v="1"/>
    <x v="2"/>
    <x v="3"/>
    <x v="0"/>
    <x v="8"/>
  </r>
  <r>
    <n v="57"/>
    <x v="26"/>
    <x v="8"/>
    <x v="33"/>
    <x v="2"/>
    <x v="2"/>
    <x v="3"/>
    <x v="0"/>
    <x v="8"/>
  </r>
  <r>
    <n v="58"/>
    <x v="26"/>
    <x v="36"/>
    <x v="34"/>
    <x v="3"/>
    <x v="2"/>
    <x v="3"/>
    <x v="0"/>
    <x v="32"/>
  </r>
  <r>
    <n v="59"/>
    <x v="27"/>
    <x v="37"/>
    <x v="8"/>
    <x v="3"/>
    <x v="1"/>
    <x v="3"/>
    <x v="0"/>
    <x v="25"/>
  </r>
  <r>
    <n v="60"/>
    <x v="27"/>
    <x v="38"/>
    <x v="35"/>
    <x v="3"/>
    <x v="1"/>
    <x v="3"/>
    <x v="0"/>
    <x v="25"/>
  </r>
  <r>
    <n v="61"/>
    <x v="27"/>
    <x v="39"/>
    <x v="36"/>
    <x v="3"/>
    <x v="1"/>
    <x v="3"/>
    <x v="0"/>
    <x v="25"/>
  </r>
  <r>
    <n v="62"/>
    <x v="27"/>
    <x v="27"/>
    <x v="37"/>
    <x v="3"/>
    <x v="1"/>
    <x v="3"/>
    <x v="0"/>
    <x v="26"/>
  </r>
  <r>
    <n v="63"/>
    <x v="27"/>
    <x v="1"/>
    <x v="38"/>
    <x v="1"/>
    <x v="0"/>
    <x v="3"/>
    <x v="0"/>
    <x v="1"/>
  </r>
  <r>
    <n v="64"/>
    <x v="27"/>
    <x v="2"/>
    <x v="39"/>
    <x v="2"/>
    <x v="1"/>
    <x v="3"/>
    <x v="0"/>
    <x v="2"/>
  </r>
  <r>
    <n v="65"/>
    <x v="27"/>
    <x v="40"/>
    <x v="23"/>
    <x v="3"/>
    <x v="1"/>
    <x v="3"/>
    <x v="0"/>
    <x v="33"/>
  </r>
  <r>
    <n v="66"/>
    <x v="27"/>
    <x v="41"/>
    <x v="40"/>
    <x v="3"/>
    <x v="1"/>
    <x v="3"/>
    <x v="0"/>
    <x v="34"/>
  </r>
  <r>
    <n v="67"/>
    <x v="27"/>
    <x v="42"/>
    <x v="41"/>
    <x v="3"/>
    <x v="1"/>
    <x v="3"/>
    <x v="0"/>
    <x v="35"/>
  </r>
  <r>
    <n v="68"/>
    <x v="27"/>
    <x v="43"/>
    <x v="34"/>
    <x v="3"/>
    <x v="1"/>
    <x v="3"/>
    <x v="0"/>
    <x v="36"/>
  </r>
  <r>
    <n v="69"/>
    <x v="27"/>
    <x v="44"/>
    <x v="11"/>
    <x v="3"/>
    <x v="1"/>
    <x v="3"/>
    <x v="0"/>
    <x v="37"/>
  </r>
  <r>
    <n v="70"/>
    <x v="27"/>
    <x v="45"/>
    <x v="42"/>
    <x v="3"/>
    <x v="1"/>
    <x v="3"/>
    <x v="0"/>
    <x v="38"/>
  </r>
  <r>
    <n v="71"/>
    <x v="27"/>
    <x v="46"/>
    <x v="36"/>
    <x v="3"/>
    <x v="1"/>
    <x v="3"/>
    <x v="0"/>
    <x v="25"/>
  </r>
  <r>
    <n v="72"/>
    <x v="27"/>
    <x v="47"/>
    <x v="43"/>
    <x v="3"/>
    <x v="1"/>
    <x v="3"/>
    <x v="0"/>
    <x v="25"/>
  </r>
  <r>
    <n v="73"/>
    <x v="28"/>
    <x v="24"/>
    <x v="15"/>
    <x v="3"/>
    <x v="1"/>
    <x v="3"/>
    <x v="0"/>
    <x v="23"/>
  </r>
  <r>
    <n v="74"/>
    <x v="28"/>
    <x v="48"/>
    <x v="8"/>
    <x v="3"/>
    <x v="1"/>
    <x v="3"/>
    <x v="0"/>
    <x v="39"/>
  </r>
  <r>
    <n v="75"/>
    <x v="28"/>
    <x v="22"/>
    <x v="20"/>
    <x v="3"/>
    <x v="2"/>
    <x v="3"/>
    <x v="0"/>
    <x v="21"/>
  </r>
  <r>
    <n v="76"/>
    <x v="29"/>
    <x v="49"/>
    <x v="44"/>
    <x v="3"/>
    <x v="2"/>
    <x v="3"/>
    <x v="0"/>
    <x v="40"/>
  </r>
  <r>
    <n v="77"/>
    <x v="30"/>
    <x v="50"/>
    <x v="45"/>
    <x v="3"/>
    <x v="2"/>
    <x v="3"/>
    <x v="0"/>
    <x v="41"/>
  </r>
  <r>
    <n v="78"/>
    <x v="31"/>
    <x v="21"/>
    <x v="19"/>
    <x v="3"/>
    <x v="2"/>
    <x v="3"/>
    <x v="0"/>
    <x v="20"/>
  </r>
  <r>
    <n v="79"/>
    <x v="32"/>
    <x v="37"/>
    <x v="8"/>
    <x v="3"/>
    <x v="1"/>
    <x v="3"/>
    <x v="0"/>
    <x v="25"/>
  </r>
  <r>
    <n v="80"/>
    <x v="32"/>
    <x v="51"/>
    <x v="46"/>
    <x v="3"/>
    <x v="1"/>
    <x v="3"/>
    <x v="0"/>
    <x v="42"/>
  </r>
  <r>
    <n v="81"/>
    <x v="32"/>
    <x v="52"/>
    <x v="35"/>
    <x v="3"/>
    <x v="1"/>
    <x v="3"/>
    <x v="0"/>
    <x v="43"/>
  </r>
  <r>
    <n v="82"/>
    <x v="32"/>
    <x v="53"/>
    <x v="31"/>
    <x v="3"/>
    <x v="1"/>
    <x v="3"/>
    <x v="0"/>
    <x v="25"/>
  </r>
  <r>
    <n v="83"/>
    <x v="32"/>
    <x v="54"/>
    <x v="31"/>
    <x v="3"/>
    <x v="1"/>
    <x v="3"/>
    <x v="0"/>
    <x v="44"/>
  </r>
  <r>
    <n v="84"/>
    <x v="32"/>
    <x v="52"/>
    <x v="11"/>
    <x v="3"/>
    <x v="1"/>
    <x v="3"/>
    <x v="0"/>
    <x v="43"/>
  </r>
  <r>
    <n v="85"/>
    <x v="32"/>
    <x v="55"/>
    <x v="46"/>
    <x v="3"/>
    <x v="1"/>
    <x v="3"/>
    <x v="0"/>
    <x v="45"/>
  </r>
  <r>
    <n v="86"/>
    <x v="32"/>
    <x v="56"/>
    <x v="47"/>
    <x v="0"/>
    <x v="1"/>
    <x v="3"/>
    <x v="0"/>
    <x v="46"/>
  </r>
  <r>
    <n v="87"/>
    <x v="32"/>
    <x v="57"/>
    <x v="48"/>
    <x v="3"/>
    <x v="1"/>
    <x v="3"/>
    <x v="0"/>
    <x v="47"/>
  </r>
  <r>
    <n v="88"/>
    <x v="32"/>
    <x v="58"/>
    <x v="43"/>
    <x v="3"/>
    <x v="1"/>
    <x v="3"/>
    <x v="0"/>
    <x v="25"/>
  </r>
  <r>
    <n v="89"/>
    <x v="32"/>
    <x v="59"/>
    <x v="11"/>
    <x v="3"/>
    <x v="1"/>
    <x v="3"/>
    <x v="0"/>
    <x v="48"/>
  </r>
  <r>
    <n v="90"/>
    <x v="32"/>
    <x v="52"/>
    <x v="35"/>
    <x v="3"/>
    <x v="1"/>
    <x v="3"/>
    <x v="0"/>
    <x v="43"/>
  </r>
  <r>
    <n v="91"/>
    <x v="32"/>
    <x v="60"/>
    <x v="35"/>
    <x v="3"/>
    <x v="1"/>
    <x v="3"/>
    <x v="0"/>
    <x v="25"/>
  </r>
  <r>
    <n v="92"/>
    <x v="32"/>
    <x v="61"/>
    <x v="31"/>
    <x v="3"/>
    <x v="1"/>
    <x v="3"/>
    <x v="0"/>
    <x v="25"/>
  </r>
  <r>
    <n v="93"/>
    <x v="32"/>
    <x v="62"/>
    <x v="33"/>
    <x v="3"/>
    <x v="1"/>
    <x v="3"/>
    <x v="0"/>
    <x v="49"/>
  </r>
  <r>
    <n v="94"/>
    <x v="33"/>
    <x v="63"/>
    <x v="49"/>
    <x v="3"/>
    <x v="1"/>
    <x v="3"/>
    <x v="0"/>
    <x v="50"/>
  </r>
  <r>
    <n v="95"/>
    <x v="33"/>
    <x v="64"/>
    <x v="50"/>
    <x v="3"/>
    <x v="1"/>
    <x v="3"/>
    <x v="0"/>
    <x v="51"/>
  </r>
  <r>
    <n v="96"/>
    <x v="34"/>
    <x v="63"/>
    <x v="50"/>
    <x v="3"/>
    <x v="1"/>
    <x v="3"/>
    <x v="0"/>
    <x v="50"/>
  </r>
  <r>
    <n v="97"/>
    <x v="35"/>
    <x v="49"/>
    <x v="44"/>
    <x v="3"/>
    <x v="2"/>
    <x v="3"/>
    <x v="0"/>
    <x v="40"/>
  </r>
  <r>
    <n v="98"/>
    <x v="36"/>
    <x v="37"/>
    <x v="8"/>
    <x v="3"/>
    <x v="1"/>
    <x v="3"/>
    <x v="0"/>
    <x v="25"/>
  </r>
  <r>
    <n v="99"/>
    <x v="36"/>
    <x v="65"/>
    <x v="36"/>
    <x v="3"/>
    <x v="1"/>
    <x v="3"/>
    <x v="0"/>
    <x v="25"/>
  </r>
  <r>
    <n v="100"/>
    <x v="36"/>
    <x v="66"/>
    <x v="51"/>
    <x v="3"/>
    <x v="1"/>
    <x v="3"/>
    <x v="0"/>
    <x v="52"/>
  </r>
  <r>
    <n v="101"/>
    <x v="36"/>
    <x v="67"/>
    <x v="52"/>
    <x v="3"/>
    <x v="1"/>
    <x v="3"/>
    <x v="0"/>
    <x v="53"/>
  </r>
  <r>
    <n v="102"/>
    <x v="36"/>
    <x v="68"/>
    <x v="53"/>
    <x v="3"/>
    <x v="1"/>
    <x v="3"/>
    <x v="0"/>
    <x v="54"/>
  </r>
  <r>
    <n v="103"/>
    <x v="36"/>
    <x v="69"/>
    <x v="54"/>
    <x v="3"/>
    <x v="1"/>
    <x v="3"/>
    <x v="0"/>
    <x v="55"/>
  </r>
  <r>
    <n v="104"/>
    <x v="36"/>
    <x v="70"/>
    <x v="54"/>
    <x v="3"/>
    <x v="1"/>
    <x v="3"/>
    <x v="0"/>
    <x v="56"/>
  </r>
  <r>
    <n v="105"/>
    <x v="36"/>
    <x v="46"/>
    <x v="36"/>
    <x v="3"/>
    <x v="1"/>
    <x v="3"/>
    <x v="0"/>
    <x v="25"/>
  </r>
  <r>
    <n v="106"/>
    <x v="36"/>
    <x v="0"/>
    <x v="55"/>
    <x v="0"/>
    <x v="0"/>
    <x v="3"/>
    <x v="0"/>
    <x v="0"/>
  </r>
  <r>
    <n v="107"/>
    <x v="37"/>
    <x v="71"/>
    <x v="56"/>
    <x v="3"/>
    <x v="1"/>
    <x v="3"/>
    <x v="0"/>
    <x v="57"/>
  </r>
  <r>
    <n v="108"/>
    <x v="38"/>
    <x v="72"/>
    <x v="57"/>
    <x v="3"/>
    <x v="1"/>
    <x v="4"/>
    <x v="1"/>
    <x v="58"/>
  </r>
  <r>
    <n v="109"/>
    <x v="39"/>
    <x v="73"/>
    <x v="58"/>
    <x v="2"/>
    <x v="2"/>
    <x v="4"/>
    <x v="1"/>
    <x v="8"/>
  </r>
  <r>
    <n v="110"/>
    <x v="40"/>
    <x v="11"/>
    <x v="24"/>
    <x v="3"/>
    <x v="2"/>
    <x v="4"/>
    <x v="1"/>
    <x v="11"/>
  </r>
  <r>
    <n v="111"/>
    <x v="41"/>
    <x v="15"/>
    <x v="16"/>
    <x v="3"/>
    <x v="2"/>
    <x v="4"/>
    <x v="1"/>
    <x v="14"/>
  </r>
  <r>
    <n v="112"/>
    <x v="41"/>
    <x v="15"/>
    <x v="31"/>
    <x v="3"/>
    <x v="2"/>
    <x v="4"/>
    <x v="1"/>
    <x v="14"/>
  </r>
  <r>
    <n v="113"/>
    <x v="41"/>
    <x v="74"/>
    <x v="59"/>
    <x v="2"/>
    <x v="2"/>
    <x v="4"/>
    <x v="1"/>
    <x v="8"/>
  </r>
  <r>
    <n v="114"/>
    <x v="41"/>
    <x v="75"/>
    <x v="60"/>
    <x v="3"/>
    <x v="2"/>
    <x v="4"/>
    <x v="1"/>
    <x v="41"/>
  </r>
  <r>
    <n v="115"/>
    <x v="42"/>
    <x v="76"/>
    <x v="61"/>
    <x v="3"/>
    <x v="1"/>
    <x v="4"/>
    <x v="1"/>
    <x v="30"/>
  </r>
  <r>
    <n v="116"/>
    <x v="42"/>
    <x v="77"/>
    <x v="62"/>
    <x v="1"/>
    <x v="1"/>
    <x v="4"/>
    <x v="1"/>
    <x v="30"/>
  </r>
  <r>
    <n v="117"/>
    <x v="42"/>
    <x v="15"/>
    <x v="15"/>
    <x v="3"/>
    <x v="2"/>
    <x v="4"/>
    <x v="1"/>
    <x v="14"/>
  </r>
  <r>
    <n v="118"/>
    <x v="43"/>
    <x v="15"/>
    <x v="31"/>
    <x v="3"/>
    <x v="2"/>
    <x v="4"/>
    <x v="1"/>
    <x v="14"/>
  </r>
  <r>
    <n v="119"/>
    <x v="43"/>
    <x v="78"/>
    <x v="31"/>
    <x v="3"/>
    <x v="1"/>
    <x v="4"/>
    <x v="1"/>
    <x v="30"/>
  </r>
  <r>
    <n v="120"/>
    <x v="43"/>
    <x v="79"/>
    <x v="63"/>
    <x v="3"/>
    <x v="1"/>
    <x v="4"/>
    <x v="1"/>
    <x v="30"/>
  </r>
  <r>
    <n v="121"/>
    <x v="43"/>
    <x v="80"/>
    <x v="64"/>
    <x v="2"/>
    <x v="2"/>
    <x v="4"/>
    <x v="1"/>
    <x v="30"/>
  </r>
  <r>
    <n v="122"/>
    <x v="43"/>
    <x v="80"/>
    <x v="64"/>
    <x v="1"/>
    <x v="2"/>
    <x v="4"/>
    <x v="1"/>
    <x v="30"/>
  </r>
  <r>
    <n v="123"/>
    <x v="44"/>
    <x v="81"/>
    <x v="65"/>
    <x v="3"/>
    <x v="1"/>
    <x v="4"/>
    <x v="1"/>
    <x v="59"/>
  </r>
  <r>
    <n v="124"/>
    <x v="44"/>
    <x v="82"/>
    <x v="66"/>
    <x v="3"/>
    <x v="1"/>
    <x v="4"/>
    <x v="1"/>
    <x v="60"/>
  </r>
  <r>
    <n v="125"/>
    <x v="44"/>
    <x v="83"/>
    <x v="67"/>
    <x v="3"/>
    <x v="1"/>
    <x v="4"/>
    <x v="1"/>
    <x v="61"/>
  </r>
  <r>
    <n v="126"/>
    <x v="44"/>
    <x v="84"/>
    <x v="68"/>
    <x v="3"/>
    <x v="1"/>
    <x v="4"/>
    <x v="1"/>
    <x v="62"/>
  </r>
  <r>
    <n v="127"/>
    <x v="44"/>
    <x v="70"/>
    <x v="17"/>
    <x v="3"/>
    <x v="1"/>
    <x v="4"/>
    <x v="1"/>
    <x v="56"/>
  </r>
  <r>
    <n v="128"/>
    <x v="44"/>
    <x v="85"/>
    <x v="46"/>
    <x v="3"/>
    <x v="1"/>
    <x v="4"/>
    <x v="1"/>
    <x v="25"/>
  </r>
  <r>
    <n v="129"/>
    <x v="44"/>
    <x v="86"/>
    <x v="48"/>
    <x v="3"/>
    <x v="1"/>
    <x v="4"/>
    <x v="1"/>
    <x v="25"/>
  </r>
  <r>
    <n v="130"/>
    <x v="44"/>
    <x v="87"/>
    <x v="69"/>
    <x v="3"/>
    <x v="1"/>
    <x v="4"/>
    <x v="1"/>
    <x v="3"/>
  </r>
  <r>
    <n v="131"/>
    <x v="44"/>
    <x v="22"/>
    <x v="20"/>
    <x v="3"/>
    <x v="2"/>
    <x v="4"/>
    <x v="1"/>
    <x v="21"/>
  </r>
  <r>
    <n v="132"/>
    <x v="45"/>
    <x v="88"/>
    <x v="70"/>
    <x v="3"/>
    <x v="1"/>
    <x v="4"/>
    <x v="1"/>
    <x v="22"/>
  </r>
  <r>
    <n v="133"/>
    <x v="45"/>
    <x v="0"/>
    <x v="32"/>
    <x v="0"/>
    <x v="0"/>
    <x v="4"/>
    <x v="1"/>
    <x v="0"/>
  </r>
  <r>
    <n v="134"/>
    <x v="46"/>
    <x v="72"/>
    <x v="17"/>
    <x v="3"/>
    <x v="1"/>
    <x v="4"/>
    <x v="1"/>
    <x v="58"/>
  </r>
  <r>
    <n v="135"/>
    <x v="46"/>
    <x v="15"/>
    <x v="16"/>
    <x v="3"/>
    <x v="2"/>
    <x v="4"/>
    <x v="1"/>
    <x v="14"/>
  </r>
  <r>
    <n v="136"/>
    <x v="47"/>
    <x v="72"/>
    <x v="57"/>
    <x v="3"/>
    <x v="1"/>
    <x v="4"/>
    <x v="1"/>
    <x v="58"/>
  </r>
  <r>
    <n v="137"/>
    <x v="48"/>
    <x v="15"/>
    <x v="16"/>
    <x v="3"/>
    <x v="2"/>
    <x v="4"/>
    <x v="1"/>
    <x v="14"/>
  </r>
  <r>
    <n v="138"/>
    <x v="49"/>
    <x v="15"/>
    <x v="16"/>
    <x v="3"/>
    <x v="2"/>
    <x v="4"/>
    <x v="1"/>
    <x v="14"/>
  </r>
  <r>
    <n v="139"/>
    <x v="50"/>
    <x v="15"/>
    <x v="16"/>
    <x v="3"/>
    <x v="2"/>
    <x v="4"/>
    <x v="1"/>
    <x v="14"/>
  </r>
  <r>
    <n v="140"/>
    <x v="51"/>
    <x v="15"/>
    <x v="16"/>
    <x v="3"/>
    <x v="2"/>
    <x v="4"/>
    <x v="1"/>
    <x v="14"/>
  </r>
  <r>
    <n v="141"/>
    <x v="52"/>
    <x v="21"/>
    <x v="19"/>
    <x v="3"/>
    <x v="2"/>
    <x v="4"/>
    <x v="1"/>
    <x v="20"/>
  </r>
  <r>
    <n v="142"/>
    <x v="52"/>
    <x v="89"/>
    <x v="31"/>
    <x v="3"/>
    <x v="1"/>
    <x v="4"/>
    <x v="1"/>
    <x v="63"/>
  </r>
  <r>
    <n v="143"/>
    <x v="53"/>
    <x v="15"/>
    <x v="16"/>
    <x v="3"/>
    <x v="2"/>
    <x v="4"/>
    <x v="1"/>
    <x v="14"/>
  </r>
  <r>
    <n v="144"/>
    <x v="53"/>
    <x v="15"/>
    <x v="15"/>
    <x v="3"/>
    <x v="2"/>
    <x v="4"/>
    <x v="1"/>
    <x v="14"/>
  </r>
  <r>
    <n v="145"/>
    <x v="54"/>
    <x v="15"/>
    <x v="16"/>
    <x v="3"/>
    <x v="2"/>
    <x v="4"/>
    <x v="1"/>
    <x v="14"/>
  </r>
  <r>
    <n v="146"/>
    <x v="55"/>
    <x v="0"/>
    <x v="21"/>
    <x v="0"/>
    <x v="0"/>
    <x v="4"/>
    <x v="1"/>
    <x v="0"/>
  </r>
  <r>
    <n v="147"/>
    <x v="56"/>
    <x v="37"/>
    <x v="8"/>
    <x v="3"/>
    <x v="1"/>
    <x v="4"/>
    <x v="1"/>
    <x v="25"/>
  </r>
  <r>
    <n v="148"/>
    <x v="56"/>
    <x v="27"/>
    <x v="25"/>
    <x v="3"/>
    <x v="1"/>
    <x v="4"/>
    <x v="1"/>
    <x v="26"/>
  </r>
  <r>
    <n v="149"/>
    <x v="56"/>
    <x v="90"/>
    <x v="71"/>
    <x v="3"/>
    <x v="1"/>
    <x v="4"/>
    <x v="1"/>
    <x v="64"/>
  </r>
  <r>
    <n v="150"/>
    <x v="56"/>
    <x v="91"/>
    <x v="72"/>
    <x v="3"/>
    <x v="1"/>
    <x v="4"/>
    <x v="1"/>
    <x v="65"/>
  </r>
  <r>
    <n v="151"/>
    <x v="56"/>
    <x v="61"/>
    <x v="8"/>
    <x v="3"/>
    <x v="1"/>
    <x v="4"/>
    <x v="1"/>
    <x v="25"/>
  </r>
  <r>
    <n v="152"/>
    <x v="57"/>
    <x v="37"/>
    <x v="8"/>
    <x v="3"/>
    <x v="1"/>
    <x v="4"/>
    <x v="1"/>
    <x v="25"/>
  </r>
  <r>
    <n v="153"/>
    <x v="57"/>
    <x v="27"/>
    <x v="25"/>
    <x v="3"/>
    <x v="1"/>
    <x v="4"/>
    <x v="1"/>
    <x v="26"/>
  </r>
  <r>
    <n v="154"/>
    <x v="57"/>
    <x v="30"/>
    <x v="35"/>
    <x v="3"/>
    <x v="1"/>
    <x v="4"/>
    <x v="1"/>
    <x v="25"/>
  </r>
  <r>
    <n v="155"/>
    <x v="57"/>
    <x v="90"/>
    <x v="73"/>
    <x v="3"/>
    <x v="1"/>
    <x v="4"/>
    <x v="1"/>
    <x v="64"/>
  </r>
  <r>
    <n v="156"/>
    <x v="57"/>
    <x v="16"/>
    <x v="35"/>
    <x v="3"/>
    <x v="1"/>
    <x v="4"/>
    <x v="1"/>
    <x v="15"/>
  </r>
  <r>
    <n v="157"/>
    <x v="57"/>
    <x v="91"/>
    <x v="11"/>
    <x v="3"/>
    <x v="1"/>
    <x v="4"/>
    <x v="1"/>
    <x v="65"/>
  </r>
  <r>
    <n v="158"/>
    <x v="57"/>
    <x v="92"/>
    <x v="8"/>
    <x v="3"/>
    <x v="1"/>
    <x v="4"/>
    <x v="1"/>
    <x v="25"/>
  </r>
  <r>
    <n v="159"/>
    <x v="58"/>
    <x v="16"/>
    <x v="15"/>
    <x v="3"/>
    <x v="1"/>
    <x v="4"/>
    <x v="1"/>
    <x v="15"/>
  </r>
  <r>
    <n v="160"/>
    <x v="58"/>
    <x v="15"/>
    <x v="16"/>
    <x v="3"/>
    <x v="2"/>
    <x v="4"/>
    <x v="1"/>
    <x v="14"/>
  </r>
  <r>
    <n v="161"/>
    <x v="59"/>
    <x v="15"/>
    <x v="16"/>
    <x v="3"/>
    <x v="2"/>
    <x v="5"/>
    <x v="1"/>
    <x v="14"/>
  </r>
  <r>
    <n v="162"/>
    <x v="59"/>
    <x v="36"/>
    <x v="34"/>
    <x v="3"/>
    <x v="2"/>
    <x v="5"/>
    <x v="1"/>
    <x v="32"/>
  </r>
  <r>
    <n v="163"/>
    <x v="59"/>
    <x v="15"/>
    <x v="31"/>
    <x v="3"/>
    <x v="2"/>
    <x v="5"/>
    <x v="1"/>
    <x v="14"/>
  </r>
  <r>
    <n v="164"/>
    <x v="59"/>
    <x v="15"/>
    <x v="31"/>
    <x v="3"/>
    <x v="2"/>
    <x v="5"/>
    <x v="1"/>
    <x v="14"/>
  </r>
  <r>
    <n v="165"/>
    <x v="60"/>
    <x v="37"/>
    <x v="8"/>
    <x v="3"/>
    <x v="1"/>
    <x v="5"/>
    <x v="1"/>
    <x v="25"/>
  </r>
  <r>
    <n v="166"/>
    <x v="60"/>
    <x v="27"/>
    <x v="25"/>
    <x v="3"/>
    <x v="1"/>
    <x v="5"/>
    <x v="1"/>
    <x v="26"/>
  </r>
  <r>
    <n v="167"/>
    <x v="60"/>
    <x v="51"/>
    <x v="46"/>
    <x v="3"/>
    <x v="1"/>
    <x v="5"/>
    <x v="1"/>
    <x v="42"/>
  </r>
  <r>
    <n v="168"/>
    <x v="60"/>
    <x v="90"/>
    <x v="26"/>
    <x v="3"/>
    <x v="1"/>
    <x v="5"/>
    <x v="1"/>
    <x v="64"/>
  </r>
  <r>
    <n v="169"/>
    <x v="60"/>
    <x v="61"/>
    <x v="31"/>
    <x v="3"/>
    <x v="1"/>
    <x v="5"/>
    <x v="1"/>
    <x v="25"/>
  </r>
  <r>
    <n v="170"/>
    <x v="60"/>
    <x v="63"/>
    <x v="57"/>
    <x v="3"/>
    <x v="1"/>
    <x v="5"/>
    <x v="1"/>
    <x v="50"/>
  </r>
  <r>
    <n v="171"/>
    <x v="61"/>
    <x v="25"/>
    <x v="23"/>
    <x v="3"/>
    <x v="1"/>
    <x v="5"/>
    <x v="1"/>
    <x v="24"/>
  </r>
  <r>
    <n v="172"/>
    <x v="62"/>
    <x v="37"/>
    <x v="8"/>
    <x v="3"/>
    <x v="1"/>
    <x v="5"/>
    <x v="1"/>
    <x v="25"/>
  </r>
  <r>
    <n v="173"/>
    <x v="62"/>
    <x v="27"/>
    <x v="25"/>
    <x v="3"/>
    <x v="1"/>
    <x v="5"/>
    <x v="1"/>
    <x v="26"/>
  </r>
  <r>
    <n v="174"/>
    <x v="62"/>
    <x v="93"/>
    <x v="36"/>
    <x v="3"/>
    <x v="1"/>
    <x v="5"/>
    <x v="1"/>
    <x v="25"/>
  </r>
  <r>
    <n v="175"/>
    <x v="62"/>
    <x v="94"/>
    <x v="74"/>
    <x v="3"/>
    <x v="0"/>
    <x v="5"/>
    <x v="1"/>
    <x v="66"/>
  </r>
  <r>
    <n v="176"/>
    <x v="62"/>
    <x v="95"/>
    <x v="75"/>
    <x v="3"/>
    <x v="0"/>
    <x v="5"/>
    <x v="1"/>
    <x v="67"/>
  </r>
  <r>
    <n v="177"/>
    <x v="62"/>
    <x v="96"/>
    <x v="76"/>
    <x v="3"/>
    <x v="1"/>
    <x v="5"/>
    <x v="1"/>
    <x v="68"/>
  </r>
  <r>
    <n v="178"/>
    <x v="62"/>
    <x v="97"/>
    <x v="15"/>
    <x v="3"/>
    <x v="1"/>
    <x v="5"/>
    <x v="1"/>
    <x v="69"/>
  </r>
  <r>
    <n v="179"/>
    <x v="62"/>
    <x v="98"/>
    <x v="77"/>
    <x v="3"/>
    <x v="1"/>
    <x v="5"/>
    <x v="1"/>
    <x v="70"/>
  </r>
  <r>
    <n v="180"/>
    <x v="62"/>
    <x v="90"/>
    <x v="71"/>
    <x v="3"/>
    <x v="1"/>
    <x v="5"/>
    <x v="1"/>
    <x v="64"/>
  </r>
  <r>
    <n v="181"/>
    <x v="62"/>
    <x v="1"/>
    <x v="23"/>
    <x v="1"/>
    <x v="0"/>
    <x v="5"/>
    <x v="1"/>
    <x v="1"/>
  </r>
  <r>
    <n v="182"/>
    <x v="62"/>
    <x v="1"/>
    <x v="23"/>
    <x v="2"/>
    <x v="1"/>
    <x v="5"/>
    <x v="1"/>
    <x v="1"/>
  </r>
  <r>
    <n v="183"/>
    <x v="62"/>
    <x v="70"/>
    <x v="17"/>
    <x v="3"/>
    <x v="1"/>
    <x v="5"/>
    <x v="1"/>
    <x v="56"/>
  </r>
  <r>
    <n v="184"/>
    <x v="62"/>
    <x v="99"/>
    <x v="17"/>
    <x v="3"/>
    <x v="1"/>
    <x v="5"/>
    <x v="1"/>
    <x v="71"/>
  </r>
  <r>
    <n v="185"/>
    <x v="62"/>
    <x v="66"/>
    <x v="78"/>
    <x v="3"/>
    <x v="1"/>
    <x v="5"/>
    <x v="1"/>
    <x v="52"/>
  </r>
  <r>
    <n v="186"/>
    <x v="62"/>
    <x v="100"/>
    <x v="57"/>
    <x v="3"/>
    <x v="1"/>
    <x v="5"/>
    <x v="1"/>
    <x v="72"/>
  </r>
  <r>
    <n v="187"/>
    <x v="62"/>
    <x v="101"/>
    <x v="46"/>
    <x v="3"/>
    <x v="1"/>
    <x v="5"/>
    <x v="1"/>
    <x v="25"/>
  </r>
  <r>
    <n v="188"/>
    <x v="62"/>
    <x v="102"/>
    <x v="79"/>
    <x v="3"/>
    <x v="1"/>
    <x v="5"/>
    <x v="1"/>
    <x v="25"/>
  </r>
  <r>
    <n v="189"/>
    <x v="62"/>
    <x v="8"/>
    <x v="33"/>
    <x v="2"/>
    <x v="2"/>
    <x v="5"/>
    <x v="1"/>
    <x v="8"/>
  </r>
  <r>
    <n v="190"/>
    <x v="62"/>
    <x v="8"/>
    <x v="33"/>
    <x v="1"/>
    <x v="1"/>
    <x v="5"/>
    <x v="1"/>
    <x v="8"/>
  </r>
  <r>
    <n v="191"/>
    <x v="62"/>
    <x v="11"/>
    <x v="24"/>
    <x v="3"/>
    <x v="2"/>
    <x v="5"/>
    <x v="1"/>
    <x v="11"/>
  </r>
  <r>
    <n v="192"/>
    <x v="63"/>
    <x v="103"/>
    <x v="80"/>
    <x v="3"/>
    <x v="1"/>
    <x v="5"/>
    <x v="1"/>
    <x v="3"/>
  </r>
  <r>
    <n v="193"/>
    <x v="63"/>
    <x v="104"/>
    <x v="5"/>
    <x v="3"/>
    <x v="1"/>
    <x v="5"/>
    <x v="1"/>
    <x v="4"/>
  </r>
  <r>
    <n v="194"/>
    <x v="63"/>
    <x v="49"/>
    <x v="44"/>
    <x v="3"/>
    <x v="2"/>
    <x v="5"/>
    <x v="1"/>
    <x v="40"/>
  </r>
  <r>
    <n v="195"/>
    <x v="63"/>
    <x v="105"/>
    <x v="20"/>
    <x v="3"/>
    <x v="2"/>
    <x v="5"/>
    <x v="1"/>
    <x v="41"/>
  </r>
  <r>
    <n v="196"/>
    <x v="63"/>
    <x v="49"/>
    <x v="44"/>
    <x v="3"/>
    <x v="2"/>
    <x v="5"/>
    <x v="1"/>
    <x v="40"/>
  </r>
  <r>
    <n v="197"/>
    <x v="64"/>
    <x v="88"/>
    <x v="70"/>
    <x v="3"/>
    <x v="1"/>
    <x v="5"/>
    <x v="1"/>
    <x v="22"/>
  </r>
  <r>
    <n v="198"/>
    <x v="65"/>
    <x v="24"/>
    <x v="81"/>
    <x v="3"/>
    <x v="1"/>
    <x v="5"/>
    <x v="1"/>
    <x v="23"/>
  </r>
  <r>
    <n v="199"/>
    <x v="66"/>
    <x v="106"/>
    <x v="15"/>
    <x v="3"/>
    <x v="1"/>
    <x v="5"/>
    <x v="1"/>
    <x v="25"/>
  </r>
  <r>
    <n v="200"/>
    <x v="66"/>
    <x v="107"/>
    <x v="82"/>
    <x v="3"/>
    <x v="1"/>
    <x v="5"/>
    <x v="1"/>
    <x v="73"/>
  </r>
  <r>
    <n v="201"/>
    <x v="66"/>
    <x v="91"/>
    <x v="83"/>
    <x v="3"/>
    <x v="1"/>
    <x v="5"/>
    <x v="1"/>
    <x v="65"/>
  </r>
  <r>
    <n v="202"/>
    <x v="66"/>
    <x v="0"/>
    <x v="84"/>
    <x v="0"/>
    <x v="0"/>
    <x v="5"/>
    <x v="1"/>
    <x v="0"/>
  </r>
  <r>
    <n v="203"/>
    <x v="66"/>
    <x v="6"/>
    <x v="85"/>
    <x v="3"/>
    <x v="0"/>
    <x v="5"/>
    <x v="1"/>
    <x v="6"/>
  </r>
  <r>
    <n v="204"/>
    <x v="66"/>
    <x v="108"/>
    <x v="86"/>
    <x v="3"/>
    <x v="2"/>
    <x v="5"/>
    <x v="1"/>
    <x v="41"/>
  </r>
  <r>
    <n v="205"/>
    <x v="67"/>
    <x v="91"/>
    <x v="31"/>
    <x v="3"/>
    <x v="1"/>
    <x v="5"/>
    <x v="1"/>
    <x v="65"/>
  </r>
  <r>
    <n v="206"/>
    <x v="67"/>
    <x v="49"/>
    <x v="44"/>
    <x v="3"/>
    <x v="2"/>
    <x v="5"/>
    <x v="1"/>
    <x v="40"/>
  </r>
  <r>
    <n v="207"/>
    <x v="67"/>
    <x v="109"/>
    <x v="44"/>
    <x v="3"/>
    <x v="2"/>
    <x v="5"/>
    <x v="1"/>
    <x v="41"/>
  </r>
  <r>
    <n v="208"/>
    <x v="68"/>
    <x v="110"/>
    <x v="27"/>
    <x v="3"/>
    <x v="1"/>
    <x v="5"/>
    <x v="1"/>
    <x v="57"/>
  </r>
  <r>
    <n v="209"/>
    <x v="69"/>
    <x v="22"/>
    <x v="20"/>
    <x v="3"/>
    <x v="2"/>
    <x v="5"/>
    <x v="1"/>
    <x v="21"/>
  </r>
  <r>
    <n v="210"/>
    <x v="70"/>
    <x v="15"/>
    <x v="19"/>
    <x v="3"/>
    <x v="2"/>
    <x v="5"/>
    <x v="1"/>
    <x v="14"/>
  </r>
  <r>
    <n v="211"/>
    <x v="71"/>
    <x v="24"/>
    <x v="81"/>
    <x v="3"/>
    <x v="1"/>
    <x v="5"/>
    <x v="1"/>
    <x v="23"/>
  </r>
  <r>
    <n v="212"/>
    <x v="72"/>
    <x v="37"/>
    <x v="8"/>
    <x v="3"/>
    <x v="1"/>
    <x v="5"/>
    <x v="1"/>
    <x v="25"/>
  </r>
  <r>
    <n v="213"/>
    <x v="72"/>
    <x v="27"/>
    <x v="25"/>
    <x v="3"/>
    <x v="1"/>
    <x v="5"/>
    <x v="1"/>
    <x v="26"/>
  </r>
  <r>
    <n v="214"/>
    <x v="72"/>
    <x v="65"/>
    <x v="79"/>
    <x v="3"/>
    <x v="1"/>
    <x v="5"/>
    <x v="1"/>
    <x v="25"/>
  </r>
  <r>
    <n v="215"/>
    <x v="72"/>
    <x v="111"/>
    <x v="28"/>
    <x v="3"/>
    <x v="1"/>
    <x v="5"/>
    <x v="1"/>
    <x v="25"/>
  </r>
  <r>
    <n v="216"/>
    <x v="72"/>
    <x v="112"/>
    <x v="28"/>
    <x v="3"/>
    <x v="1"/>
    <x v="5"/>
    <x v="1"/>
    <x v="25"/>
  </r>
  <r>
    <n v="217"/>
    <x v="72"/>
    <x v="90"/>
    <x v="52"/>
    <x v="3"/>
    <x v="1"/>
    <x v="5"/>
    <x v="1"/>
    <x v="64"/>
  </r>
  <r>
    <n v="218"/>
    <x v="72"/>
    <x v="113"/>
    <x v="87"/>
    <x v="3"/>
    <x v="1"/>
    <x v="5"/>
    <x v="1"/>
    <x v="74"/>
  </r>
  <r>
    <n v="219"/>
    <x v="72"/>
    <x v="46"/>
    <x v="79"/>
    <x v="3"/>
    <x v="1"/>
    <x v="5"/>
    <x v="1"/>
    <x v="25"/>
  </r>
  <r>
    <n v="220"/>
    <x v="72"/>
    <x v="61"/>
    <x v="50"/>
    <x v="3"/>
    <x v="1"/>
    <x v="5"/>
    <x v="1"/>
    <x v="25"/>
  </r>
  <r>
    <n v="221"/>
    <x v="73"/>
    <x v="114"/>
    <x v="88"/>
    <x v="0"/>
    <x v="0"/>
    <x v="5"/>
    <x v="1"/>
    <x v="0"/>
  </r>
  <r>
    <n v="222"/>
    <x v="74"/>
    <x v="115"/>
    <x v="11"/>
    <x v="3"/>
    <x v="1"/>
    <x v="6"/>
    <x v="1"/>
    <x v="57"/>
  </r>
  <r>
    <n v="223"/>
    <x v="74"/>
    <x v="15"/>
    <x v="16"/>
    <x v="3"/>
    <x v="2"/>
    <x v="6"/>
    <x v="1"/>
    <x v="14"/>
  </r>
  <r>
    <n v="224"/>
    <x v="75"/>
    <x v="88"/>
    <x v="70"/>
    <x v="3"/>
    <x v="1"/>
    <x v="6"/>
    <x v="1"/>
    <x v="22"/>
  </r>
  <r>
    <n v="225"/>
    <x v="75"/>
    <x v="116"/>
    <x v="89"/>
    <x v="3"/>
    <x v="1"/>
    <x v="6"/>
    <x v="1"/>
    <x v="3"/>
  </r>
  <r>
    <n v="226"/>
    <x v="75"/>
    <x v="117"/>
    <x v="5"/>
    <x v="3"/>
    <x v="1"/>
    <x v="6"/>
    <x v="1"/>
    <x v="4"/>
  </r>
  <r>
    <n v="227"/>
    <x v="75"/>
    <x v="25"/>
    <x v="23"/>
    <x v="3"/>
    <x v="1"/>
    <x v="6"/>
    <x v="1"/>
    <x v="24"/>
  </r>
  <r>
    <n v="228"/>
    <x v="75"/>
    <x v="118"/>
    <x v="8"/>
    <x v="3"/>
    <x v="1"/>
    <x v="6"/>
    <x v="1"/>
    <x v="75"/>
  </r>
  <r>
    <n v="229"/>
    <x v="76"/>
    <x v="24"/>
    <x v="81"/>
    <x v="3"/>
    <x v="1"/>
    <x v="6"/>
    <x v="1"/>
    <x v="23"/>
  </r>
  <r>
    <n v="230"/>
    <x v="76"/>
    <x v="15"/>
    <x v="31"/>
    <x v="3"/>
    <x v="2"/>
    <x v="6"/>
    <x v="1"/>
    <x v="14"/>
  </r>
  <r>
    <n v="231"/>
    <x v="76"/>
    <x v="15"/>
    <x v="16"/>
    <x v="3"/>
    <x v="2"/>
    <x v="6"/>
    <x v="1"/>
    <x v="14"/>
  </r>
  <r>
    <n v="232"/>
    <x v="77"/>
    <x v="11"/>
    <x v="24"/>
    <x v="3"/>
    <x v="2"/>
    <x v="6"/>
    <x v="1"/>
    <x v="11"/>
  </r>
  <r>
    <n v="233"/>
    <x v="78"/>
    <x v="119"/>
    <x v="90"/>
    <x v="1"/>
    <x v="0"/>
    <x v="6"/>
    <x v="1"/>
    <x v="76"/>
  </r>
  <r>
    <n v="234"/>
    <x v="78"/>
    <x v="120"/>
    <x v="91"/>
    <x v="3"/>
    <x v="0"/>
    <x v="6"/>
    <x v="1"/>
    <x v="77"/>
  </r>
  <r>
    <n v="235"/>
    <x v="78"/>
    <x v="121"/>
    <x v="92"/>
    <x v="3"/>
    <x v="1"/>
    <x v="6"/>
    <x v="1"/>
    <x v="78"/>
  </r>
  <r>
    <n v="236"/>
    <x v="79"/>
    <x v="114"/>
    <x v="93"/>
    <x v="0"/>
    <x v="0"/>
    <x v="6"/>
    <x v="1"/>
    <x v="0"/>
  </r>
  <r>
    <n v="237"/>
    <x v="79"/>
    <x v="36"/>
    <x v="34"/>
    <x v="3"/>
    <x v="2"/>
    <x v="6"/>
    <x v="1"/>
    <x v="32"/>
  </r>
  <r>
    <n v="238"/>
    <x v="80"/>
    <x v="12"/>
    <x v="8"/>
    <x v="3"/>
    <x v="1"/>
    <x v="6"/>
    <x v="1"/>
    <x v="7"/>
  </r>
  <r>
    <n v="239"/>
    <x v="81"/>
    <x v="21"/>
    <x v="19"/>
    <x v="3"/>
    <x v="2"/>
    <x v="6"/>
    <x v="1"/>
    <x v="20"/>
  </r>
  <r>
    <n v="240"/>
    <x v="82"/>
    <x v="8"/>
    <x v="33"/>
    <x v="1"/>
    <x v="1"/>
    <x v="6"/>
    <x v="1"/>
    <x v="8"/>
  </r>
  <r>
    <n v="241"/>
    <x v="82"/>
    <x v="8"/>
    <x v="33"/>
    <x v="2"/>
    <x v="2"/>
    <x v="6"/>
    <x v="1"/>
    <x v="8"/>
  </r>
  <r>
    <n v="242"/>
    <x v="82"/>
    <x v="22"/>
    <x v="20"/>
    <x v="3"/>
    <x v="2"/>
    <x v="6"/>
    <x v="1"/>
    <x v="21"/>
  </r>
  <r>
    <n v="243"/>
    <x v="83"/>
    <x v="122"/>
    <x v="15"/>
    <x v="3"/>
    <x v="1"/>
    <x v="6"/>
    <x v="1"/>
    <x v="79"/>
  </r>
  <r>
    <n v="244"/>
    <x v="83"/>
    <x v="110"/>
    <x v="27"/>
    <x v="3"/>
    <x v="1"/>
    <x v="6"/>
    <x v="1"/>
    <x v="57"/>
  </r>
  <r>
    <n v="245"/>
    <x v="83"/>
    <x v="6"/>
    <x v="7"/>
    <x v="3"/>
    <x v="1"/>
    <x v="6"/>
    <x v="1"/>
    <x v="6"/>
  </r>
  <r>
    <n v="246"/>
    <x v="83"/>
    <x v="114"/>
    <x v="94"/>
    <x v="0"/>
    <x v="0"/>
    <x v="6"/>
    <x v="1"/>
    <x v="0"/>
  </r>
  <r>
    <n v="247"/>
    <x v="83"/>
    <x v="49"/>
    <x v="44"/>
    <x v="3"/>
    <x v="2"/>
    <x v="6"/>
    <x v="1"/>
    <x v="40"/>
  </r>
  <r>
    <n v="248"/>
    <x v="84"/>
    <x v="123"/>
    <x v="57"/>
    <x v="3"/>
    <x v="1"/>
    <x v="6"/>
    <x v="1"/>
    <x v="80"/>
  </r>
  <r>
    <n v="249"/>
    <x v="84"/>
    <x v="124"/>
    <x v="31"/>
    <x v="3"/>
    <x v="1"/>
    <x v="6"/>
    <x v="1"/>
    <x v="81"/>
  </r>
  <r>
    <n v="250"/>
    <x v="85"/>
    <x v="125"/>
    <x v="95"/>
    <x v="3"/>
    <x v="1"/>
    <x v="6"/>
    <x v="1"/>
    <x v="82"/>
  </r>
  <r>
    <n v="251"/>
    <x v="85"/>
    <x v="23"/>
    <x v="79"/>
    <x v="3"/>
    <x v="1"/>
    <x v="6"/>
    <x v="1"/>
    <x v="22"/>
  </r>
  <r>
    <n v="252"/>
    <x v="86"/>
    <x v="25"/>
    <x v="23"/>
    <x v="3"/>
    <x v="1"/>
    <x v="7"/>
    <x v="1"/>
    <x v="24"/>
  </r>
  <r>
    <n v="253"/>
    <x v="86"/>
    <x v="15"/>
    <x v="31"/>
    <x v="3"/>
    <x v="2"/>
    <x v="7"/>
    <x v="1"/>
    <x v="14"/>
  </r>
  <r>
    <n v="254"/>
    <x v="87"/>
    <x v="15"/>
    <x v="16"/>
    <x v="3"/>
    <x v="2"/>
    <x v="7"/>
    <x v="1"/>
    <x v="14"/>
  </r>
  <r>
    <n v="255"/>
    <x v="87"/>
    <x v="126"/>
    <x v="26"/>
    <x v="3"/>
    <x v="1"/>
    <x v="7"/>
    <x v="1"/>
    <x v="83"/>
  </r>
  <r>
    <n v="256"/>
    <x v="88"/>
    <x v="11"/>
    <x v="24"/>
    <x v="3"/>
    <x v="2"/>
    <x v="7"/>
    <x v="1"/>
    <x v="11"/>
  </r>
  <r>
    <n v="257"/>
    <x v="89"/>
    <x v="127"/>
    <x v="89"/>
    <x v="3"/>
    <x v="1"/>
    <x v="7"/>
    <x v="1"/>
    <x v="3"/>
  </r>
  <r>
    <n v="258"/>
    <x v="89"/>
    <x v="128"/>
    <x v="5"/>
    <x v="3"/>
    <x v="1"/>
    <x v="7"/>
    <x v="1"/>
    <x v="4"/>
  </r>
  <r>
    <n v="259"/>
    <x v="90"/>
    <x v="129"/>
    <x v="31"/>
    <x v="3"/>
    <x v="1"/>
    <x v="7"/>
    <x v="1"/>
    <x v="84"/>
  </r>
  <r>
    <n v="260"/>
    <x v="90"/>
    <x v="119"/>
    <x v="96"/>
    <x v="1"/>
    <x v="0"/>
    <x v="7"/>
    <x v="1"/>
    <x v="76"/>
  </r>
  <r>
    <n v="261"/>
    <x v="90"/>
    <x v="120"/>
    <x v="50"/>
    <x v="3"/>
    <x v="1"/>
    <x v="7"/>
    <x v="1"/>
    <x v="77"/>
  </r>
  <r>
    <n v="262"/>
    <x v="90"/>
    <x v="130"/>
    <x v="97"/>
    <x v="0"/>
    <x v="0"/>
    <x v="7"/>
    <x v="1"/>
    <x v="85"/>
  </r>
  <r>
    <n v="263"/>
    <x v="91"/>
    <x v="110"/>
    <x v="98"/>
    <x v="3"/>
    <x v="1"/>
    <x v="7"/>
    <x v="1"/>
    <x v="57"/>
  </r>
  <r>
    <n v="264"/>
    <x v="92"/>
    <x v="114"/>
    <x v="99"/>
    <x v="0"/>
    <x v="0"/>
    <x v="7"/>
    <x v="1"/>
    <x v="0"/>
  </r>
  <r>
    <n v="265"/>
    <x v="93"/>
    <x v="23"/>
    <x v="79"/>
    <x v="3"/>
    <x v="1"/>
    <x v="7"/>
    <x v="1"/>
    <x v="22"/>
  </r>
  <r>
    <n v="266"/>
    <x v="93"/>
    <x v="131"/>
    <x v="13"/>
    <x v="3"/>
    <x v="1"/>
    <x v="7"/>
    <x v="1"/>
    <x v="82"/>
  </r>
  <r>
    <n v="267"/>
    <x v="93"/>
    <x v="24"/>
    <x v="15"/>
    <x v="3"/>
    <x v="1"/>
    <x v="7"/>
    <x v="1"/>
    <x v="23"/>
  </r>
  <r>
    <n v="268"/>
    <x v="93"/>
    <x v="15"/>
    <x v="16"/>
    <x v="3"/>
    <x v="2"/>
    <x v="7"/>
    <x v="1"/>
    <x v="14"/>
  </r>
  <r>
    <n v="269"/>
    <x v="94"/>
    <x v="36"/>
    <x v="34"/>
    <x v="3"/>
    <x v="2"/>
    <x v="7"/>
    <x v="1"/>
    <x v="32"/>
  </r>
  <r>
    <n v="270"/>
    <x v="95"/>
    <x v="24"/>
    <x v="15"/>
    <x v="3"/>
    <x v="1"/>
    <x v="7"/>
    <x v="1"/>
    <x v="23"/>
  </r>
  <r>
    <n v="271"/>
    <x v="95"/>
    <x v="22"/>
    <x v="20"/>
    <x v="3"/>
    <x v="2"/>
    <x v="7"/>
    <x v="1"/>
    <x v="21"/>
  </r>
  <r>
    <n v="272"/>
    <x v="96"/>
    <x v="21"/>
    <x v="19"/>
    <x v="3"/>
    <x v="2"/>
    <x v="7"/>
    <x v="1"/>
    <x v="20"/>
  </r>
  <r>
    <n v="273"/>
    <x v="96"/>
    <x v="49"/>
    <x v="44"/>
    <x v="3"/>
    <x v="2"/>
    <x v="7"/>
    <x v="1"/>
    <x v="40"/>
  </r>
  <r>
    <n v="274"/>
    <x v="97"/>
    <x v="132"/>
    <x v="54"/>
    <x v="3"/>
    <x v="2"/>
    <x v="7"/>
    <x v="1"/>
    <x v="86"/>
  </r>
  <r>
    <n v="275"/>
    <x v="97"/>
    <x v="133"/>
    <x v="10"/>
    <x v="3"/>
    <x v="1"/>
    <x v="7"/>
    <x v="1"/>
    <x v="87"/>
  </r>
  <r>
    <n v="276"/>
    <x v="97"/>
    <x v="134"/>
    <x v="80"/>
    <x v="3"/>
    <x v="1"/>
    <x v="7"/>
    <x v="1"/>
    <x v="88"/>
  </r>
  <r>
    <n v="277"/>
    <x v="97"/>
    <x v="135"/>
    <x v="10"/>
    <x v="3"/>
    <x v="1"/>
    <x v="7"/>
    <x v="1"/>
    <x v="89"/>
  </r>
  <r>
    <n v="278"/>
    <x v="97"/>
    <x v="0"/>
    <x v="94"/>
    <x v="0"/>
    <x v="0"/>
    <x v="7"/>
    <x v="1"/>
    <x v="0"/>
  </r>
  <r>
    <n v="279"/>
    <x v="97"/>
    <x v="88"/>
    <x v="70"/>
    <x v="3"/>
    <x v="1"/>
    <x v="7"/>
    <x v="1"/>
    <x v="22"/>
  </r>
  <r>
    <n v="280"/>
    <x v="98"/>
    <x v="25"/>
    <x v="100"/>
    <x v="3"/>
    <x v="1"/>
    <x v="8"/>
    <x v="1"/>
    <x v="24"/>
  </r>
  <r>
    <n v="281"/>
    <x v="98"/>
    <x v="15"/>
    <x v="31"/>
    <x v="3"/>
    <x v="2"/>
    <x v="8"/>
    <x v="1"/>
    <x v="14"/>
  </r>
  <r>
    <n v="282"/>
    <x v="98"/>
    <x v="15"/>
    <x v="16"/>
    <x v="3"/>
    <x v="2"/>
    <x v="8"/>
    <x v="1"/>
    <x v="14"/>
  </r>
  <r>
    <n v="283"/>
    <x v="98"/>
    <x v="49"/>
    <x v="44"/>
    <x v="3"/>
    <x v="2"/>
    <x v="8"/>
    <x v="1"/>
    <x v="40"/>
  </r>
  <r>
    <n v="284"/>
    <x v="99"/>
    <x v="119"/>
    <x v="39"/>
    <x v="1"/>
    <x v="0"/>
    <x v="8"/>
    <x v="1"/>
    <x v="76"/>
  </r>
  <r>
    <n v="285"/>
    <x v="99"/>
    <x v="120"/>
    <x v="101"/>
    <x v="3"/>
    <x v="0"/>
    <x v="8"/>
    <x v="1"/>
    <x v="77"/>
  </r>
  <r>
    <n v="286"/>
    <x v="99"/>
    <x v="136"/>
    <x v="29"/>
    <x v="3"/>
    <x v="1"/>
    <x v="8"/>
    <x v="1"/>
    <x v="3"/>
  </r>
  <r>
    <n v="287"/>
    <x v="99"/>
    <x v="128"/>
    <x v="5"/>
    <x v="3"/>
    <x v="1"/>
    <x v="8"/>
    <x v="1"/>
    <x v="4"/>
  </r>
  <r>
    <n v="288"/>
    <x v="99"/>
    <x v="8"/>
    <x v="33"/>
    <x v="1"/>
    <x v="1"/>
    <x v="8"/>
    <x v="1"/>
    <x v="8"/>
  </r>
  <r>
    <n v="289"/>
    <x v="99"/>
    <x v="8"/>
    <x v="33"/>
    <x v="2"/>
    <x v="2"/>
    <x v="8"/>
    <x v="1"/>
    <x v="8"/>
  </r>
  <r>
    <n v="290"/>
    <x v="100"/>
    <x v="15"/>
    <x v="16"/>
    <x v="3"/>
    <x v="2"/>
    <x v="8"/>
    <x v="1"/>
    <x v="14"/>
  </r>
  <r>
    <n v="291"/>
    <x v="100"/>
    <x v="15"/>
    <x v="31"/>
    <x v="3"/>
    <x v="2"/>
    <x v="8"/>
    <x v="1"/>
    <x v="14"/>
  </r>
  <r>
    <n v="292"/>
    <x v="101"/>
    <x v="11"/>
    <x v="24"/>
    <x v="3"/>
    <x v="2"/>
    <x v="8"/>
    <x v="1"/>
    <x v="11"/>
  </r>
  <r>
    <n v="293"/>
    <x v="102"/>
    <x v="12"/>
    <x v="8"/>
    <x v="3"/>
    <x v="1"/>
    <x v="8"/>
    <x v="1"/>
    <x v="7"/>
  </r>
  <r>
    <n v="294"/>
    <x v="103"/>
    <x v="37"/>
    <x v="8"/>
    <x v="3"/>
    <x v="1"/>
    <x v="8"/>
    <x v="1"/>
    <x v="25"/>
  </r>
  <r>
    <n v="295"/>
    <x v="103"/>
    <x v="27"/>
    <x v="102"/>
    <x v="3"/>
    <x v="1"/>
    <x v="8"/>
    <x v="1"/>
    <x v="26"/>
  </r>
  <r>
    <n v="296"/>
    <x v="103"/>
    <x v="90"/>
    <x v="103"/>
    <x v="3"/>
    <x v="1"/>
    <x v="8"/>
    <x v="1"/>
    <x v="64"/>
  </r>
  <r>
    <n v="297"/>
    <x v="103"/>
    <x v="61"/>
    <x v="26"/>
    <x v="3"/>
    <x v="1"/>
    <x v="8"/>
    <x v="1"/>
    <x v="25"/>
  </r>
  <r>
    <n v="298"/>
    <x v="103"/>
    <x v="137"/>
    <x v="104"/>
    <x v="3"/>
    <x v="2"/>
    <x v="8"/>
    <x v="1"/>
    <x v="90"/>
  </r>
  <r>
    <n v="299"/>
    <x v="104"/>
    <x v="0"/>
    <x v="105"/>
    <x v="0"/>
    <x v="0"/>
    <x v="8"/>
    <x v="1"/>
    <x v="0"/>
  </r>
  <r>
    <n v="300"/>
    <x v="105"/>
    <x v="12"/>
    <x v="8"/>
    <x v="3"/>
    <x v="1"/>
    <x v="8"/>
    <x v="1"/>
    <x v="7"/>
  </r>
  <r>
    <n v="301"/>
    <x v="106"/>
    <x v="138"/>
    <x v="106"/>
    <x v="0"/>
    <x v="0"/>
    <x v="8"/>
    <x v="1"/>
    <x v="91"/>
  </r>
  <r>
    <n v="302"/>
    <x v="107"/>
    <x v="15"/>
    <x v="31"/>
    <x v="3"/>
    <x v="2"/>
    <x v="8"/>
    <x v="1"/>
    <x v="14"/>
  </r>
  <r>
    <n v="303"/>
    <x v="108"/>
    <x v="21"/>
    <x v="19"/>
    <x v="3"/>
    <x v="2"/>
    <x v="8"/>
    <x v="1"/>
    <x v="20"/>
  </r>
  <r>
    <n v="304"/>
    <x v="108"/>
    <x v="22"/>
    <x v="20"/>
    <x v="3"/>
    <x v="2"/>
    <x v="8"/>
    <x v="1"/>
    <x v="21"/>
  </r>
  <r>
    <n v="305"/>
    <x v="109"/>
    <x v="139"/>
    <x v="31"/>
    <x v="3"/>
    <x v="1"/>
    <x v="8"/>
    <x v="1"/>
    <x v="92"/>
  </r>
  <r>
    <n v="306"/>
    <x v="109"/>
    <x v="88"/>
    <x v="70"/>
    <x v="3"/>
    <x v="1"/>
    <x v="8"/>
    <x v="1"/>
    <x v="22"/>
  </r>
  <r>
    <n v="307"/>
    <x v="109"/>
    <x v="49"/>
    <x v="44"/>
    <x v="3"/>
    <x v="2"/>
    <x v="8"/>
    <x v="1"/>
    <x v="40"/>
  </r>
  <r>
    <n v="308"/>
    <x v="110"/>
    <x v="140"/>
    <x v="107"/>
    <x v="3"/>
    <x v="1"/>
    <x v="8"/>
    <x v="1"/>
    <x v="30"/>
  </r>
  <r>
    <n v="309"/>
    <x v="110"/>
    <x v="141"/>
    <x v="108"/>
    <x v="3"/>
    <x v="1"/>
    <x v="8"/>
    <x v="1"/>
    <x v="30"/>
  </r>
  <r>
    <n v="310"/>
    <x v="110"/>
    <x v="15"/>
    <x v="16"/>
    <x v="3"/>
    <x v="2"/>
    <x v="8"/>
    <x v="1"/>
    <x v="14"/>
  </r>
  <r>
    <n v="311"/>
    <x v="111"/>
    <x v="0"/>
    <x v="105"/>
    <x v="0"/>
    <x v="0"/>
    <x v="8"/>
    <x v="1"/>
    <x v="0"/>
  </r>
  <r>
    <n v="312"/>
    <x v="112"/>
    <x v="52"/>
    <x v="109"/>
    <x v="3"/>
    <x v="1"/>
    <x v="9"/>
    <x v="1"/>
    <x v="43"/>
  </r>
  <r>
    <n v="313"/>
    <x v="113"/>
    <x v="15"/>
    <x v="16"/>
    <x v="3"/>
    <x v="2"/>
    <x v="9"/>
    <x v="1"/>
    <x v="14"/>
  </r>
  <r>
    <n v="314"/>
    <x v="114"/>
    <x v="36"/>
    <x v="110"/>
    <x v="3"/>
    <x v="2"/>
    <x v="9"/>
    <x v="1"/>
    <x v="32"/>
  </r>
  <r>
    <n v="315"/>
    <x v="115"/>
    <x v="15"/>
    <x v="16"/>
    <x v="3"/>
    <x v="2"/>
    <x v="9"/>
    <x v="1"/>
    <x v="14"/>
  </r>
  <r>
    <n v="316"/>
    <x v="115"/>
    <x v="25"/>
    <x v="23"/>
    <x v="3"/>
    <x v="1"/>
    <x v="9"/>
    <x v="1"/>
    <x v="24"/>
  </r>
  <r>
    <n v="317"/>
    <x v="115"/>
    <x v="11"/>
    <x v="24"/>
    <x v="3"/>
    <x v="2"/>
    <x v="9"/>
    <x v="1"/>
    <x v="11"/>
  </r>
  <r>
    <n v="318"/>
    <x v="116"/>
    <x v="128"/>
    <x v="5"/>
    <x v="3"/>
    <x v="1"/>
    <x v="9"/>
    <x v="1"/>
    <x v="4"/>
  </r>
  <r>
    <n v="319"/>
    <x v="116"/>
    <x v="142"/>
    <x v="111"/>
    <x v="3"/>
    <x v="1"/>
    <x v="9"/>
    <x v="1"/>
    <x v="3"/>
  </r>
  <r>
    <n v="320"/>
    <x v="116"/>
    <x v="24"/>
    <x v="15"/>
    <x v="3"/>
    <x v="1"/>
    <x v="9"/>
    <x v="1"/>
    <x v="23"/>
  </r>
  <r>
    <n v="321"/>
    <x v="116"/>
    <x v="15"/>
    <x v="15"/>
    <x v="3"/>
    <x v="2"/>
    <x v="9"/>
    <x v="1"/>
    <x v="14"/>
  </r>
  <r>
    <n v="322"/>
    <x v="116"/>
    <x v="15"/>
    <x v="16"/>
    <x v="3"/>
    <x v="2"/>
    <x v="9"/>
    <x v="1"/>
    <x v="14"/>
  </r>
  <r>
    <n v="323"/>
    <x v="116"/>
    <x v="15"/>
    <x v="31"/>
    <x v="3"/>
    <x v="2"/>
    <x v="9"/>
    <x v="1"/>
    <x v="14"/>
  </r>
  <r>
    <n v="324"/>
    <x v="117"/>
    <x v="143"/>
    <x v="112"/>
    <x v="3"/>
    <x v="1"/>
    <x v="9"/>
    <x v="1"/>
    <x v="25"/>
  </r>
  <r>
    <n v="325"/>
    <x v="117"/>
    <x v="144"/>
    <x v="113"/>
    <x v="3"/>
    <x v="1"/>
    <x v="9"/>
    <x v="1"/>
    <x v="93"/>
  </r>
  <r>
    <n v="326"/>
    <x v="117"/>
    <x v="145"/>
    <x v="39"/>
    <x v="1"/>
    <x v="0"/>
    <x v="9"/>
    <x v="1"/>
    <x v="94"/>
  </r>
  <r>
    <n v="327"/>
    <x v="117"/>
    <x v="146"/>
    <x v="114"/>
    <x v="3"/>
    <x v="0"/>
    <x v="9"/>
    <x v="1"/>
    <x v="95"/>
  </r>
  <r>
    <n v="328"/>
    <x v="117"/>
    <x v="147"/>
    <x v="39"/>
    <x v="2"/>
    <x v="1"/>
    <x v="9"/>
    <x v="1"/>
    <x v="96"/>
  </r>
  <r>
    <n v="329"/>
    <x v="117"/>
    <x v="148"/>
    <x v="115"/>
    <x v="3"/>
    <x v="1"/>
    <x v="9"/>
    <x v="1"/>
    <x v="68"/>
  </r>
  <r>
    <n v="330"/>
    <x v="117"/>
    <x v="149"/>
    <x v="35"/>
    <x v="3"/>
    <x v="1"/>
    <x v="9"/>
    <x v="1"/>
    <x v="25"/>
  </r>
  <r>
    <n v="331"/>
    <x v="117"/>
    <x v="150"/>
    <x v="116"/>
    <x v="3"/>
    <x v="1"/>
    <x v="9"/>
    <x v="1"/>
    <x v="97"/>
  </r>
  <r>
    <n v="332"/>
    <x v="117"/>
    <x v="151"/>
    <x v="5"/>
    <x v="3"/>
    <x v="1"/>
    <x v="9"/>
    <x v="1"/>
    <x v="98"/>
  </r>
  <r>
    <n v="333"/>
    <x v="117"/>
    <x v="152"/>
    <x v="117"/>
    <x v="3"/>
    <x v="1"/>
    <x v="9"/>
    <x v="1"/>
    <x v="99"/>
  </r>
  <r>
    <n v="334"/>
    <x v="117"/>
    <x v="153"/>
    <x v="118"/>
    <x v="3"/>
    <x v="1"/>
    <x v="9"/>
    <x v="1"/>
    <x v="100"/>
  </r>
  <r>
    <n v="335"/>
    <x v="117"/>
    <x v="154"/>
    <x v="119"/>
    <x v="3"/>
    <x v="1"/>
    <x v="9"/>
    <x v="1"/>
    <x v="25"/>
  </r>
  <r>
    <n v="336"/>
    <x v="117"/>
    <x v="8"/>
    <x v="57"/>
    <x v="1"/>
    <x v="1"/>
    <x v="9"/>
    <x v="1"/>
    <x v="8"/>
  </r>
  <r>
    <n v="337"/>
    <x v="117"/>
    <x v="8"/>
    <x v="57"/>
    <x v="2"/>
    <x v="2"/>
    <x v="9"/>
    <x v="1"/>
    <x v="8"/>
  </r>
  <r>
    <n v="338"/>
    <x v="117"/>
    <x v="49"/>
    <x v="44"/>
    <x v="3"/>
    <x v="2"/>
    <x v="9"/>
    <x v="1"/>
    <x v="40"/>
  </r>
  <r>
    <n v="339"/>
    <x v="118"/>
    <x v="155"/>
    <x v="23"/>
    <x v="2"/>
    <x v="2"/>
    <x v="9"/>
    <x v="1"/>
    <x v="8"/>
  </r>
  <r>
    <n v="340"/>
    <x v="118"/>
    <x v="156"/>
    <x v="120"/>
    <x v="1"/>
    <x v="2"/>
    <x v="9"/>
    <x v="1"/>
    <x v="101"/>
  </r>
  <r>
    <n v="341"/>
    <x v="119"/>
    <x v="114"/>
    <x v="105"/>
    <x v="0"/>
    <x v="0"/>
    <x v="9"/>
    <x v="1"/>
    <x v="0"/>
  </r>
  <r>
    <n v="342"/>
    <x v="119"/>
    <x v="15"/>
    <x v="16"/>
    <x v="3"/>
    <x v="2"/>
    <x v="9"/>
    <x v="1"/>
    <x v="14"/>
  </r>
  <r>
    <n v="343"/>
    <x v="120"/>
    <x v="15"/>
    <x v="31"/>
    <x v="3"/>
    <x v="2"/>
    <x v="9"/>
    <x v="1"/>
    <x v="14"/>
  </r>
  <r>
    <n v="344"/>
    <x v="121"/>
    <x v="88"/>
    <x v="70"/>
    <x v="3"/>
    <x v="1"/>
    <x v="9"/>
    <x v="1"/>
    <x v="22"/>
  </r>
  <r>
    <n v="345"/>
    <x v="121"/>
    <x v="8"/>
    <x v="33"/>
    <x v="1"/>
    <x v="1"/>
    <x v="9"/>
    <x v="1"/>
    <x v="8"/>
  </r>
  <r>
    <n v="346"/>
    <x v="121"/>
    <x v="157"/>
    <x v="33"/>
    <x v="2"/>
    <x v="2"/>
    <x v="9"/>
    <x v="1"/>
    <x v="102"/>
  </r>
  <r>
    <n v="347"/>
    <x v="122"/>
    <x v="72"/>
    <x v="121"/>
    <x v="3"/>
    <x v="1"/>
    <x v="9"/>
    <x v="1"/>
    <x v="58"/>
  </r>
  <r>
    <n v="348"/>
    <x v="122"/>
    <x v="142"/>
    <x v="76"/>
    <x v="3"/>
    <x v="1"/>
    <x v="9"/>
    <x v="1"/>
    <x v="3"/>
  </r>
  <r>
    <n v="349"/>
    <x v="123"/>
    <x v="49"/>
    <x v="44"/>
    <x v="3"/>
    <x v="2"/>
    <x v="9"/>
    <x v="1"/>
    <x v="40"/>
  </r>
  <r>
    <n v="350"/>
    <x v="123"/>
    <x v="15"/>
    <x v="31"/>
    <x v="3"/>
    <x v="2"/>
    <x v="9"/>
    <x v="1"/>
    <x v="14"/>
  </r>
  <r>
    <n v="351"/>
    <x v="124"/>
    <x v="21"/>
    <x v="19"/>
    <x v="3"/>
    <x v="2"/>
    <x v="9"/>
    <x v="1"/>
    <x v="20"/>
  </r>
  <r>
    <n v="352"/>
    <x v="125"/>
    <x v="158"/>
    <x v="19"/>
    <x v="3"/>
    <x v="2"/>
    <x v="9"/>
    <x v="1"/>
    <x v="103"/>
  </r>
  <r>
    <n v="353"/>
    <x v="126"/>
    <x v="15"/>
    <x v="31"/>
    <x v="3"/>
    <x v="2"/>
    <x v="9"/>
    <x v="1"/>
    <x v="14"/>
  </r>
  <r>
    <n v="354"/>
    <x v="126"/>
    <x v="15"/>
    <x v="31"/>
    <x v="3"/>
    <x v="2"/>
    <x v="9"/>
    <x v="1"/>
    <x v="14"/>
  </r>
  <r>
    <n v="355"/>
    <x v="126"/>
    <x v="15"/>
    <x v="16"/>
    <x v="3"/>
    <x v="2"/>
    <x v="9"/>
    <x v="1"/>
    <x v="14"/>
  </r>
  <r>
    <n v="356"/>
    <x v="126"/>
    <x v="72"/>
    <x v="112"/>
    <x v="3"/>
    <x v="1"/>
    <x v="9"/>
    <x v="1"/>
    <x v="58"/>
  </r>
  <r>
    <n v="357"/>
    <x v="127"/>
    <x v="0"/>
    <x v="94"/>
    <x v="0"/>
    <x v="1"/>
    <x v="9"/>
    <x v="1"/>
    <x v="0"/>
  </r>
  <r>
    <n v="358"/>
    <x v="127"/>
    <x v="15"/>
    <x v="31"/>
    <x v="3"/>
    <x v="2"/>
    <x v="9"/>
    <x v="1"/>
    <x v="14"/>
  </r>
  <r>
    <n v="359"/>
    <x v="127"/>
    <x v="15"/>
    <x v="31"/>
    <x v="3"/>
    <x v="2"/>
    <x v="9"/>
    <x v="1"/>
    <x v="14"/>
  </r>
  <r>
    <n v="360"/>
    <x v="128"/>
    <x v="158"/>
    <x v="19"/>
    <x v="3"/>
    <x v="2"/>
    <x v="9"/>
    <x v="1"/>
    <x v="103"/>
  </r>
  <r>
    <n v="361"/>
    <x v="128"/>
    <x v="15"/>
    <x v="16"/>
    <x v="3"/>
    <x v="2"/>
    <x v="9"/>
    <x v="1"/>
    <x v="14"/>
  </r>
  <r>
    <n v="362"/>
    <x v="128"/>
    <x v="159"/>
    <x v="43"/>
    <x v="3"/>
    <x v="2"/>
    <x v="9"/>
    <x v="1"/>
    <x v="98"/>
  </r>
  <r>
    <n v="363"/>
    <x v="128"/>
    <x v="160"/>
    <x v="43"/>
    <x v="3"/>
    <x v="1"/>
    <x v="9"/>
    <x v="1"/>
    <x v="25"/>
  </r>
  <r>
    <n v="364"/>
    <x v="128"/>
    <x v="150"/>
    <x v="122"/>
    <x v="3"/>
    <x v="1"/>
    <x v="9"/>
    <x v="1"/>
    <x v="97"/>
  </r>
  <r>
    <n v="365"/>
    <x v="128"/>
    <x v="161"/>
    <x v="123"/>
    <x v="3"/>
    <x v="1"/>
    <x v="9"/>
    <x v="1"/>
    <x v="104"/>
  </r>
  <r>
    <n v="366"/>
    <x v="128"/>
    <x v="26"/>
    <x v="46"/>
    <x v="3"/>
    <x v="1"/>
    <x v="9"/>
    <x v="1"/>
    <x v="25"/>
  </r>
  <r>
    <n v="367"/>
    <x v="128"/>
    <x v="52"/>
    <x v="14"/>
    <x v="3"/>
    <x v="1"/>
    <x v="9"/>
    <x v="1"/>
    <x v="43"/>
  </r>
  <r>
    <n v="368"/>
    <x v="128"/>
    <x v="162"/>
    <x v="43"/>
    <x v="3"/>
    <x v="1"/>
    <x v="9"/>
    <x v="1"/>
    <x v="25"/>
  </r>
  <r>
    <n v="369"/>
    <x v="128"/>
    <x v="61"/>
    <x v="31"/>
    <x v="3"/>
    <x v="1"/>
    <x v="9"/>
    <x v="1"/>
    <x v="25"/>
  </r>
  <r>
    <n v="370"/>
    <x v="128"/>
    <x v="119"/>
    <x v="124"/>
    <x v="1"/>
    <x v="0"/>
    <x v="9"/>
    <x v="1"/>
    <x v="76"/>
  </r>
  <r>
    <n v="371"/>
    <x v="128"/>
    <x v="2"/>
    <x v="124"/>
    <x v="2"/>
    <x v="1"/>
    <x v="9"/>
    <x v="1"/>
    <x v="2"/>
  </r>
  <r>
    <n v="372"/>
    <x v="129"/>
    <x v="49"/>
    <x v="44"/>
    <x v="3"/>
    <x v="2"/>
    <x v="10"/>
    <x v="1"/>
    <x v="40"/>
  </r>
  <r>
    <n v="373"/>
    <x v="130"/>
    <x v="128"/>
    <x v="5"/>
    <x v="3"/>
    <x v="1"/>
    <x v="10"/>
    <x v="1"/>
    <x v="4"/>
  </r>
  <r>
    <n v="374"/>
    <x v="130"/>
    <x v="88"/>
    <x v="70"/>
    <x v="3"/>
    <x v="1"/>
    <x v="10"/>
    <x v="1"/>
    <x v="22"/>
  </r>
  <r>
    <n v="375"/>
    <x v="131"/>
    <x v="11"/>
    <x v="24"/>
    <x v="3"/>
    <x v="2"/>
    <x v="10"/>
    <x v="1"/>
    <x v="11"/>
  </r>
  <r>
    <n v="376"/>
    <x v="132"/>
    <x v="163"/>
    <x v="86"/>
    <x v="3"/>
    <x v="1"/>
    <x v="10"/>
    <x v="1"/>
    <x v="23"/>
  </r>
  <r>
    <n v="377"/>
    <x v="132"/>
    <x v="164"/>
    <x v="125"/>
    <x v="3"/>
    <x v="2"/>
    <x v="10"/>
    <x v="1"/>
    <x v="41"/>
  </r>
  <r>
    <n v="378"/>
    <x v="132"/>
    <x v="15"/>
    <x v="31"/>
    <x v="3"/>
    <x v="2"/>
    <x v="10"/>
    <x v="1"/>
    <x v="14"/>
  </r>
  <r>
    <n v="379"/>
    <x v="132"/>
    <x v="15"/>
    <x v="16"/>
    <x v="3"/>
    <x v="2"/>
    <x v="10"/>
    <x v="1"/>
    <x v="14"/>
  </r>
  <r>
    <n v="380"/>
    <x v="133"/>
    <x v="165"/>
    <x v="126"/>
    <x v="3"/>
    <x v="1"/>
    <x v="10"/>
    <x v="1"/>
    <x v="105"/>
  </r>
  <r>
    <n v="381"/>
    <x v="134"/>
    <x v="15"/>
    <x v="31"/>
    <x v="3"/>
    <x v="2"/>
    <x v="10"/>
    <x v="1"/>
    <x v="14"/>
  </r>
  <r>
    <n v="382"/>
    <x v="135"/>
    <x v="166"/>
    <x v="8"/>
    <x v="3"/>
    <x v="1"/>
    <x v="10"/>
    <x v="1"/>
    <x v="106"/>
  </r>
  <r>
    <n v="383"/>
    <x v="135"/>
    <x v="0"/>
    <x v="127"/>
    <x v="0"/>
    <x v="0"/>
    <x v="10"/>
    <x v="1"/>
    <x v="0"/>
  </r>
  <r>
    <n v="384"/>
    <x v="136"/>
    <x v="167"/>
    <x v="25"/>
    <x v="3"/>
    <x v="1"/>
    <x v="10"/>
    <x v="1"/>
    <x v="107"/>
  </r>
  <r>
    <n v="385"/>
    <x v="136"/>
    <x v="168"/>
    <x v="128"/>
    <x v="3"/>
    <x v="1"/>
    <x v="10"/>
    <x v="1"/>
    <x v="108"/>
  </r>
  <r>
    <n v="386"/>
    <x v="136"/>
    <x v="169"/>
    <x v="129"/>
    <x v="3"/>
    <x v="1"/>
    <x v="10"/>
    <x v="1"/>
    <x v="109"/>
  </r>
  <r>
    <n v="387"/>
    <x v="136"/>
    <x v="170"/>
    <x v="130"/>
    <x v="3"/>
    <x v="1"/>
    <x v="10"/>
    <x v="1"/>
    <x v="110"/>
  </r>
  <r>
    <n v="388"/>
    <x v="136"/>
    <x v="171"/>
    <x v="80"/>
    <x v="3"/>
    <x v="1"/>
    <x v="10"/>
    <x v="1"/>
    <x v="111"/>
  </r>
  <r>
    <n v="389"/>
    <x v="137"/>
    <x v="172"/>
    <x v="131"/>
    <x v="3"/>
    <x v="1"/>
    <x v="10"/>
    <x v="1"/>
    <x v="97"/>
  </r>
  <r>
    <n v="390"/>
    <x v="137"/>
    <x v="173"/>
    <x v="56"/>
    <x v="3"/>
    <x v="1"/>
    <x v="10"/>
    <x v="1"/>
    <x v="97"/>
  </r>
  <r>
    <n v="391"/>
    <x v="137"/>
    <x v="49"/>
    <x v="44"/>
    <x v="3"/>
    <x v="2"/>
    <x v="10"/>
    <x v="1"/>
    <x v="40"/>
  </r>
  <r>
    <n v="392"/>
    <x v="137"/>
    <x v="36"/>
    <x v="110"/>
    <x v="3"/>
    <x v="2"/>
    <x v="10"/>
    <x v="1"/>
    <x v="32"/>
  </r>
  <r>
    <n v="393"/>
    <x v="138"/>
    <x v="72"/>
    <x v="48"/>
    <x v="3"/>
    <x v="1"/>
    <x v="10"/>
    <x v="1"/>
    <x v="58"/>
  </r>
  <r>
    <n v="394"/>
    <x v="138"/>
    <x v="64"/>
    <x v="43"/>
    <x v="3"/>
    <x v="1"/>
    <x v="10"/>
    <x v="1"/>
    <x v="51"/>
  </r>
  <r>
    <n v="395"/>
    <x v="138"/>
    <x v="174"/>
    <x v="132"/>
    <x v="3"/>
    <x v="1"/>
    <x v="10"/>
    <x v="1"/>
    <x v="112"/>
  </r>
  <r>
    <n v="396"/>
    <x v="139"/>
    <x v="72"/>
    <x v="133"/>
    <x v="3"/>
    <x v="1"/>
    <x v="10"/>
    <x v="1"/>
    <x v="58"/>
  </r>
  <r>
    <n v="397"/>
    <x v="140"/>
    <x v="8"/>
    <x v="33"/>
    <x v="1"/>
    <x v="1"/>
    <x v="10"/>
    <x v="1"/>
    <x v="8"/>
  </r>
  <r>
    <n v="398"/>
    <x v="140"/>
    <x v="8"/>
    <x v="134"/>
    <x v="2"/>
    <x v="2"/>
    <x v="10"/>
    <x v="1"/>
    <x v="8"/>
  </r>
  <r>
    <n v="399"/>
    <x v="141"/>
    <x v="21"/>
    <x v="19"/>
    <x v="3"/>
    <x v="2"/>
    <x v="10"/>
    <x v="1"/>
    <x v="20"/>
  </r>
  <r>
    <n v="400"/>
    <x v="141"/>
    <x v="175"/>
    <x v="135"/>
    <x v="3"/>
    <x v="2"/>
    <x v="10"/>
    <x v="1"/>
    <x v="113"/>
  </r>
  <r>
    <n v="401"/>
    <x v="142"/>
    <x v="176"/>
    <x v="43"/>
    <x v="3"/>
    <x v="1"/>
    <x v="10"/>
    <x v="1"/>
    <x v="114"/>
  </r>
  <r>
    <n v="402"/>
    <x v="143"/>
    <x v="37"/>
    <x v="8"/>
    <x v="3"/>
    <x v="1"/>
    <x v="10"/>
    <x v="1"/>
    <x v="25"/>
  </r>
  <r>
    <n v="403"/>
    <x v="143"/>
    <x v="27"/>
    <x v="8"/>
    <x v="3"/>
    <x v="1"/>
    <x v="10"/>
    <x v="1"/>
    <x v="26"/>
  </r>
  <r>
    <n v="404"/>
    <x v="143"/>
    <x v="51"/>
    <x v="46"/>
    <x v="3"/>
    <x v="1"/>
    <x v="10"/>
    <x v="1"/>
    <x v="42"/>
  </r>
  <r>
    <n v="405"/>
    <x v="143"/>
    <x v="177"/>
    <x v="8"/>
    <x v="3"/>
    <x v="1"/>
    <x v="10"/>
    <x v="1"/>
    <x v="115"/>
  </r>
  <r>
    <n v="406"/>
    <x v="143"/>
    <x v="61"/>
    <x v="8"/>
    <x v="3"/>
    <x v="1"/>
    <x v="10"/>
    <x v="1"/>
    <x v="25"/>
  </r>
  <r>
    <n v="407"/>
    <x v="143"/>
    <x v="178"/>
    <x v="16"/>
    <x v="3"/>
    <x v="2"/>
    <x v="10"/>
    <x v="1"/>
    <x v="116"/>
  </r>
  <r>
    <n v="408"/>
    <x v="144"/>
    <x v="37"/>
    <x v="8"/>
    <x v="3"/>
    <x v="1"/>
    <x v="10"/>
    <x v="1"/>
    <x v="25"/>
  </r>
  <r>
    <n v="409"/>
    <x v="144"/>
    <x v="179"/>
    <x v="136"/>
    <x v="3"/>
    <x v="1"/>
    <x v="10"/>
    <x v="1"/>
    <x v="117"/>
  </r>
  <r>
    <n v="410"/>
    <x v="144"/>
    <x v="51"/>
    <x v="46"/>
    <x v="3"/>
    <x v="1"/>
    <x v="10"/>
    <x v="1"/>
    <x v="42"/>
  </r>
  <r>
    <n v="411"/>
    <x v="144"/>
    <x v="52"/>
    <x v="35"/>
    <x v="3"/>
    <x v="1"/>
    <x v="10"/>
    <x v="1"/>
    <x v="43"/>
  </r>
  <r>
    <n v="412"/>
    <x v="144"/>
    <x v="61"/>
    <x v="35"/>
    <x v="3"/>
    <x v="1"/>
    <x v="10"/>
    <x v="1"/>
    <x v="25"/>
  </r>
  <r>
    <n v="413"/>
    <x v="144"/>
    <x v="0"/>
    <x v="105"/>
    <x v="0"/>
    <x v="1"/>
    <x v="10"/>
    <x v="1"/>
    <x v="0"/>
  </r>
  <r>
    <n v="414"/>
    <x v="145"/>
    <x v="37"/>
    <x v="8"/>
    <x v="3"/>
    <x v="1"/>
    <x v="10"/>
    <x v="1"/>
    <x v="25"/>
  </r>
  <r>
    <n v="415"/>
    <x v="145"/>
    <x v="51"/>
    <x v="46"/>
    <x v="3"/>
    <x v="1"/>
    <x v="10"/>
    <x v="1"/>
    <x v="42"/>
  </r>
  <r>
    <n v="416"/>
    <x v="145"/>
    <x v="52"/>
    <x v="35"/>
    <x v="3"/>
    <x v="1"/>
    <x v="10"/>
    <x v="1"/>
    <x v="43"/>
  </r>
  <r>
    <n v="417"/>
    <x v="145"/>
    <x v="61"/>
    <x v="8"/>
    <x v="3"/>
    <x v="1"/>
    <x v="10"/>
    <x v="1"/>
    <x v="25"/>
  </r>
  <r>
    <n v="418"/>
    <x v="146"/>
    <x v="180"/>
    <x v="5"/>
    <x v="0"/>
    <x v="0"/>
    <x v="10"/>
    <x v="1"/>
    <x v="118"/>
  </r>
  <r>
    <n v="419"/>
    <x v="146"/>
    <x v="15"/>
    <x v="16"/>
    <x v="3"/>
    <x v="2"/>
    <x v="10"/>
    <x v="1"/>
    <x v="14"/>
  </r>
  <r>
    <n v="420"/>
    <x v="146"/>
    <x v="15"/>
    <x v="16"/>
    <x v="3"/>
    <x v="2"/>
    <x v="10"/>
    <x v="1"/>
    <x v="14"/>
  </r>
  <r>
    <n v="421"/>
    <x v="147"/>
    <x v="181"/>
    <x v="137"/>
    <x v="3"/>
    <x v="1"/>
    <x v="10"/>
    <x v="1"/>
    <x v="119"/>
  </r>
  <r>
    <n v="422"/>
    <x v="148"/>
    <x v="37"/>
    <x v="8"/>
    <x v="3"/>
    <x v="1"/>
    <x v="11"/>
    <x v="1"/>
    <x v="25"/>
  </r>
  <r>
    <n v="423"/>
    <x v="148"/>
    <x v="90"/>
    <x v="117"/>
    <x v="3"/>
    <x v="1"/>
    <x v="11"/>
    <x v="1"/>
    <x v="64"/>
  </r>
  <r>
    <n v="424"/>
    <x v="149"/>
    <x v="49"/>
    <x v="44"/>
    <x v="3"/>
    <x v="2"/>
    <x v="11"/>
    <x v="1"/>
    <x v="40"/>
  </r>
  <r>
    <n v="425"/>
    <x v="150"/>
    <x v="181"/>
    <x v="76"/>
    <x v="3"/>
    <x v="1"/>
    <x v="11"/>
    <x v="1"/>
    <x v="119"/>
  </r>
  <r>
    <n v="426"/>
    <x v="150"/>
    <x v="182"/>
    <x v="15"/>
    <x v="3"/>
    <x v="1"/>
    <x v="11"/>
    <x v="1"/>
    <x v="120"/>
  </r>
  <r>
    <n v="427"/>
    <x v="151"/>
    <x v="142"/>
    <x v="120"/>
    <x v="3"/>
    <x v="1"/>
    <x v="11"/>
    <x v="1"/>
    <x v="3"/>
  </r>
  <r>
    <n v="428"/>
    <x v="151"/>
    <x v="128"/>
    <x v="5"/>
    <x v="3"/>
    <x v="1"/>
    <x v="11"/>
    <x v="1"/>
    <x v="4"/>
  </r>
  <r>
    <n v="429"/>
    <x v="151"/>
    <x v="183"/>
    <x v="138"/>
    <x v="3"/>
    <x v="1"/>
    <x v="11"/>
    <x v="1"/>
    <x v="109"/>
  </r>
  <r>
    <n v="430"/>
    <x v="151"/>
    <x v="184"/>
    <x v="139"/>
    <x v="3"/>
    <x v="1"/>
    <x v="11"/>
    <x v="1"/>
    <x v="109"/>
  </r>
  <r>
    <n v="431"/>
    <x v="151"/>
    <x v="185"/>
    <x v="138"/>
    <x v="3"/>
    <x v="1"/>
    <x v="11"/>
    <x v="1"/>
    <x v="121"/>
  </r>
  <r>
    <n v="432"/>
    <x v="151"/>
    <x v="186"/>
    <x v="27"/>
    <x v="3"/>
    <x v="1"/>
    <x v="11"/>
    <x v="1"/>
    <x v="121"/>
  </r>
  <r>
    <n v="433"/>
    <x v="151"/>
    <x v="187"/>
    <x v="50"/>
    <x v="3"/>
    <x v="1"/>
    <x v="11"/>
    <x v="1"/>
    <x v="122"/>
  </r>
  <r>
    <n v="434"/>
    <x v="152"/>
    <x v="11"/>
    <x v="24"/>
    <x v="3"/>
    <x v="2"/>
    <x v="11"/>
    <x v="1"/>
    <x v="11"/>
  </r>
  <r>
    <n v="435"/>
    <x v="153"/>
    <x v="37"/>
    <x v="8"/>
    <x v="3"/>
    <x v="1"/>
    <x v="11"/>
    <x v="1"/>
    <x v="25"/>
  </r>
  <r>
    <n v="436"/>
    <x v="153"/>
    <x v="27"/>
    <x v="8"/>
    <x v="3"/>
    <x v="1"/>
    <x v="11"/>
    <x v="1"/>
    <x v="26"/>
  </r>
  <r>
    <n v="437"/>
    <x v="153"/>
    <x v="181"/>
    <x v="42"/>
    <x v="3"/>
    <x v="1"/>
    <x v="11"/>
    <x v="1"/>
    <x v="119"/>
  </r>
  <r>
    <n v="438"/>
    <x v="153"/>
    <x v="61"/>
    <x v="8"/>
    <x v="3"/>
    <x v="1"/>
    <x v="11"/>
    <x v="1"/>
    <x v="25"/>
  </r>
  <r>
    <n v="439"/>
    <x v="153"/>
    <x v="49"/>
    <x v="44"/>
    <x v="3"/>
    <x v="2"/>
    <x v="11"/>
    <x v="1"/>
    <x v="40"/>
  </r>
  <r>
    <n v="440"/>
    <x v="154"/>
    <x v="37"/>
    <x v="8"/>
    <x v="3"/>
    <x v="1"/>
    <x v="11"/>
    <x v="1"/>
    <x v="25"/>
  </r>
  <r>
    <n v="441"/>
    <x v="154"/>
    <x v="51"/>
    <x v="46"/>
    <x v="3"/>
    <x v="1"/>
    <x v="11"/>
    <x v="1"/>
    <x v="42"/>
  </r>
  <r>
    <n v="442"/>
    <x v="154"/>
    <x v="52"/>
    <x v="35"/>
    <x v="3"/>
    <x v="1"/>
    <x v="11"/>
    <x v="1"/>
    <x v="43"/>
  </r>
  <r>
    <n v="443"/>
    <x v="154"/>
    <x v="188"/>
    <x v="36"/>
    <x v="3"/>
    <x v="1"/>
    <x v="11"/>
    <x v="1"/>
    <x v="121"/>
  </r>
  <r>
    <n v="444"/>
    <x v="154"/>
    <x v="189"/>
    <x v="138"/>
    <x v="3"/>
    <x v="1"/>
    <x v="11"/>
    <x v="1"/>
    <x v="109"/>
  </r>
  <r>
    <n v="445"/>
    <x v="155"/>
    <x v="190"/>
    <x v="5"/>
    <x v="0"/>
    <x v="0"/>
    <x v="11"/>
    <x v="1"/>
    <x v="123"/>
  </r>
  <r>
    <n v="446"/>
    <x v="155"/>
    <x v="0"/>
    <x v="105"/>
    <x v="0"/>
    <x v="0"/>
    <x v="11"/>
    <x v="1"/>
    <x v="0"/>
  </r>
  <r>
    <n v="447"/>
    <x v="156"/>
    <x v="15"/>
    <x v="16"/>
    <x v="3"/>
    <x v="2"/>
    <x v="11"/>
    <x v="1"/>
    <x v="14"/>
  </r>
  <r>
    <n v="448"/>
    <x v="157"/>
    <x v="19"/>
    <x v="11"/>
    <x v="3"/>
    <x v="1"/>
    <x v="11"/>
    <x v="1"/>
    <x v="18"/>
  </r>
  <r>
    <n v="449"/>
    <x v="157"/>
    <x v="181"/>
    <x v="76"/>
    <x v="3"/>
    <x v="1"/>
    <x v="11"/>
    <x v="1"/>
    <x v="119"/>
  </r>
  <r>
    <n v="450"/>
    <x v="157"/>
    <x v="191"/>
    <x v="117"/>
    <x v="3"/>
    <x v="1"/>
    <x v="11"/>
    <x v="1"/>
    <x v="57"/>
  </r>
  <r>
    <n v="451"/>
    <x v="158"/>
    <x v="88"/>
    <x v="70"/>
    <x v="3"/>
    <x v="1"/>
    <x v="11"/>
    <x v="1"/>
    <x v="22"/>
  </r>
  <r>
    <n v="452"/>
    <x v="159"/>
    <x v="192"/>
    <x v="82"/>
    <x v="3"/>
    <x v="1"/>
    <x v="11"/>
    <x v="1"/>
    <x v="30"/>
  </r>
  <r>
    <n v="453"/>
    <x v="159"/>
    <x v="193"/>
    <x v="17"/>
    <x v="3"/>
    <x v="1"/>
    <x v="11"/>
    <x v="1"/>
    <x v="124"/>
  </r>
  <r>
    <n v="454"/>
    <x v="160"/>
    <x v="24"/>
    <x v="15"/>
    <x v="3"/>
    <x v="1"/>
    <x v="11"/>
    <x v="1"/>
    <x v="23"/>
  </r>
  <r>
    <n v="455"/>
    <x v="160"/>
    <x v="194"/>
    <x v="57"/>
    <x v="3"/>
    <x v="1"/>
    <x v="11"/>
    <x v="1"/>
    <x v="125"/>
  </r>
  <r>
    <n v="456"/>
    <x v="160"/>
    <x v="195"/>
    <x v="140"/>
    <x v="3"/>
    <x v="1"/>
    <x v="11"/>
    <x v="1"/>
    <x v="57"/>
  </r>
  <r>
    <n v="457"/>
    <x v="161"/>
    <x v="196"/>
    <x v="10"/>
    <x v="3"/>
    <x v="2"/>
    <x v="11"/>
    <x v="1"/>
    <x v="126"/>
  </r>
  <r>
    <n v="458"/>
    <x v="162"/>
    <x v="0"/>
    <x v="141"/>
    <x v="0"/>
    <x v="0"/>
    <x v="11"/>
    <x v="1"/>
    <x v="0"/>
  </r>
  <r>
    <n v="459"/>
    <x v="162"/>
    <x v="197"/>
    <x v="142"/>
    <x v="0"/>
    <x v="0"/>
    <x v="11"/>
    <x v="1"/>
    <x v="127"/>
  </r>
  <r>
    <n v="460"/>
    <x v="163"/>
    <x v="187"/>
    <x v="57"/>
    <x v="3"/>
    <x v="1"/>
    <x v="11"/>
    <x v="1"/>
    <x v="122"/>
  </r>
  <r>
    <n v="461"/>
    <x v="164"/>
    <x v="198"/>
    <x v="26"/>
    <x v="3"/>
    <x v="1"/>
    <x v="0"/>
    <x v="1"/>
    <x v="128"/>
  </r>
  <r>
    <n v="462"/>
    <x v="165"/>
    <x v="15"/>
    <x v="16"/>
    <x v="3"/>
    <x v="2"/>
    <x v="0"/>
    <x v="1"/>
    <x v="14"/>
  </r>
  <r>
    <n v="463"/>
    <x v="166"/>
    <x v="15"/>
    <x v="31"/>
    <x v="3"/>
    <x v="2"/>
    <x v="0"/>
    <x v="1"/>
    <x v="14"/>
  </r>
  <r>
    <n v="464"/>
    <x v="166"/>
    <x v="199"/>
    <x v="35"/>
    <x v="3"/>
    <x v="2"/>
    <x v="0"/>
    <x v="1"/>
    <x v="129"/>
  </r>
  <r>
    <n v="465"/>
    <x v="166"/>
    <x v="15"/>
    <x v="15"/>
    <x v="3"/>
    <x v="2"/>
    <x v="0"/>
    <x v="1"/>
    <x v="14"/>
  </r>
  <r>
    <n v="466"/>
    <x v="166"/>
    <x v="198"/>
    <x v="26"/>
    <x v="3"/>
    <x v="1"/>
    <x v="0"/>
    <x v="1"/>
    <x v="128"/>
  </r>
  <r>
    <n v="467"/>
    <x v="167"/>
    <x v="11"/>
    <x v="24"/>
    <x v="3"/>
    <x v="2"/>
    <x v="0"/>
    <x v="1"/>
    <x v="11"/>
  </r>
  <r>
    <n v="468"/>
    <x v="168"/>
    <x v="200"/>
    <x v="143"/>
    <x v="3"/>
    <x v="1"/>
    <x v="0"/>
    <x v="1"/>
    <x v="130"/>
  </r>
  <r>
    <n v="469"/>
    <x v="169"/>
    <x v="187"/>
    <x v="50"/>
    <x v="3"/>
    <x v="1"/>
    <x v="0"/>
    <x v="1"/>
    <x v="122"/>
  </r>
  <r>
    <n v="470"/>
    <x v="170"/>
    <x v="187"/>
    <x v="43"/>
    <x v="3"/>
    <x v="1"/>
    <x v="0"/>
    <x v="1"/>
    <x v="122"/>
  </r>
  <r>
    <n v="471"/>
    <x v="170"/>
    <x v="15"/>
    <x v="16"/>
    <x v="3"/>
    <x v="2"/>
    <x v="0"/>
    <x v="1"/>
    <x v="14"/>
  </r>
  <r>
    <n v="472"/>
    <x v="171"/>
    <x v="0"/>
    <x v="144"/>
    <x v="0"/>
    <x v="0"/>
    <x v="0"/>
    <x v="1"/>
    <x v="0"/>
  </r>
  <r>
    <n v="473"/>
    <x v="172"/>
    <x v="128"/>
    <x v="5"/>
    <x v="3"/>
    <x v="1"/>
    <x v="0"/>
    <x v="1"/>
    <x v="4"/>
  </r>
  <r>
    <n v="474"/>
    <x v="172"/>
    <x v="142"/>
    <x v="4"/>
    <x v="3"/>
    <x v="1"/>
    <x v="0"/>
    <x v="1"/>
    <x v="3"/>
  </r>
  <r>
    <n v="475"/>
    <x v="172"/>
    <x v="8"/>
    <x v="145"/>
    <x v="1"/>
    <x v="1"/>
    <x v="0"/>
    <x v="1"/>
    <x v="8"/>
  </r>
  <r>
    <n v="476"/>
    <x v="172"/>
    <x v="8"/>
    <x v="145"/>
    <x v="2"/>
    <x v="2"/>
    <x v="0"/>
    <x v="1"/>
    <x v="8"/>
  </r>
  <r>
    <n v="477"/>
    <x v="172"/>
    <x v="201"/>
    <x v="17"/>
    <x v="3"/>
    <x v="1"/>
    <x v="0"/>
    <x v="1"/>
    <x v="98"/>
  </r>
  <r>
    <n v="478"/>
    <x v="173"/>
    <x v="202"/>
    <x v="11"/>
    <x v="3"/>
    <x v="1"/>
    <x v="0"/>
    <x v="1"/>
    <x v="25"/>
  </r>
  <r>
    <n v="479"/>
    <x v="174"/>
    <x v="202"/>
    <x v="11"/>
    <x v="3"/>
    <x v="1"/>
    <x v="0"/>
    <x v="1"/>
    <x v="25"/>
  </r>
  <r>
    <n v="480"/>
    <x v="174"/>
    <x v="203"/>
    <x v="11"/>
    <x v="3"/>
    <x v="1"/>
    <x v="0"/>
    <x v="1"/>
    <x v="25"/>
  </r>
  <r>
    <n v="481"/>
    <x v="175"/>
    <x v="202"/>
    <x v="11"/>
    <x v="3"/>
    <x v="1"/>
    <x v="0"/>
    <x v="1"/>
    <x v="25"/>
  </r>
  <r>
    <n v="482"/>
    <x v="176"/>
    <x v="204"/>
    <x v="72"/>
    <x v="3"/>
    <x v="1"/>
    <x v="0"/>
    <x v="1"/>
    <x v="131"/>
  </r>
  <r>
    <n v="483"/>
    <x v="176"/>
    <x v="19"/>
    <x v="11"/>
    <x v="3"/>
    <x v="1"/>
    <x v="0"/>
    <x v="1"/>
    <x v="18"/>
  </r>
  <r>
    <n v="484"/>
    <x v="176"/>
    <x v="90"/>
    <x v="146"/>
    <x v="3"/>
    <x v="1"/>
    <x v="0"/>
    <x v="1"/>
    <x v="64"/>
  </r>
  <r>
    <n v="485"/>
    <x v="177"/>
    <x v="36"/>
    <x v="147"/>
    <x v="3"/>
    <x v="2"/>
    <x v="0"/>
    <x v="1"/>
    <x v="32"/>
  </r>
  <r>
    <n v="486"/>
    <x v="177"/>
    <x v="49"/>
    <x v="57"/>
    <x v="3"/>
    <x v="2"/>
    <x v="0"/>
    <x v="1"/>
    <x v="40"/>
  </r>
  <r>
    <n v="487"/>
    <x v="177"/>
    <x v="205"/>
    <x v="148"/>
    <x v="3"/>
    <x v="1"/>
    <x v="0"/>
    <x v="1"/>
    <x v="57"/>
  </r>
  <r>
    <n v="488"/>
    <x v="177"/>
    <x v="194"/>
    <x v="54"/>
    <x v="3"/>
    <x v="1"/>
    <x v="0"/>
    <x v="1"/>
    <x v="125"/>
  </r>
  <r>
    <n v="489"/>
    <x v="178"/>
    <x v="206"/>
    <x v="57"/>
    <x v="3"/>
    <x v="1"/>
    <x v="0"/>
    <x v="1"/>
    <x v="132"/>
  </r>
  <r>
    <n v="490"/>
    <x v="178"/>
    <x v="88"/>
    <x v="70"/>
    <x v="3"/>
    <x v="1"/>
    <x v="0"/>
    <x v="1"/>
    <x v="22"/>
  </r>
  <r>
    <n v="491"/>
    <x v="179"/>
    <x v="21"/>
    <x v="19"/>
    <x v="3"/>
    <x v="2"/>
    <x v="0"/>
    <x v="1"/>
    <x v="20"/>
  </r>
  <r>
    <n v="492"/>
    <x v="180"/>
    <x v="187"/>
    <x v="50"/>
    <x v="3"/>
    <x v="1"/>
    <x v="0"/>
    <x v="1"/>
    <x v="122"/>
  </r>
  <r>
    <n v="493"/>
    <x v="181"/>
    <x v="198"/>
    <x v="8"/>
    <x v="3"/>
    <x v="1"/>
    <x v="0"/>
    <x v="1"/>
    <x v="128"/>
  </r>
  <r>
    <n v="494"/>
    <x v="182"/>
    <x v="0"/>
    <x v="149"/>
    <x v="0"/>
    <x v="1"/>
    <x v="0"/>
    <x v="1"/>
    <x v="0"/>
  </r>
  <r>
    <n v="495"/>
    <x v="183"/>
    <x v="207"/>
    <x v="54"/>
    <x v="2"/>
    <x v="2"/>
    <x v="0"/>
    <x v="1"/>
    <x v="30"/>
  </r>
  <r>
    <n v="496"/>
    <x v="184"/>
    <x v="110"/>
    <x v="98"/>
    <x v="3"/>
    <x v="1"/>
    <x v="0"/>
    <x v="1"/>
    <x v="57"/>
  </r>
  <r>
    <n v="497"/>
    <x v="185"/>
    <x v="208"/>
    <x v="50"/>
    <x v="3"/>
    <x v="1"/>
    <x v="0"/>
    <x v="1"/>
    <x v="133"/>
  </r>
  <r>
    <n v="498"/>
    <x v="186"/>
    <x v="207"/>
    <x v="150"/>
    <x v="3"/>
    <x v="1"/>
    <x v="1"/>
    <x v="1"/>
    <x v="30"/>
  </r>
  <r>
    <n v="499"/>
    <x v="186"/>
    <x v="37"/>
    <x v="8"/>
    <x v="3"/>
    <x v="1"/>
    <x v="1"/>
    <x v="1"/>
    <x v="25"/>
  </r>
  <r>
    <n v="500"/>
    <x v="186"/>
    <x v="52"/>
    <x v="11"/>
    <x v="3"/>
    <x v="1"/>
    <x v="1"/>
    <x v="1"/>
    <x v="43"/>
  </r>
  <r>
    <n v="501"/>
    <x v="186"/>
    <x v="51"/>
    <x v="46"/>
    <x v="3"/>
    <x v="1"/>
    <x v="1"/>
    <x v="1"/>
    <x v="42"/>
  </r>
  <r>
    <n v="502"/>
    <x v="186"/>
    <x v="65"/>
    <x v="36"/>
    <x v="3"/>
    <x v="1"/>
    <x v="1"/>
    <x v="1"/>
    <x v="25"/>
  </r>
  <r>
    <n v="503"/>
    <x v="186"/>
    <x v="27"/>
    <x v="151"/>
    <x v="3"/>
    <x v="1"/>
    <x v="1"/>
    <x v="1"/>
    <x v="26"/>
  </r>
  <r>
    <n v="504"/>
    <x v="186"/>
    <x v="207"/>
    <x v="152"/>
    <x v="2"/>
    <x v="2"/>
    <x v="1"/>
    <x v="1"/>
    <x v="30"/>
  </r>
  <r>
    <n v="505"/>
    <x v="187"/>
    <x v="209"/>
    <x v="25"/>
    <x v="3"/>
    <x v="1"/>
    <x v="1"/>
    <x v="1"/>
    <x v="134"/>
  </r>
  <r>
    <n v="506"/>
    <x v="187"/>
    <x v="112"/>
    <x v="28"/>
    <x v="3"/>
    <x v="1"/>
    <x v="1"/>
    <x v="1"/>
    <x v="25"/>
  </r>
  <r>
    <n v="507"/>
    <x v="187"/>
    <x v="70"/>
    <x v="138"/>
    <x v="3"/>
    <x v="1"/>
    <x v="1"/>
    <x v="1"/>
    <x v="56"/>
  </r>
  <r>
    <n v="508"/>
    <x v="187"/>
    <x v="46"/>
    <x v="36"/>
    <x v="3"/>
    <x v="1"/>
    <x v="1"/>
    <x v="1"/>
    <x v="25"/>
  </r>
  <r>
    <n v="509"/>
    <x v="187"/>
    <x v="61"/>
    <x v="31"/>
    <x v="3"/>
    <x v="1"/>
    <x v="1"/>
    <x v="1"/>
    <x v="25"/>
  </r>
  <r>
    <n v="510"/>
    <x v="187"/>
    <x v="15"/>
    <x v="16"/>
    <x v="3"/>
    <x v="2"/>
    <x v="1"/>
    <x v="1"/>
    <x v="14"/>
  </r>
  <r>
    <n v="511"/>
    <x v="187"/>
    <x v="15"/>
    <x v="31"/>
    <x v="3"/>
    <x v="2"/>
    <x v="1"/>
    <x v="1"/>
    <x v="14"/>
  </r>
  <r>
    <n v="512"/>
    <x v="188"/>
    <x v="11"/>
    <x v="24"/>
    <x v="3"/>
    <x v="2"/>
    <x v="1"/>
    <x v="1"/>
    <x v="11"/>
  </r>
  <r>
    <n v="513"/>
    <x v="189"/>
    <x v="210"/>
    <x v="54"/>
    <x v="3"/>
    <x v="1"/>
    <x v="1"/>
    <x v="1"/>
    <x v="135"/>
  </r>
  <r>
    <n v="514"/>
    <x v="190"/>
    <x v="198"/>
    <x v="72"/>
    <x v="3"/>
    <x v="1"/>
    <x v="1"/>
    <x v="1"/>
    <x v="128"/>
  </r>
  <r>
    <n v="515"/>
    <x v="190"/>
    <x v="49"/>
    <x v="44"/>
    <x v="3"/>
    <x v="2"/>
    <x v="1"/>
    <x v="1"/>
    <x v="40"/>
  </r>
  <r>
    <n v="516"/>
    <x v="191"/>
    <x v="211"/>
    <x v="153"/>
    <x v="0"/>
    <x v="0"/>
    <x v="1"/>
    <x v="1"/>
    <x v="136"/>
  </r>
  <r>
    <n v="517"/>
    <x v="191"/>
    <x v="212"/>
    <x v="154"/>
    <x v="3"/>
    <x v="1"/>
    <x v="1"/>
    <x v="1"/>
    <x v="3"/>
  </r>
  <r>
    <n v="518"/>
    <x v="191"/>
    <x v="213"/>
    <x v="5"/>
    <x v="3"/>
    <x v="1"/>
    <x v="1"/>
    <x v="1"/>
    <x v="4"/>
  </r>
  <r>
    <n v="519"/>
    <x v="191"/>
    <x v="214"/>
    <x v="155"/>
    <x v="3"/>
    <x v="1"/>
    <x v="1"/>
    <x v="1"/>
    <x v="98"/>
  </r>
  <r>
    <n v="520"/>
    <x v="192"/>
    <x v="215"/>
    <x v="11"/>
    <x v="3"/>
    <x v="1"/>
    <x v="1"/>
    <x v="1"/>
    <x v="25"/>
  </r>
  <r>
    <n v="521"/>
    <x v="192"/>
    <x v="198"/>
    <x v="35"/>
    <x v="3"/>
    <x v="1"/>
    <x v="1"/>
    <x v="1"/>
    <x v="128"/>
  </r>
  <r>
    <n v="522"/>
    <x v="192"/>
    <x v="0"/>
    <x v="156"/>
    <x v="0"/>
    <x v="0"/>
    <x v="1"/>
    <x v="1"/>
    <x v="0"/>
  </r>
  <r>
    <n v="523"/>
    <x v="193"/>
    <x v="198"/>
    <x v="25"/>
    <x v="3"/>
    <x v="1"/>
    <x v="1"/>
    <x v="1"/>
    <x v="128"/>
  </r>
  <r>
    <n v="524"/>
    <x v="193"/>
    <x v="216"/>
    <x v="31"/>
    <x v="3"/>
    <x v="1"/>
    <x v="1"/>
    <x v="1"/>
    <x v="137"/>
  </r>
  <r>
    <n v="525"/>
    <x v="193"/>
    <x v="15"/>
    <x v="16"/>
    <x v="3"/>
    <x v="2"/>
    <x v="1"/>
    <x v="1"/>
    <x v="14"/>
  </r>
  <r>
    <n v="526"/>
    <x v="194"/>
    <x v="49"/>
    <x v="44"/>
    <x v="3"/>
    <x v="2"/>
    <x v="1"/>
    <x v="1"/>
    <x v="40"/>
  </r>
  <r>
    <n v="527"/>
    <x v="195"/>
    <x v="15"/>
    <x v="16"/>
    <x v="3"/>
    <x v="2"/>
    <x v="1"/>
    <x v="1"/>
    <x v="14"/>
  </r>
  <r>
    <n v="528"/>
    <x v="196"/>
    <x v="88"/>
    <x v="70"/>
    <x v="3"/>
    <x v="1"/>
    <x v="1"/>
    <x v="1"/>
    <x v="22"/>
  </r>
  <r>
    <n v="529"/>
    <x v="196"/>
    <x v="21"/>
    <x v="19"/>
    <x v="3"/>
    <x v="2"/>
    <x v="1"/>
    <x v="1"/>
    <x v="20"/>
  </r>
  <r>
    <n v="530"/>
    <x v="197"/>
    <x v="217"/>
    <x v="95"/>
    <x v="3"/>
    <x v="1"/>
    <x v="1"/>
    <x v="1"/>
    <x v="82"/>
  </r>
  <r>
    <n v="531"/>
    <x v="197"/>
    <x v="15"/>
    <x v="16"/>
    <x v="3"/>
    <x v="2"/>
    <x v="1"/>
    <x v="1"/>
    <x v="14"/>
  </r>
  <r>
    <n v="532"/>
    <x v="198"/>
    <x v="15"/>
    <x v="16"/>
    <x v="3"/>
    <x v="2"/>
    <x v="1"/>
    <x v="1"/>
    <x v="14"/>
  </r>
  <r>
    <n v="533"/>
    <x v="199"/>
    <x v="218"/>
    <x v="157"/>
    <x v="3"/>
    <x v="1"/>
    <x v="1"/>
    <x v="1"/>
    <x v="138"/>
  </r>
  <r>
    <n v="534"/>
    <x v="199"/>
    <x v="15"/>
    <x v="15"/>
    <x v="3"/>
    <x v="2"/>
    <x v="1"/>
    <x v="1"/>
    <x v="14"/>
  </r>
  <r>
    <n v="535"/>
    <x v="200"/>
    <x v="63"/>
    <x v="57"/>
    <x v="3"/>
    <x v="1"/>
    <x v="1"/>
    <x v="1"/>
    <x v="50"/>
  </r>
  <r>
    <n v="536"/>
    <x v="200"/>
    <x v="49"/>
    <x v="44"/>
    <x v="3"/>
    <x v="2"/>
    <x v="1"/>
    <x v="1"/>
    <x v="40"/>
  </r>
  <r>
    <n v="537"/>
    <x v="201"/>
    <x v="198"/>
    <x v="35"/>
    <x v="3"/>
    <x v="1"/>
    <x v="1"/>
    <x v="1"/>
    <x v="128"/>
  </r>
  <r>
    <n v="538"/>
    <x v="201"/>
    <x v="219"/>
    <x v="158"/>
    <x v="3"/>
    <x v="2"/>
    <x v="1"/>
    <x v="1"/>
    <x v="41"/>
  </r>
  <r>
    <n v="539"/>
    <x v="202"/>
    <x v="63"/>
    <x v="43"/>
    <x v="3"/>
    <x v="1"/>
    <x v="1"/>
    <x v="1"/>
    <x v="50"/>
  </r>
  <r>
    <n v="540"/>
    <x v="202"/>
    <x v="0"/>
    <x v="159"/>
    <x v="0"/>
    <x v="0"/>
    <x v="1"/>
    <x v="1"/>
    <x v="0"/>
  </r>
  <r>
    <n v="541"/>
    <x v="203"/>
    <x v="118"/>
    <x v="72"/>
    <x v="3"/>
    <x v="1"/>
    <x v="2"/>
    <x v="1"/>
    <x v="75"/>
  </r>
  <r>
    <n v="542"/>
    <x v="204"/>
    <x v="49"/>
    <x v="44"/>
    <x v="3"/>
    <x v="2"/>
    <x v="2"/>
    <x v="1"/>
    <x v="40"/>
  </r>
  <r>
    <n v="543"/>
    <x v="205"/>
    <x v="220"/>
    <x v="8"/>
    <x v="3"/>
    <x v="1"/>
    <x v="2"/>
    <x v="1"/>
    <x v="139"/>
  </r>
  <r>
    <n v="544"/>
    <x v="205"/>
    <x v="221"/>
    <x v="35"/>
    <x v="3"/>
    <x v="1"/>
    <x v="2"/>
    <x v="1"/>
    <x v="140"/>
  </r>
  <r>
    <n v="545"/>
    <x v="206"/>
    <x v="221"/>
    <x v="35"/>
    <x v="3"/>
    <x v="1"/>
    <x v="2"/>
    <x v="1"/>
    <x v="140"/>
  </r>
  <r>
    <n v="546"/>
    <x v="207"/>
    <x v="221"/>
    <x v="35"/>
    <x v="3"/>
    <x v="1"/>
    <x v="2"/>
    <x v="1"/>
    <x v="140"/>
  </r>
  <r>
    <n v="547"/>
    <x v="207"/>
    <x v="222"/>
    <x v="11"/>
    <x v="3"/>
    <x v="1"/>
    <x v="2"/>
    <x v="1"/>
    <x v="141"/>
  </r>
  <r>
    <n v="548"/>
    <x v="208"/>
    <x v="223"/>
    <x v="54"/>
    <x v="3"/>
    <x v="1"/>
    <x v="2"/>
    <x v="1"/>
    <x v="142"/>
  </r>
  <r>
    <n v="549"/>
    <x v="208"/>
    <x v="224"/>
    <x v="57"/>
    <x v="3"/>
    <x v="1"/>
    <x v="2"/>
    <x v="1"/>
    <x v="143"/>
  </r>
  <r>
    <n v="550"/>
    <x v="208"/>
    <x v="52"/>
    <x v="31"/>
    <x v="3"/>
    <x v="1"/>
    <x v="2"/>
    <x v="1"/>
    <x v="43"/>
  </r>
  <r>
    <n v="551"/>
    <x v="208"/>
    <x v="225"/>
    <x v="11"/>
    <x v="3"/>
    <x v="1"/>
    <x v="2"/>
    <x v="1"/>
    <x v="144"/>
  </r>
  <r>
    <n v="552"/>
    <x v="208"/>
    <x v="226"/>
    <x v="26"/>
    <x v="3"/>
    <x v="1"/>
    <x v="2"/>
    <x v="1"/>
    <x v="145"/>
  </r>
  <r>
    <n v="553"/>
    <x v="209"/>
    <x v="198"/>
    <x v="25"/>
    <x v="3"/>
    <x v="1"/>
    <x v="2"/>
    <x v="1"/>
    <x v="128"/>
  </r>
  <r>
    <n v="554"/>
    <x v="209"/>
    <x v="88"/>
    <x v="22"/>
    <x v="3"/>
    <x v="1"/>
    <x v="2"/>
    <x v="1"/>
    <x v="22"/>
  </r>
  <r>
    <n v="555"/>
    <x v="209"/>
    <x v="227"/>
    <x v="106"/>
    <x v="0"/>
    <x v="0"/>
    <x v="2"/>
    <x v="1"/>
    <x v="146"/>
  </r>
  <r>
    <n v="556"/>
    <x v="209"/>
    <x v="228"/>
    <x v="5"/>
    <x v="0"/>
    <x v="0"/>
    <x v="2"/>
    <x v="1"/>
    <x v="147"/>
  </r>
  <r>
    <n v="557"/>
    <x v="209"/>
    <x v="0"/>
    <x v="160"/>
    <x v="0"/>
    <x v="0"/>
    <x v="2"/>
    <x v="1"/>
    <x v="0"/>
  </r>
  <r>
    <n v="558"/>
    <x v="210"/>
    <x v="198"/>
    <x v="8"/>
    <x v="3"/>
    <x v="1"/>
    <x v="2"/>
    <x v="1"/>
    <x v="128"/>
  </r>
  <r>
    <n v="559"/>
    <x v="210"/>
    <x v="229"/>
    <x v="161"/>
    <x v="3"/>
    <x v="1"/>
    <x v="2"/>
    <x v="1"/>
    <x v="3"/>
  </r>
  <r>
    <n v="560"/>
    <x v="210"/>
    <x v="128"/>
    <x v="5"/>
    <x v="3"/>
    <x v="1"/>
    <x v="2"/>
    <x v="1"/>
    <x v="4"/>
  </r>
  <r>
    <n v="561"/>
    <x v="210"/>
    <x v="230"/>
    <x v="17"/>
    <x v="3"/>
    <x v="1"/>
    <x v="2"/>
    <x v="1"/>
    <x v="148"/>
  </r>
  <r>
    <n v="562"/>
    <x v="211"/>
    <x v="206"/>
    <x v="50"/>
    <x v="3"/>
    <x v="1"/>
    <x v="2"/>
    <x v="1"/>
    <x v="132"/>
  </r>
  <r>
    <n v="563"/>
    <x v="212"/>
    <x v="231"/>
    <x v="50"/>
    <x v="3"/>
    <x v="1"/>
    <x v="2"/>
    <x v="1"/>
    <x v="116"/>
  </r>
  <r>
    <n v="564"/>
    <x v="212"/>
    <x v="198"/>
    <x v="35"/>
    <x v="3"/>
    <x v="1"/>
    <x v="2"/>
    <x v="1"/>
    <x v="128"/>
  </r>
  <r>
    <n v="565"/>
    <x v="213"/>
    <x v="198"/>
    <x v="35"/>
    <x v="3"/>
    <x v="1"/>
    <x v="2"/>
    <x v="1"/>
    <x v="128"/>
  </r>
  <r>
    <n v="566"/>
    <x v="213"/>
    <x v="232"/>
    <x v="50"/>
    <x v="3"/>
    <x v="1"/>
    <x v="2"/>
    <x v="1"/>
    <x v="116"/>
  </r>
  <r>
    <n v="567"/>
    <x v="214"/>
    <x v="233"/>
    <x v="50"/>
    <x v="3"/>
    <x v="1"/>
    <x v="2"/>
    <x v="1"/>
    <x v="116"/>
  </r>
  <r>
    <n v="568"/>
    <x v="215"/>
    <x v="234"/>
    <x v="50"/>
    <x v="3"/>
    <x v="1"/>
    <x v="2"/>
    <x v="1"/>
    <x v="116"/>
  </r>
  <r>
    <n v="569"/>
    <x v="215"/>
    <x v="198"/>
    <x v="25"/>
    <x v="3"/>
    <x v="1"/>
    <x v="2"/>
    <x v="1"/>
    <x v="128"/>
  </r>
  <r>
    <n v="570"/>
    <x v="216"/>
    <x v="235"/>
    <x v="14"/>
    <x v="3"/>
    <x v="1"/>
    <x v="2"/>
    <x v="1"/>
    <x v="149"/>
  </r>
  <r>
    <n v="571"/>
    <x v="216"/>
    <x v="118"/>
    <x v="8"/>
    <x v="3"/>
    <x v="1"/>
    <x v="2"/>
    <x v="1"/>
    <x v="75"/>
  </r>
  <r>
    <n v="572"/>
    <x v="217"/>
    <x v="0"/>
    <x v="156"/>
    <x v="0"/>
    <x v="1"/>
    <x v="2"/>
    <x v="1"/>
    <x v="0"/>
  </r>
  <r>
    <n v="573"/>
    <x v="218"/>
    <x v="221"/>
    <x v="35"/>
    <x v="3"/>
    <x v="1"/>
    <x v="3"/>
    <x v="1"/>
    <x v="140"/>
  </r>
  <r>
    <n v="574"/>
    <x v="219"/>
    <x v="198"/>
    <x v="25"/>
    <x v="3"/>
    <x v="1"/>
    <x v="3"/>
    <x v="1"/>
    <x v="128"/>
  </r>
  <r>
    <n v="575"/>
    <x v="220"/>
    <x v="236"/>
    <x v="162"/>
    <x v="3"/>
    <x v="1"/>
    <x v="3"/>
    <x v="1"/>
    <x v="22"/>
  </r>
  <r>
    <n v="576"/>
    <x v="220"/>
    <x v="122"/>
    <x v="72"/>
    <x v="3"/>
    <x v="1"/>
    <x v="3"/>
    <x v="1"/>
    <x v="79"/>
  </r>
  <r>
    <n v="577"/>
    <x v="221"/>
    <x v="221"/>
    <x v="35"/>
    <x v="3"/>
    <x v="1"/>
    <x v="3"/>
    <x v="1"/>
    <x v="140"/>
  </r>
  <r>
    <n v="578"/>
    <x v="222"/>
    <x v="198"/>
    <x v="25"/>
    <x v="3"/>
    <x v="1"/>
    <x v="3"/>
    <x v="1"/>
    <x v="128"/>
  </r>
  <r>
    <n v="579"/>
    <x v="223"/>
    <x v="198"/>
    <x v="25"/>
    <x v="3"/>
    <x v="1"/>
    <x v="3"/>
    <x v="1"/>
    <x v="128"/>
  </r>
  <r>
    <n v="580"/>
    <x v="224"/>
    <x v="237"/>
    <x v="163"/>
    <x v="3"/>
    <x v="1"/>
    <x v="3"/>
    <x v="1"/>
    <x v="150"/>
  </r>
  <r>
    <n v="581"/>
    <x v="225"/>
    <x v="238"/>
    <x v="57"/>
    <x v="3"/>
    <x v="1"/>
    <x v="3"/>
    <x v="1"/>
    <x v="151"/>
  </r>
  <r>
    <n v="582"/>
    <x v="225"/>
    <x v="239"/>
    <x v="164"/>
    <x v="3"/>
    <x v="1"/>
    <x v="3"/>
    <x v="1"/>
    <x v="152"/>
  </r>
  <r>
    <n v="583"/>
    <x v="225"/>
    <x v="240"/>
    <x v="82"/>
    <x v="3"/>
    <x v="1"/>
    <x v="3"/>
    <x v="1"/>
    <x v="153"/>
  </r>
  <r>
    <n v="584"/>
    <x v="225"/>
    <x v="241"/>
    <x v="165"/>
    <x v="3"/>
    <x v="1"/>
    <x v="3"/>
    <x v="1"/>
    <x v="57"/>
  </r>
  <r>
    <n v="585"/>
    <x v="225"/>
    <x v="242"/>
    <x v="166"/>
    <x v="3"/>
    <x v="1"/>
    <x v="3"/>
    <x v="1"/>
    <x v="154"/>
  </r>
  <r>
    <n v="586"/>
    <x v="226"/>
    <x v="0"/>
    <x v="156"/>
    <x v="0"/>
    <x v="0"/>
    <x v="3"/>
    <x v="1"/>
    <x v="0"/>
  </r>
  <r>
    <n v="587"/>
    <x v="226"/>
    <x v="243"/>
    <x v="167"/>
    <x v="0"/>
    <x v="0"/>
    <x v="3"/>
    <x v="1"/>
    <x v="155"/>
  </r>
  <r>
    <n v="588"/>
    <x v="226"/>
    <x v="142"/>
    <x v="33"/>
    <x v="3"/>
    <x v="1"/>
    <x v="3"/>
    <x v="1"/>
    <x v="3"/>
  </r>
  <r>
    <n v="589"/>
    <x v="226"/>
    <x v="128"/>
    <x v="97"/>
    <x v="3"/>
    <x v="1"/>
    <x v="3"/>
    <x v="1"/>
    <x v="4"/>
  </r>
  <r>
    <n v="590"/>
    <x v="226"/>
    <x v="244"/>
    <x v="69"/>
    <x v="3"/>
    <x v="1"/>
    <x v="3"/>
    <x v="1"/>
    <x v="156"/>
  </r>
  <r>
    <n v="591"/>
    <x v="226"/>
    <x v="245"/>
    <x v="50"/>
    <x v="3"/>
    <x v="1"/>
    <x v="3"/>
    <x v="1"/>
    <x v="157"/>
  </r>
  <r>
    <n v="592"/>
    <x v="226"/>
    <x v="246"/>
    <x v="168"/>
    <x v="3"/>
    <x v="1"/>
    <x v="3"/>
    <x v="1"/>
    <x v="158"/>
  </r>
  <r>
    <n v="593"/>
    <x v="227"/>
    <x v="30"/>
    <x v="15"/>
    <x v="3"/>
    <x v="1"/>
    <x v="3"/>
    <x v="1"/>
    <x v="25"/>
  </r>
  <r>
    <n v="594"/>
    <x v="227"/>
    <x v="51"/>
    <x v="46"/>
    <x v="3"/>
    <x v="1"/>
    <x v="3"/>
    <x v="1"/>
    <x v="42"/>
  </r>
  <r>
    <n v="595"/>
    <x v="227"/>
    <x v="52"/>
    <x v="35"/>
    <x v="3"/>
    <x v="1"/>
    <x v="3"/>
    <x v="1"/>
    <x v="43"/>
  </r>
  <r>
    <n v="596"/>
    <x v="227"/>
    <x v="27"/>
    <x v="56"/>
    <x v="3"/>
    <x v="1"/>
    <x v="3"/>
    <x v="1"/>
    <x v="26"/>
  </r>
  <r>
    <n v="597"/>
    <x v="227"/>
    <x v="90"/>
    <x v="169"/>
    <x v="3"/>
    <x v="1"/>
    <x v="3"/>
    <x v="1"/>
    <x v="64"/>
  </r>
  <r>
    <n v="598"/>
    <x v="227"/>
    <x v="247"/>
    <x v="170"/>
    <x v="3"/>
    <x v="1"/>
    <x v="3"/>
    <x v="1"/>
    <x v="159"/>
  </r>
  <r>
    <n v="599"/>
    <x v="227"/>
    <x v="0"/>
    <x v="159"/>
    <x v="0"/>
    <x v="0"/>
    <x v="3"/>
    <x v="1"/>
    <x v="0"/>
  </r>
  <r>
    <n v="600"/>
    <x v="227"/>
    <x v="145"/>
    <x v="157"/>
    <x v="1"/>
    <x v="0"/>
    <x v="3"/>
    <x v="1"/>
    <x v="94"/>
  </r>
  <r>
    <n v="601"/>
    <x v="228"/>
    <x v="153"/>
    <x v="118"/>
    <x v="3"/>
    <x v="1"/>
    <x v="3"/>
    <x v="1"/>
    <x v="100"/>
  </r>
  <r>
    <n v="602"/>
    <x v="228"/>
    <x v="248"/>
    <x v="171"/>
    <x v="3"/>
    <x v="1"/>
    <x v="3"/>
    <x v="1"/>
    <x v="67"/>
  </r>
  <r>
    <n v="603"/>
    <x v="228"/>
    <x v="249"/>
    <x v="82"/>
    <x v="3"/>
    <x v="1"/>
    <x v="3"/>
    <x v="1"/>
    <x v="160"/>
  </r>
  <r>
    <n v="604"/>
    <x v="228"/>
    <x v="161"/>
    <x v="85"/>
    <x v="3"/>
    <x v="1"/>
    <x v="3"/>
    <x v="1"/>
    <x v="104"/>
  </r>
  <r>
    <n v="605"/>
    <x v="228"/>
    <x v="30"/>
    <x v="172"/>
    <x v="3"/>
    <x v="1"/>
    <x v="3"/>
    <x v="1"/>
    <x v="25"/>
  </r>
  <r>
    <n v="606"/>
    <x v="228"/>
    <x v="250"/>
    <x v="57"/>
    <x v="3"/>
    <x v="1"/>
    <x v="3"/>
    <x v="1"/>
    <x v="161"/>
  </r>
  <r>
    <n v="607"/>
    <x v="228"/>
    <x v="251"/>
    <x v="173"/>
    <x v="3"/>
    <x v="1"/>
    <x v="3"/>
    <x v="1"/>
    <x v="162"/>
  </r>
  <r>
    <n v="608"/>
    <x v="229"/>
    <x v="252"/>
    <x v="174"/>
    <x v="3"/>
    <x v="1"/>
    <x v="3"/>
    <x v="1"/>
    <x v="163"/>
  </r>
  <r>
    <n v="609"/>
    <x v="230"/>
    <x v="63"/>
    <x v="165"/>
    <x v="3"/>
    <x v="1"/>
    <x v="3"/>
    <x v="1"/>
    <x v="50"/>
  </r>
  <r>
    <n v="610"/>
    <x v="231"/>
    <x v="51"/>
    <x v="11"/>
    <x v="3"/>
    <x v="1"/>
    <x v="3"/>
    <x v="1"/>
    <x v="42"/>
  </r>
  <r>
    <n v="611"/>
    <x v="231"/>
    <x v="52"/>
    <x v="35"/>
    <x v="3"/>
    <x v="1"/>
    <x v="3"/>
    <x v="1"/>
    <x v="43"/>
  </r>
  <r>
    <n v="612"/>
    <x v="231"/>
    <x v="27"/>
    <x v="175"/>
    <x v="3"/>
    <x v="1"/>
    <x v="3"/>
    <x v="1"/>
    <x v="26"/>
  </r>
  <r>
    <n v="613"/>
    <x v="231"/>
    <x v="145"/>
    <x v="176"/>
    <x v="1"/>
    <x v="0"/>
    <x v="3"/>
    <x v="1"/>
    <x v="94"/>
  </r>
  <r>
    <n v="614"/>
    <x v="231"/>
    <x v="161"/>
    <x v="177"/>
    <x v="3"/>
    <x v="1"/>
    <x v="3"/>
    <x v="1"/>
    <x v="104"/>
  </r>
  <r>
    <n v="615"/>
    <x v="231"/>
    <x v="253"/>
    <x v="178"/>
    <x v="3"/>
    <x v="1"/>
    <x v="3"/>
    <x v="1"/>
    <x v="164"/>
  </r>
  <r>
    <n v="616"/>
    <x v="231"/>
    <x v="254"/>
    <x v="179"/>
    <x v="3"/>
    <x v="1"/>
    <x v="3"/>
    <x v="1"/>
    <x v="165"/>
  </r>
  <r>
    <n v="617"/>
    <x v="231"/>
    <x v="255"/>
    <x v="180"/>
    <x v="3"/>
    <x v="1"/>
    <x v="3"/>
    <x v="1"/>
    <x v="166"/>
  </r>
  <r>
    <n v="618"/>
    <x v="231"/>
    <x v="256"/>
    <x v="181"/>
    <x v="3"/>
    <x v="1"/>
    <x v="3"/>
    <x v="1"/>
    <x v="167"/>
  </r>
  <r>
    <n v="619"/>
    <x v="231"/>
    <x v="67"/>
    <x v="121"/>
    <x v="3"/>
    <x v="1"/>
    <x v="3"/>
    <x v="1"/>
    <x v="53"/>
  </r>
  <r>
    <n v="620"/>
    <x v="231"/>
    <x v="257"/>
    <x v="182"/>
    <x v="3"/>
    <x v="1"/>
    <x v="3"/>
    <x v="1"/>
    <x v="168"/>
  </r>
  <r>
    <n v="621"/>
    <x v="232"/>
    <x v="258"/>
    <x v="183"/>
    <x v="3"/>
    <x v="1"/>
    <x v="3"/>
    <x v="1"/>
    <x v="169"/>
  </r>
  <r>
    <n v="622"/>
    <x v="232"/>
    <x v="88"/>
    <x v="184"/>
    <x v="3"/>
    <x v="1"/>
    <x v="3"/>
    <x v="1"/>
    <x v="22"/>
  </r>
  <r>
    <n v="623"/>
    <x v="233"/>
    <x v="259"/>
    <x v="173"/>
    <x v="3"/>
    <x v="1"/>
    <x v="3"/>
    <x v="1"/>
    <x v="170"/>
  </r>
  <r>
    <n v="624"/>
    <x v="234"/>
    <x v="23"/>
    <x v="185"/>
    <x v="3"/>
    <x v="1"/>
    <x v="4"/>
    <x v="2"/>
    <x v="22"/>
  </r>
  <r>
    <n v="625"/>
    <x v="235"/>
    <x v="52"/>
    <x v="15"/>
    <x v="3"/>
    <x v="1"/>
    <x v="4"/>
    <x v="2"/>
    <x v="43"/>
  </r>
  <r>
    <n v="626"/>
    <x v="236"/>
    <x v="142"/>
    <x v="29"/>
    <x v="3"/>
    <x v="1"/>
    <x v="4"/>
    <x v="2"/>
    <x v="3"/>
  </r>
  <r>
    <n v="627"/>
    <x v="236"/>
    <x v="128"/>
    <x v="92"/>
    <x v="3"/>
    <x v="1"/>
    <x v="4"/>
    <x v="2"/>
    <x v="4"/>
  </r>
  <r>
    <n v="628"/>
    <x v="237"/>
    <x v="260"/>
    <x v="43"/>
    <x v="3"/>
    <x v="1"/>
    <x v="4"/>
    <x v="2"/>
    <x v="25"/>
  </r>
  <r>
    <n v="629"/>
    <x v="237"/>
    <x v="26"/>
    <x v="8"/>
    <x v="3"/>
    <x v="1"/>
    <x v="4"/>
    <x v="2"/>
    <x v="25"/>
  </r>
  <r>
    <n v="630"/>
    <x v="237"/>
    <x v="91"/>
    <x v="26"/>
    <x v="3"/>
    <x v="1"/>
    <x v="4"/>
    <x v="2"/>
    <x v="65"/>
  </r>
  <r>
    <n v="631"/>
    <x v="237"/>
    <x v="90"/>
    <x v="186"/>
    <x v="3"/>
    <x v="1"/>
    <x v="4"/>
    <x v="2"/>
    <x v="64"/>
  </r>
  <r>
    <n v="632"/>
    <x v="237"/>
    <x v="261"/>
    <x v="187"/>
    <x v="3"/>
    <x v="1"/>
    <x v="4"/>
    <x v="2"/>
    <x v="171"/>
  </r>
  <r>
    <n v="633"/>
    <x v="237"/>
    <x v="262"/>
    <x v="79"/>
    <x v="3"/>
    <x v="1"/>
    <x v="4"/>
    <x v="2"/>
    <x v="25"/>
  </r>
  <r>
    <n v="634"/>
    <x v="237"/>
    <x v="263"/>
    <x v="57"/>
    <x v="3"/>
    <x v="1"/>
    <x v="4"/>
    <x v="2"/>
    <x v="25"/>
  </r>
  <r>
    <n v="635"/>
    <x v="238"/>
    <x v="260"/>
    <x v="43"/>
    <x v="3"/>
    <x v="1"/>
    <x v="4"/>
    <x v="2"/>
    <x v="25"/>
  </r>
  <r>
    <n v="636"/>
    <x v="238"/>
    <x v="27"/>
    <x v="188"/>
    <x v="3"/>
    <x v="1"/>
    <x v="4"/>
    <x v="2"/>
    <x v="26"/>
  </r>
  <r>
    <n v="637"/>
    <x v="238"/>
    <x v="30"/>
    <x v="42"/>
    <x v="3"/>
    <x v="1"/>
    <x v="4"/>
    <x v="2"/>
    <x v="25"/>
  </r>
  <r>
    <n v="638"/>
    <x v="238"/>
    <x v="145"/>
    <x v="189"/>
    <x v="1"/>
    <x v="0"/>
    <x v="4"/>
    <x v="2"/>
    <x v="94"/>
  </r>
  <r>
    <n v="639"/>
    <x v="238"/>
    <x v="264"/>
    <x v="190"/>
    <x v="3"/>
    <x v="1"/>
    <x v="4"/>
    <x v="2"/>
    <x v="172"/>
  </r>
  <r>
    <n v="640"/>
    <x v="238"/>
    <x v="26"/>
    <x v="46"/>
    <x v="3"/>
    <x v="1"/>
    <x v="4"/>
    <x v="2"/>
    <x v="25"/>
  </r>
  <r>
    <n v="641"/>
    <x v="238"/>
    <x v="265"/>
    <x v="43"/>
    <x v="3"/>
    <x v="1"/>
    <x v="4"/>
    <x v="2"/>
    <x v="25"/>
  </r>
  <r>
    <n v="642"/>
    <x v="239"/>
    <x v="266"/>
    <x v="8"/>
    <x v="3"/>
    <x v="1"/>
    <x v="4"/>
    <x v="2"/>
    <x v="25"/>
  </r>
  <r>
    <n v="643"/>
    <x v="239"/>
    <x v="143"/>
    <x v="36"/>
    <x v="3"/>
    <x v="1"/>
    <x v="4"/>
    <x v="2"/>
    <x v="25"/>
  </r>
  <r>
    <n v="644"/>
    <x v="239"/>
    <x v="27"/>
    <x v="191"/>
    <x v="3"/>
    <x v="1"/>
    <x v="4"/>
    <x v="2"/>
    <x v="26"/>
  </r>
  <r>
    <n v="645"/>
    <x v="239"/>
    <x v="111"/>
    <x v="28"/>
    <x v="3"/>
    <x v="1"/>
    <x v="4"/>
    <x v="2"/>
    <x v="25"/>
  </r>
  <r>
    <n v="646"/>
    <x v="239"/>
    <x v="30"/>
    <x v="26"/>
    <x v="3"/>
    <x v="1"/>
    <x v="4"/>
    <x v="2"/>
    <x v="25"/>
  </r>
  <r>
    <n v="647"/>
    <x v="239"/>
    <x v="256"/>
    <x v="192"/>
    <x v="3"/>
    <x v="1"/>
    <x v="4"/>
    <x v="2"/>
    <x v="167"/>
  </r>
  <r>
    <n v="648"/>
    <x v="239"/>
    <x v="248"/>
    <x v="34"/>
    <x v="3"/>
    <x v="1"/>
    <x v="4"/>
    <x v="2"/>
    <x v="67"/>
  </r>
  <r>
    <n v="649"/>
    <x v="239"/>
    <x v="209"/>
    <x v="193"/>
    <x v="3"/>
    <x v="1"/>
    <x v="4"/>
    <x v="2"/>
    <x v="134"/>
  </r>
  <r>
    <n v="650"/>
    <x v="239"/>
    <x v="46"/>
    <x v="36"/>
    <x v="3"/>
    <x v="1"/>
    <x v="4"/>
    <x v="2"/>
    <x v="25"/>
  </r>
  <r>
    <n v="651"/>
    <x v="239"/>
    <x v="61"/>
    <x v="11"/>
    <x v="3"/>
    <x v="1"/>
    <x v="4"/>
    <x v="2"/>
    <x v="25"/>
  </r>
  <r>
    <n v="652"/>
    <x v="239"/>
    <x v="70"/>
    <x v="17"/>
    <x v="3"/>
    <x v="1"/>
    <x v="4"/>
    <x v="2"/>
    <x v="56"/>
  </r>
  <r>
    <n v="653"/>
    <x v="240"/>
    <x v="0"/>
    <x v="194"/>
    <x v="0"/>
    <x v="0"/>
    <x v="4"/>
    <x v="2"/>
    <x v="0"/>
  </r>
  <r>
    <n v="654"/>
    <x v="241"/>
    <x v="266"/>
    <x v="31"/>
    <x v="3"/>
    <x v="1"/>
    <x v="4"/>
    <x v="2"/>
    <x v="25"/>
  </r>
  <r>
    <n v="655"/>
    <x v="241"/>
    <x v="44"/>
    <x v="11"/>
    <x v="3"/>
    <x v="1"/>
    <x v="4"/>
    <x v="2"/>
    <x v="37"/>
  </r>
  <r>
    <n v="656"/>
    <x v="241"/>
    <x v="52"/>
    <x v="11"/>
    <x v="3"/>
    <x v="1"/>
    <x v="4"/>
    <x v="2"/>
    <x v="43"/>
  </r>
  <r>
    <n v="657"/>
    <x v="241"/>
    <x v="93"/>
    <x v="36"/>
    <x v="3"/>
    <x v="1"/>
    <x v="4"/>
    <x v="2"/>
    <x v="25"/>
  </r>
  <r>
    <n v="658"/>
    <x v="241"/>
    <x v="27"/>
    <x v="36"/>
    <x v="3"/>
    <x v="1"/>
    <x v="4"/>
    <x v="2"/>
    <x v="26"/>
  </r>
  <r>
    <n v="659"/>
    <x v="241"/>
    <x v="30"/>
    <x v="42"/>
    <x v="3"/>
    <x v="1"/>
    <x v="4"/>
    <x v="2"/>
    <x v="25"/>
  </r>
  <r>
    <n v="660"/>
    <x v="241"/>
    <x v="267"/>
    <x v="162"/>
    <x v="3"/>
    <x v="1"/>
    <x v="4"/>
    <x v="2"/>
    <x v="173"/>
  </r>
  <r>
    <n v="661"/>
    <x v="241"/>
    <x v="161"/>
    <x v="11"/>
    <x v="3"/>
    <x v="1"/>
    <x v="4"/>
    <x v="2"/>
    <x v="104"/>
  </r>
  <r>
    <n v="662"/>
    <x v="241"/>
    <x v="26"/>
    <x v="46"/>
    <x v="3"/>
    <x v="1"/>
    <x v="4"/>
    <x v="2"/>
    <x v="25"/>
  </r>
  <r>
    <n v="663"/>
    <x v="241"/>
    <x v="52"/>
    <x v="15"/>
    <x v="3"/>
    <x v="1"/>
    <x v="4"/>
    <x v="2"/>
    <x v="43"/>
  </r>
  <r>
    <n v="664"/>
    <x v="241"/>
    <x v="162"/>
    <x v="36"/>
    <x v="3"/>
    <x v="1"/>
    <x v="4"/>
    <x v="2"/>
    <x v="25"/>
  </r>
  <r>
    <n v="665"/>
    <x v="241"/>
    <x v="61"/>
    <x v="50"/>
    <x v="3"/>
    <x v="1"/>
    <x v="4"/>
    <x v="2"/>
    <x v="25"/>
  </r>
  <r>
    <n v="666"/>
    <x v="242"/>
    <x v="260"/>
    <x v="17"/>
    <x v="3"/>
    <x v="1"/>
    <x v="4"/>
    <x v="2"/>
    <x v="25"/>
  </r>
  <r>
    <n v="667"/>
    <x v="242"/>
    <x v="27"/>
    <x v="61"/>
    <x v="3"/>
    <x v="1"/>
    <x v="4"/>
    <x v="2"/>
    <x v="26"/>
  </r>
  <r>
    <n v="668"/>
    <x v="242"/>
    <x v="268"/>
    <x v="73"/>
    <x v="3"/>
    <x v="1"/>
    <x v="4"/>
    <x v="2"/>
    <x v="174"/>
  </r>
  <r>
    <n v="669"/>
    <x v="242"/>
    <x v="269"/>
    <x v="195"/>
    <x v="3"/>
    <x v="1"/>
    <x v="4"/>
    <x v="2"/>
    <x v="175"/>
  </r>
  <r>
    <n v="670"/>
    <x v="242"/>
    <x v="270"/>
    <x v="11"/>
    <x v="3"/>
    <x v="1"/>
    <x v="4"/>
    <x v="2"/>
    <x v="176"/>
  </r>
  <r>
    <n v="671"/>
    <x v="243"/>
    <x v="0"/>
    <x v="149"/>
    <x v="0"/>
    <x v="0"/>
    <x v="4"/>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0">
  <r>
    <n v="1"/>
    <x v="0"/>
    <s v="サラリー"/>
    <n v="17732"/>
    <x v="0"/>
    <s v="Bank"/>
    <n v="9"/>
    <n v="2023"/>
    <s v="salary"/>
  </r>
  <r>
    <n v="2"/>
    <x v="1"/>
    <s v="サラリー"/>
    <n v="12754"/>
    <x v="0"/>
    <s v="Bank"/>
    <n v="10"/>
    <n v="2023"/>
    <s v="salary"/>
  </r>
  <r>
    <n v="3"/>
    <x v="2"/>
    <s v="bank withdraw "/>
    <n v="26142"/>
    <x v="1"/>
    <s v="Bank"/>
    <n v="10"/>
    <n v="2023"/>
    <s v="bank withdraw "/>
  </r>
  <r>
    <n v="4"/>
    <x v="2"/>
    <s v="stash deposit"/>
    <n v="26142"/>
    <x v="2"/>
    <s v="Stash"/>
    <n v="10"/>
    <n v="2023"/>
    <s v="stash deposit"/>
  </r>
  <r>
    <n v="5"/>
    <x v="3"/>
    <s v="サラリー"/>
    <n v="12834"/>
    <x v="0"/>
    <s v="Bank"/>
    <n v="10"/>
    <n v="2023"/>
    <s v="salary"/>
  </r>
  <r>
    <n v="6"/>
    <x v="4"/>
    <s v="Monthly gasoline (oct)"/>
    <n v="2550"/>
    <x v="3"/>
    <s v="Stash"/>
    <n v="11"/>
    <n v="2023"/>
    <s v="Gasolina"/>
  </r>
  <r>
    <n v="7"/>
    <x v="4"/>
    <s v="Balay (Oct)"/>
    <n v="5000"/>
    <x v="3"/>
    <s v="Stash"/>
    <n v="11"/>
    <n v="2023"/>
    <s v="balay"/>
  </r>
  <r>
    <n v="8"/>
    <x v="4"/>
    <s v="Tahong harvest"/>
    <n v="12560"/>
    <x v="0"/>
    <s v="Stash"/>
    <n v="11"/>
    <n v="2023"/>
    <s v="Tahong harvest"/>
  </r>
  <r>
    <n v="9"/>
    <x v="4"/>
    <s v="pansit canton"/>
    <n v="56"/>
    <x v="3"/>
    <s v="Stash"/>
    <n v="11"/>
    <n v="2023"/>
    <s v="pansit canton"/>
  </r>
  <r>
    <n v="10"/>
    <x v="4"/>
    <s v="monay"/>
    <n v="30"/>
    <x v="3"/>
    <s v="Stash"/>
    <n v="11"/>
    <n v="2023"/>
    <s v="Monay (1 putos)"/>
  </r>
  <r>
    <n v="11"/>
    <x v="4"/>
    <s v="Gcash cash-in"/>
    <n v="2010"/>
    <x v="1"/>
    <s v="Stash"/>
    <n v="11"/>
    <n v="2023"/>
    <s v="Gcash cash-in"/>
  </r>
  <r>
    <n v="12"/>
    <x v="4"/>
    <s v="Gcash cash-in"/>
    <n v="2010"/>
    <x v="2"/>
    <s v="G-cash"/>
    <n v="11"/>
    <n v="2023"/>
    <s v="Gcash cash-in"/>
  </r>
  <r>
    <n v="13"/>
    <x v="4"/>
    <s v="Ink"/>
    <n v="1000"/>
    <x v="3"/>
    <s v="Stash"/>
    <n v="11"/>
    <n v="2023"/>
    <s v="Ink"/>
  </r>
  <r>
    <n v="14"/>
    <x v="5"/>
    <s v="Oishi"/>
    <n v="20"/>
    <x v="3"/>
    <s v="Stash"/>
    <n v="11"/>
    <n v="2023"/>
    <s v="Oishi"/>
  </r>
  <r>
    <n v="15"/>
    <x v="5"/>
    <s v="Spotify"/>
    <n v="194"/>
    <x v="3"/>
    <s v="G-cash"/>
    <n v="11"/>
    <n v="2023"/>
    <s v="Spotify"/>
  </r>
  <r>
    <n v="16"/>
    <x v="6"/>
    <s v="Monay (1 putos)"/>
    <n v="30"/>
    <x v="3"/>
    <s v="Stash"/>
    <n v="11"/>
    <n v="2023"/>
    <s v="Monay (1 putos)"/>
  </r>
  <r>
    <n v="17"/>
    <x v="6"/>
    <s v="Century Tuna"/>
    <n v="43"/>
    <x v="3"/>
    <s v="Stash"/>
    <n v="11"/>
    <n v="2023"/>
    <s v="Century Tuna"/>
  </r>
  <r>
    <n v="18"/>
    <x v="7"/>
    <s v="Tatoos"/>
    <n v="12"/>
    <x v="3"/>
    <s v="Stash"/>
    <n v="11"/>
    <n v="2023"/>
    <s v="Tatoos"/>
  </r>
  <r>
    <n v="19"/>
    <x v="7"/>
    <s v="Supa"/>
    <n v="25"/>
    <x v="3"/>
    <s v="G-cash"/>
    <n v="11"/>
    <n v="2023"/>
    <s v="Supa"/>
  </r>
  <r>
    <n v="20"/>
    <x v="7"/>
    <s v="Supa"/>
    <n v="125"/>
    <x v="3"/>
    <s v="G-cash"/>
    <n v="11"/>
    <n v="2023"/>
    <s v="Supa"/>
  </r>
  <r>
    <n v="21"/>
    <x v="8"/>
    <s v="Mineral water"/>
    <n v="25"/>
    <x v="3"/>
    <s v="Stash"/>
    <n v="11"/>
    <n v="2023"/>
    <s v="Mineral water"/>
  </r>
  <r>
    <n v="22"/>
    <x v="9"/>
    <s v="Supa"/>
    <n v="125"/>
    <x v="3"/>
    <s v="G-cash"/>
    <n v="11"/>
    <n v="2023"/>
    <s v="Supa"/>
  </r>
  <r>
    <n v="23"/>
    <x v="10"/>
    <s v="Mineral water"/>
    <n v="25"/>
    <x v="3"/>
    <s v="Stash"/>
    <n v="11"/>
    <n v="2023"/>
    <s v="Mineral water"/>
  </r>
  <r>
    <n v="24"/>
    <x v="11"/>
    <s v="Mang Juan"/>
    <n v="12"/>
    <x v="3"/>
    <s v="Stash"/>
    <n v="11"/>
    <n v="2023"/>
    <s v="Mang Juan"/>
  </r>
  <r>
    <n v="25"/>
    <x v="11"/>
    <s v="Mineral water"/>
    <n v="25"/>
    <x v="3"/>
    <s v="Stash"/>
    <n v="11"/>
    <n v="2023"/>
    <s v="Mineral water"/>
  </r>
  <r>
    <n v="26"/>
    <x v="12"/>
    <s v="Bayad referee "/>
    <n v="300"/>
    <x v="3"/>
    <s v="Stash"/>
    <n v="11"/>
    <n v="2023"/>
    <s v="Bayad referee "/>
  </r>
  <r>
    <n v="27"/>
    <x v="12"/>
    <s v="chalk"/>
    <n v="20"/>
    <x v="3"/>
    <s v="Stash"/>
    <n v="11"/>
    <n v="2023"/>
    <s v="chalk"/>
  </r>
  <r>
    <n v="28"/>
    <x v="12"/>
    <s v="Income (with bonus?)"/>
    <n v="44732"/>
    <x v="0"/>
    <s v="Bank"/>
    <n v="11"/>
    <n v="2023"/>
    <s v="Income (with bonus?)"/>
  </r>
  <r>
    <n v="29"/>
    <x v="10"/>
    <s v="Monay (1 putos)"/>
    <n v="30"/>
    <x v="3"/>
    <s v="Stash"/>
    <n v="11"/>
    <n v="2023"/>
    <s v="Monay (1 putos)"/>
  </r>
  <r>
    <n v="30"/>
    <x v="13"/>
    <s v="YT Membership"/>
    <n v="129"/>
    <x v="3"/>
    <s v="G-cash"/>
    <n v="11"/>
    <n v="2023"/>
    <s v="YT Membership"/>
  </r>
  <r>
    <n v="31"/>
    <x v="13"/>
    <s v="Genshin Welkin"/>
    <n v="280"/>
    <x v="3"/>
    <s v="G-cash"/>
    <n v="11"/>
    <n v="2023"/>
    <s v="Genshin Welkin"/>
  </r>
  <r>
    <n v="32"/>
    <x v="14"/>
    <s v="Supa"/>
    <n v="125"/>
    <x v="3"/>
    <s v="G-cash"/>
    <n v="11"/>
    <n v="2023"/>
    <s v="Supa"/>
  </r>
  <r>
    <n v="33"/>
    <x v="15"/>
    <s v="サラリー"/>
    <n v="12734"/>
    <x v="0"/>
    <s v="Bank"/>
    <n v="11"/>
    <n v="2023"/>
    <s v="salary"/>
  </r>
  <r>
    <n v="34"/>
    <x v="16"/>
    <s v="Supa"/>
    <n v="125"/>
    <x v="3"/>
    <s v="G-cash"/>
    <n v="12"/>
    <n v="2023"/>
    <s v="Supa"/>
  </r>
  <r>
    <n v="35"/>
    <x v="17"/>
    <s v="kape"/>
    <n v="265"/>
    <x v="3"/>
    <s v="Stash"/>
    <n v="12"/>
    <n v="2023"/>
    <s v="Kape"/>
  </r>
  <r>
    <n v="36"/>
    <x v="18"/>
    <s v="bioderm"/>
    <n v="25"/>
    <x v="3"/>
    <s v="Stash"/>
    <n v="12"/>
    <n v="2023"/>
    <s v="Bioderm"/>
  </r>
  <r>
    <n v="37"/>
    <x v="18"/>
    <s v="Ebo Sweldo"/>
    <n v="1500"/>
    <x v="3"/>
    <s v="Stash"/>
    <n v="12"/>
    <n v="2023"/>
    <s v="Ebo Sweldo"/>
  </r>
  <r>
    <n v="38"/>
    <x v="19"/>
    <s v="Spotify"/>
    <n v="239"/>
    <x v="3"/>
    <s v="G-cash"/>
    <n v="12"/>
    <n v="2023"/>
    <s v="Spotify"/>
  </r>
  <r>
    <n v="39"/>
    <x v="20"/>
    <s v="Mineral water"/>
    <n v="25"/>
    <x v="3"/>
    <s v="Stash"/>
    <n v="12"/>
    <n v="2023"/>
    <s v="Mineral water"/>
  </r>
  <r>
    <n v="40"/>
    <x v="21"/>
    <s v="Supa"/>
    <n v="125"/>
    <x v="3"/>
    <s v="G-cash"/>
    <n v="12"/>
    <n v="2023"/>
    <s v="Supa"/>
  </r>
  <r>
    <n v="41"/>
    <x v="22"/>
    <s v="Pasahe"/>
    <n v="30"/>
    <x v="3"/>
    <s v="Stash"/>
    <n v="12"/>
    <n v="2023"/>
    <s v="Pamasahe"/>
  </r>
  <r>
    <n v="42"/>
    <x v="22"/>
    <s v="Pamahaw"/>
    <n v="45"/>
    <x v="3"/>
    <s v="Stash"/>
    <n v="12"/>
    <n v="2023"/>
    <s v="Pamahaw"/>
  </r>
  <r>
    <n v="43"/>
    <x v="22"/>
    <s v="Mineral water"/>
    <n v="30"/>
    <x v="3"/>
    <s v="Stash"/>
    <n v="12"/>
    <n v="2023"/>
    <s v="Mineral water"/>
  </r>
  <r>
    <n v="44"/>
    <x v="22"/>
    <s v="Choco-choco"/>
    <n v="20"/>
    <x v="3"/>
    <s v="Stash"/>
    <n v="12"/>
    <n v="2023"/>
    <s v="Choco-choco"/>
  </r>
  <r>
    <n v="45"/>
    <x v="22"/>
    <s v="Star bread"/>
    <n v="40"/>
    <x v="3"/>
    <s v="Stash"/>
    <n v="12"/>
    <n v="2023"/>
    <s v="Star bread"/>
  </r>
  <r>
    <n v="46"/>
    <x v="22"/>
    <s v="Pamasahe"/>
    <n v="90"/>
    <x v="3"/>
    <s v="Stash"/>
    <n v="12"/>
    <n v="2023"/>
    <s v="Pamasahe"/>
  </r>
  <r>
    <n v="47"/>
    <x v="22"/>
    <s v="Noodles beef"/>
    <n v="13"/>
    <x v="3"/>
    <s v="Stash"/>
    <n v="12"/>
    <n v="2023"/>
    <s v="Noodles beef"/>
  </r>
  <r>
    <n v="48"/>
    <x v="23"/>
    <s v="balay (nov)"/>
    <n v="5000"/>
    <x v="3"/>
    <s v="Stash"/>
    <n v="12"/>
    <n v="2023"/>
    <s v="balay"/>
  </r>
  <r>
    <n v="49"/>
    <x v="23"/>
    <s v="Gasolina (nov)"/>
    <n v="2100"/>
    <x v="3"/>
    <s v="Stash"/>
    <n v="12"/>
    <n v="2023"/>
    <s v="Gasolina"/>
  </r>
  <r>
    <n v="50"/>
    <x v="24"/>
    <s v="Bioderm"/>
    <n v="25"/>
    <x v="3"/>
    <s v="Stash"/>
    <n v="12"/>
    <n v="2023"/>
    <s v="Bioderm"/>
  </r>
  <r>
    <n v="51"/>
    <x v="24"/>
    <s v="Mineral water"/>
    <n v="30"/>
    <x v="3"/>
    <s v="Stash"/>
    <n v="12"/>
    <n v="2023"/>
    <s v="Mineral water"/>
  </r>
  <r>
    <n v="52"/>
    <x v="24"/>
    <s v="Aragmot (chrsPty_simba)"/>
    <n v="544"/>
    <x v="3"/>
    <s v="Stash"/>
    <n v="12"/>
    <n v="2023"/>
    <s v="aragmot"/>
  </r>
  <r>
    <n v="53"/>
    <x v="25"/>
    <s v="Family day price"/>
    <n v="50"/>
    <x v="3"/>
    <s v="Stash"/>
    <n v="12"/>
    <n v="2023"/>
    <s v="Family day price"/>
  </r>
  <r>
    <n v="54"/>
    <x v="25"/>
    <s v="Mineral water"/>
    <n v="20"/>
    <x v="3"/>
    <s v="Stash"/>
    <n v="12"/>
    <n v="2023"/>
    <s v="Mineral water"/>
  </r>
  <r>
    <n v="55"/>
    <x v="26"/>
    <s v="サラリー"/>
    <n v="12732"/>
    <x v="0"/>
    <s v="Bank"/>
    <n v="12"/>
    <n v="2023"/>
    <s v="salary"/>
  </r>
  <r>
    <n v="56"/>
    <x v="26"/>
    <s v="Gcash cash-in"/>
    <n v="3000"/>
    <x v="1"/>
    <s v="G-cash"/>
    <n v="12"/>
    <n v="2023"/>
    <s v="Gcash cash-in"/>
  </r>
  <r>
    <n v="57"/>
    <x v="26"/>
    <s v="Gcash cash-in"/>
    <n v="3000"/>
    <x v="2"/>
    <s v="G-cash"/>
    <n v="12"/>
    <n v="2023"/>
    <s v="Gcash cash-in"/>
  </r>
  <r>
    <n v="58"/>
    <x v="26"/>
    <s v="wifi load (magic data)"/>
    <n v="599"/>
    <x v="3"/>
    <s v="G-cash"/>
    <n v="12"/>
    <n v="2023"/>
    <s v="wifi load (magic data)"/>
  </r>
  <r>
    <n v="59"/>
    <x v="27"/>
    <s v="pamasahe (lamingao - villa)"/>
    <n v="30"/>
    <x v="3"/>
    <s v="Stash"/>
    <n v="12"/>
    <n v="2023"/>
    <s v="Pamasahe"/>
  </r>
  <r>
    <n v="60"/>
    <x v="27"/>
    <s v="pamasahe (pantalan - sakayan)"/>
    <n v="15"/>
    <x v="3"/>
    <s v="Stash"/>
    <n v="12"/>
    <n v="2023"/>
    <s v="Pamasahe"/>
  </r>
  <r>
    <n v="61"/>
    <x v="27"/>
    <s v="pamasahe (Villareal - Tacloban)"/>
    <n v="120"/>
    <x v="3"/>
    <s v="Stash"/>
    <n v="12"/>
    <n v="2023"/>
    <s v="Pamasahe"/>
  </r>
  <r>
    <n v="62"/>
    <x v="27"/>
    <s v="pamahaw"/>
    <n v="142"/>
    <x v="3"/>
    <s v="Stash"/>
    <n v="12"/>
    <n v="2023"/>
    <s v="pamahaw"/>
  </r>
  <r>
    <n v="63"/>
    <x v="27"/>
    <s v="bank withdraw "/>
    <n v="19036"/>
    <x v="1"/>
    <s v="Bank"/>
    <n v="12"/>
    <n v="2023"/>
    <s v="bank withdraw "/>
  </r>
  <r>
    <n v="64"/>
    <x v="27"/>
    <s v="stash deposit"/>
    <n v="19000"/>
    <x v="2"/>
    <s v="Stash"/>
    <n v="12"/>
    <n v="2023"/>
    <s v="stash deposit"/>
  </r>
  <r>
    <n v="65"/>
    <x v="27"/>
    <s v="laptop upgrade labor"/>
    <n v="1500"/>
    <x v="3"/>
    <s v="Stash"/>
    <n v="12"/>
    <n v="2023"/>
    <s v="laptop upgrade labor"/>
  </r>
  <r>
    <n v="66"/>
    <x v="27"/>
    <s v="battery "/>
    <n v="3600"/>
    <x v="3"/>
    <s v="Stash"/>
    <n v="12"/>
    <n v="2023"/>
    <s v="battery "/>
  </r>
  <r>
    <n v="67"/>
    <x v="27"/>
    <s v="SSD"/>
    <n v="2900"/>
    <x v="3"/>
    <s v="Stash"/>
    <n v="12"/>
    <n v="2023"/>
    <s v="SSD"/>
  </r>
  <r>
    <n v="68"/>
    <x v="27"/>
    <s v="HDD enclosure "/>
    <n v="599"/>
    <x v="3"/>
    <s v="Stash"/>
    <n v="12"/>
    <n v="2023"/>
    <s v="HDD enclosure "/>
  </r>
  <r>
    <n v="69"/>
    <x v="27"/>
    <s v="tinapay"/>
    <n v="20"/>
    <x v="3"/>
    <s v="Stash"/>
    <n v="12"/>
    <n v="2023"/>
    <s v="tinapay"/>
  </r>
  <r>
    <n v="70"/>
    <x v="27"/>
    <s v="lubi shake"/>
    <n v="60"/>
    <x v="3"/>
    <s v="Stash"/>
    <n v="12"/>
    <n v="2023"/>
    <s v="lubi shake"/>
  </r>
  <r>
    <n v="71"/>
    <x v="27"/>
    <s v="pamasahe (tacloban - villa)"/>
    <n v="120"/>
    <x v="3"/>
    <s v="Stash"/>
    <n v="12"/>
    <n v="2023"/>
    <s v="Pamasahe"/>
  </r>
  <r>
    <n v="72"/>
    <x v="27"/>
    <s v="pamasahe (villareal - Lamingao)"/>
    <n v="150"/>
    <x v="3"/>
    <s v="Stash"/>
    <n v="12"/>
    <n v="2023"/>
    <s v="Pamasahe"/>
  </r>
  <r>
    <n v="73"/>
    <x v="28"/>
    <s v="bioderm"/>
    <n v="25"/>
    <x v="3"/>
    <s v="Stash"/>
    <n v="12"/>
    <n v="2023"/>
    <s v="Bioderm"/>
  </r>
  <r>
    <n v="74"/>
    <x v="28"/>
    <s v="wow ulam"/>
    <n v="30"/>
    <x v="3"/>
    <s v="Stash"/>
    <n v="12"/>
    <n v="2023"/>
    <s v="wow ulam"/>
  </r>
  <r>
    <n v="75"/>
    <x v="28"/>
    <s v="Genshin Welkin"/>
    <n v="280"/>
    <x v="3"/>
    <s v="G-cash"/>
    <n v="12"/>
    <n v="2023"/>
    <s v="Genshin Welkin"/>
  </r>
  <r>
    <n v="76"/>
    <x v="29"/>
    <s v="wifi load (family access)"/>
    <n v="199"/>
    <x v="3"/>
    <s v="G-cash"/>
    <n v="12"/>
    <n v="2023"/>
    <s v="wifi load (family access)"/>
  </r>
  <r>
    <n v="77"/>
    <x v="30"/>
    <s v="Steam (nirvanA Initiative)"/>
    <n v="768"/>
    <x v="3"/>
    <s v="G-cash"/>
    <n v="12"/>
    <n v="2023"/>
    <s v="steam"/>
  </r>
  <r>
    <n v="78"/>
    <x v="31"/>
    <s v="YT Membership"/>
    <n v="129"/>
    <x v="3"/>
    <s v="G-cash"/>
    <n v="12"/>
    <n v="2023"/>
    <s v="YT Membership"/>
  </r>
  <r>
    <n v="79"/>
    <x v="32"/>
    <s v="pamasahe (lamingao - villa)"/>
    <n v="30"/>
    <x v="3"/>
    <s v="Stash"/>
    <n v="12"/>
    <n v="2023"/>
    <s v="Pamasahe"/>
  </r>
  <r>
    <n v="80"/>
    <x v="32"/>
    <s v="pandesal"/>
    <n v="10"/>
    <x v="3"/>
    <s v="Stash"/>
    <n v="12"/>
    <n v="2023"/>
    <s v="pandesal"/>
  </r>
  <r>
    <n v="81"/>
    <x v="32"/>
    <s v="tubig"/>
    <n v="15"/>
    <x v="3"/>
    <s v="Stash"/>
    <n v="12"/>
    <n v="2023"/>
    <s v="tubig"/>
  </r>
  <r>
    <n v="82"/>
    <x v="32"/>
    <s v="pamasahe (villa - kasang-an)"/>
    <n v="50"/>
    <x v="3"/>
    <s v="Stash"/>
    <n v="12"/>
    <n v="2023"/>
    <s v="Pamasahe"/>
  </r>
  <r>
    <n v="83"/>
    <x v="32"/>
    <s v="utang sir caro"/>
    <n v="50"/>
    <x v="3"/>
    <s v="Stash"/>
    <n v="12"/>
    <n v="2023"/>
    <s v="utang sir caro"/>
  </r>
  <r>
    <n v="84"/>
    <x v="32"/>
    <s v="tubig"/>
    <n v="20"/>
    <x v="3"/>
    <s v="Stash"/>
    <n v="12"/>
    <n v="2023"/>
    <s v="tubig"/>
  </r>
  <r>
    <n v="85"/>
    <x v="32"/>
    <s v="fita"/>
    <n v="10"/>
    <x v="3"/>
    <s v="Stash"/>
    <n v="12"/>
    <n v="2023"/>
    <s v="fita"/>
  </r>
  <r>
    <n v="86"/>
    <x v="32"/>
    <s v="SRI"/>
    <n v="18000"/>
    <x v="0"/>
    <s v="Stash"/>
    <n v="12"/>
    <n v="2023"/>
    <s v="SRI"/>
  </r>
  <r>
    <n v="87"/>
    <x v="32"/>
    <s v="district t-shirt"/>
    <n v="600"/>
    <x v="3"/>
    <s v="Stash"/>
    <n v="12"/>
    <n v="2023"/>
    <s v="district t-shirt"/>
  </r>
  <r>
    <n v="88"/>
    <x v="32"/>
    <s v="pamasahe (kasang-an - villa"/>
    <n v="150"/>
    <x v="3"/>
    <s v="Stash"/>
    <n v="12"/>
    <n v="2023"/>
    <s v="Pamasahe"/>
  </r>
  <r>
    <n v="89"/>
    <x v="32"/>
    <s v="putok"/>
    <n v="20"/>
    <x v="3"/>
    <s v="Stash"/>
    <n v="12"/>
    <n v="2023"/>
    <s v="putok"/>
  </r>
  <r>
    <n v="90"/>
    <x v="32"/>
    <s v="tubig"/>
    <n v="15"/>
    <x v="3"/>
    <s v="Stash"/>
    <n v="12"/>
    <n v="2023"/>
    <s v="tubig"/>
  </r>
  <r>
    <n v="91"/>
    <x v="32"/>
    <s v="pamasahe (villa - pantalan)"/>
    <n v="15"/>
    <x v="3"/>
    <s v="Stash"/>
    <n v="12"/>
    <n v="2023"/>
    <s v="Pamasahe"/>
  </r>
  <r>
    <n v="92"/>
    <x v="32"/>
    <s v="pamasahe (villa - lamingao)"/>
    <n v="50"/>
    <x v="3"/>
    <s v="Stash"/>
    <n v="12"/>
    <n v="2023"/>
    <s v="Pamasahe"/>
  </r>
  <r>
    <n v="93"/>
    <x v="32"/>
    <s v="hatag kanda mama"/>
    <n v="3000"/>
    <x v="3"/>
    <s v="Stash"/>
    <n v="12"/>
    <n v="2023"/>
    <s v="hatag kanda mama"/>
  </r>
  <r>
    <n v="94"/>
    <x v="33"/>
    <s v="tuba"/>
    <n v="400"/>
    <x v="3"/>
    <s v="Stash"/>
    <n v="12"/>
    <n v="2023"/>
    <s v="tuba"/>
  </r>
  <r>
    <n v="95"/>
    <x v="33"/>
    <s v="pepsi"/>
    <n v="100"/>
    <x v="3"/>
    <s v="Stash"/>
    <n v="12"/>
    <n v="2023"/>
    <s v="pepsi"/>
  </r>
  <r>
    <n v="96"/>
    <x v="34"/>
    <s v="tuba"/>
    <n v="100"/>
    <x v="3"/>
    <s v="Stash"/>
    <n v="12"/>
    <n v="2023"/>
    <s v="tuba"/>
  </r>
  <r>
    <n v="97"/>
    <x v="35"/>
    <s v="wifi load (family access)"/>
    <n v="199"/>
    <x v="3"/>
    <s v="G-cash"/>
    <n v="12"/>
    <n v="2023"/>
    <s v="wifi load (family access)"/>
  </r>
  <r>
    <n v="98"/>
    <x v="36"/>
    <s v="pamasahe (lamingao - villa)"/>
    <n v="30"/>
    <x v="3"/>
    <s v="Stash"/>
    <n v="12"/>
    <n v="2023"/>
    <s v="Pamasahe"/>
  </r>
  <r>
    <n v="99"/>
    <x v="36"/>
    <s v="pamasahe (villa - tacloban)"/>
    <n v="120"/>
    <x v="3"/>
    <s v="Stash"/>
    <n v="12"/>
    <n v="2023"/>
    <s v="Pamasahe"/>
  </r>
  <r>
    <n v="100"/>
    <x v="36"/>
    <s v="medisina"/>
    <n v="1375"/>
    <x v="3"/>
    <s v="Stash"/>
    <n v="12"/>
    <n v="2023"/>
    <s v="medisina"/>
  </r>
  <r>
    <n v="101"/>
    <x v="36"/>
    <s v="pagkaon"/>
    <n v="157"/>
    <x v="3"/>
    <s v="Stash"/>
    <n v="12"/>
    <n v="2023"/>
    <s v="pagkaon"/>
  </r>
  <r>
    <n v="102"/>
    <x v="36"/>
    <s v="laptop keyboard"/>
    <n v="2600"/>
    <x v="3"/>
    <s v="Stash"/>
    <n v="12"/>
    <n v="2023"/>
    <s v="laptop keyboard"/>
  </r>
  <r>
    <n v="103"/>
    <x v="36"/>
    <s v="keyboard labor"/>
    <n v="500"/>
    <x v="3"/>
    <s v="Stash"/>
    <n v="12"/>
    <n v="2023"/>
    <s v="keyboard labor"/>
  </r>
  <r>
    <n v="104"/>
    <x v="36"/>
    <s v="shawarma"/>
    <n v="500"/>
    <x v="3"/>
    <s v="Stash"/>
    <n v="12"/>
    <n v="2023"/>
    <s v="shawarma"/>
  </r>
  <r>
    <n v="105"/>
    <x v="36"/>
    <s v="pamasahe (tacloban - villa)"/>
    <n v="120"/>
    <x v="3"/>
    <s v="Stash"/>
    <n v="12"/>
    <n v="2023"/>
    <s v="Pamasahe"/>
  </r>
  <r>
    <n v="106"/>
    <x v="36"/>
    <s v="サラリー"/>
    <n v="12733"/>
    <x v="0"/>
    <s v="Bank"/>
    <n v="12"/>
    <n v="2023"/>
    <s v="salary"/>
  </r>
  <r>
    <n v="107"/>
    <x v="37"/>
    <s v="coke 1.5 (2 pcs)"/>
    <n v="160"/>
    <x v="3"/>
    <s v="Stash"/>
    <n v="12"/>
    <n v="2023"/>
    <s v="soft drinks"/>
  </r>
  <r>
    <n v="108"/>
    <x v="38"/>
    <s v="irimnon"/>
    <n v="200"/>
    <x v="3"/>
    <s v="Stash"/>
    <n v="1"/>
    <n v="2024"/>
    <s v="irimnon"/>
  </r>
  <r>
    <n v="109"/>
    <x v="39"/>
    <s v="Gcash cash-in (aragmot kanda(ate angie, mam angel)"/>
    <n v="784"/>
    <x v="2"/>
    <s v="G-cash"/>
    <n v="1"/>
    <n v="2024"/>
    <s v="Gcash cash-in"/>
  </r>
  <r>
    <n v="110"/>
    <x v="40"/>
    <s v="Spotify"/>
    <n v="239"/>
    <x v="3"/>
    <s v="G-cash"/>
    <n v="1"/>
    <n v="2024"/>
    <s v="Spotify"/>
  </r>
  <r>
    <n v="111"/>
    <x v="41"/>
    <s v="Supa"/>
    <n v="125"/>
    <x v="3"/>
    <s v="G-cash"/>
    <n v="1"/>
    <n v="2024"/>
    <s v="Supa"/>
  </r>
  <r>
    <n v="112"/>
    <x v="41"/>
    <s v="Supa"/>
    <n v="50"/>
    <x v="3"/>
    <s v="G-cash"/>
    <n v="1"/>
    <n v="2024"/>
    <s v="Supa"/>
  </r>
  <r>
    <n v="113"/>
    <x v="41"/>
    <s v="Gcash cash-in (aragmot kan(mam jonna)"/>
    <n v="380"/>
    <x v="2"/>
    <s v="G-cash"/>
    <n v="1"/>
    <n v="2024"/>
    <s v="Gcash cash-in"/>
  </r>
  <r>
    <n v="114"/>
    <x v="41"/>
    <s v="Steam (Left 4 Dead 2)"/>
    <n v="34"/>
    <x v="3"/>
    <s v="G-cash"/>
    <n v="1"/>
    <n v="2024"/>
    <s v="steam"/>
  </r>
  <r>
    <n v="115"/>
    <x v="42"/>
    <s v="aragmot (trainer)"/>
    <n v="392"/>
    <x v="3"/>
    <s v="Stash"/>
    <n v="1"/>
    <n v="2024"/>
    <s v="aragmot"/>
  </r>
  <r>
    <n v="116"/>
    <x v="42"/>
    <s v="aragmot (trainer kanda(ate angie, mam angel, mam jonna))"/>
    <n v="1176"/>
    <x v="1"/>
    <s v="Stash"/>
    <n v="1"/>
    <n v="2024"/>
    <s v="aragmot"/>
  </r>
  <r>
    <n v="117"/>
    <x v="42"/>
    <s v="Supa"/>
    <n v="25"/>
    <x v="3"/>
    <s v="G-cash"/>
    <n v="1"/>
    <n v="2024"/>
    <s v="Supa"/>
  </r>
  <r>
    <n v="118"/>
    <x v="43"/>
    <s v="Supa"/>
    <n v="50"/>
    <x v="3"/>
    <s v="G-cash"/>
    <n v="1"/>
    <n v="2024"/>
    <s v="Supa"/>
  </r>
  <r>
    <n v="119"/>
    <x v="43"/>
    <s v="aragmot (festival trainer)"/>
    <n v="50"/>
    <x v="3"/>
    <s v="Stash"/>
    <n v="1"/>
    <n v="2024"/>
    <s v="aragmot"/>
  </r>
  <r>
    <n v="120"/>
    <x v="43"/>
    <s v="aragmot (misa sponsor)"/>
    <n v="123"/>
    <x v="3"/>
    <s v="Stash"/>
    <n v="1"/>
    <n v="2024"/>
    <s v="aragmot"/>
  </r>
  <r>
    <n v="121"/>
    <x v="43"/>
    <s v="aragmot (kan mam jonna)"/>
    <n v="173"/>
    <x v="2"/>
    <s v="G-cash"/>
    <n v="1"/>
    <n v="2024"/>
    <s v="aragmot"/>
  </r>
  <r>
    <n v="122"/>
    <x v="43"/>
    <s v="aragmot (kan mam jonna)"/>
    <n v="173"/>
    <x v="1"/>
    <s v="G-cash"/>
    <n v="1"/>
    <n v="2024"/>
    <s v="aragmot"/>
  </r>
  <r>
    <n v="123"/>
    <x v="44"/>
    <s v="black shoes"/>
    <n v="930"/>
    <x v="3"/>
    <s v="Stash"/>
    <n v="1"/>
    <n v="2024"/>
    <s v="black shoes"/>
  </r>
  <r>
    <n v="124"/>
    <x v="44"/>
    <s v="bluetooth speaker"/>
    <n v="1990"/>
    <x v="3"/>
    <s v="Stash"/>
    <n v="1"/>
    <n v="2024"/>
    <s v="bluetooth speaker"/>
  </r>
  <r>
    <n v="125"/>
    <x v="44"/>
    <s v="USB port extension"/>
    <n v="695"/>
    <x v="3"/>
    <s v="Stash"/>
    <n v="1"/>
    <n v="2024"/>
    <s v="USB port extension"/>
  </r>
  <r>
    <n v="126"/>
    <x v="44"/>
    <s v="crispy king paniudto"/>
    <n v="77"/>
    <x v="3"/>
    <s v="Stash"/>
    <n v="1"/>
    <n v="2024"/>
    <s v="crispy king paniudto"/>
  </r>
  <r>
    <n v="127"/>
    <x v="44"/>
    <s v="shawarma"/>
    <n v="300"/>
    <x v="3"/>
    <s v="Stash"/>
    <n v="1"/>
    <n v="2024"/>
    <s v="shawarma"/>
  </r>
  <r>
    <n v="128"/>
    <x v="44"/>
    <s v="pamasahe (catbalogan - pier 1)"/>
    <n v="10"/>
    <x v="3"/>
    <s v="Stash"/>
    <n v="1"/>
    <n v="2024"/>
    <s v="Pamasahe"/>
  </r>
  <r>
    <n v="129"/>
    <x v="44"/>
    <s v="pamasahe (lamingao - catbalogan x4)"/>
    <n v="600"/>
    <x v="3"/>
    <s v="Stash"/>
    <n v="1"/>
    <n v="2024"/>
    <s v="Pamasahe"/>
  </r>
  <r>
    <n v="130"/>
    <x v="44"/>
    <s v="Gasolina (dec)"/>
    <n v="1050"/>
    <x v="3"/>
    <s v="Stash"/>
    <n v="1"/>
    <n v="2024"/>
    <s v="Gasolina"/>
  </r>
  <r>
    <n v="131"/>
    <x v="44"/>
    <s v="Genshin Welkin"/>
    <n v="280"/>
    <x v="3"/>
    <s v="G-cash"/>
    <n v="1"/>
    <n v="2024"/>
    <s v="Genshin Welkin"/>
  </r>
  <r>
    <n v="132"/>
    <x v="45"/>
    <s v="Kape 2x"/>
    <n v="260"/>
    <x v="3"/>
    <s v="Stash"/>
    <n v="1"/>
    <n v="2024"/>
    <s v="Kape"/>
  </r>
  <r>
    <n v="133"/>
    <x v="45"/>
    <s v="サラリー"/>
    <n v="12732"/>
    <x v="0"/>
    <s v="Bank"/>
    <n v="1"/>
    <n v="2024"/>
    <s v="salary"/>
  </r>
  <r>
    <n v="134"/>
    <x v="46"/>
    <s v="Irimnon"/>
    <n v="300"/>
    <x v="3"/>
    <s v="Stash"/>
    <n v="1"/>
    <n v="2024"/>
    <s v="Irimnon"/>
  </r>
  <r>
    <n v="135"/>
    <x v="46"/>
    <s v="Supa"/>
    <n v="125"/>
    <x v="3"/>
    <s v="G-cash"/>
    <n v="1"/>
    <n v="2024"/>
    <s v="Supa"/>
  </r>
  <r>
    <n v="136"/>
    <x v="47"/>
    <s v="irimnon"/>
    <n v="200"/>
    <x v="3"/>
    <s v="Stash"/>
    <n v="1"/>
    <n v="2024"/>
    <s v="irimnon"/>
  </r>
  <r>
    <n v="137"/>
    <x v="48"/>
    <s v="Supa"/>
    <n v="125"/>
    <x v="3"/>
    <s v="G-cash"/>
    <n v="1"/>
    <n v="2024"/>
    <s v="Supa"/>
  </r>
  <r>
    <n v="138"/>
    <x v="49"/>
    <s v="Supa"/>
    <n v="125"/>
    <x v="3"/>
    <s v="G-cash"/>
    <n v="1"/>
    <n v="2024"/>
    <s v="Supa"/>
  </r>
  <r>
    <n v="139"/>
    <x v="50"/>
    <s v="Supa"/>
    <n v="125"/>
    <x v="3"/>
    <s v="G-cash"/>
    <n v="1"/>
    <n v="2024"/>
    <s v="Supa"/>
  </r>
  <r>
    <n v="140"/>
    <x v="51"/>
    <s v="Supa"/>
    <n v="125"/>
    <x v="3"/>
    <s v="G-cash"/>
    <n v="1"/>
    <n v="2024"/>
    <s v="Supa"/>
  </r>
  <r>
    <n v="141"/>
    <x v="52"/>
    <s v="YT Membership"/>
    <n v="129"/>
    <x v="3"/>
    <s v="G-cash"/>
    <n v="1"/>
    <n v="2024"/>
    <s v="YT Membership"/>
  </r>
  <r>
    <n v="142"/>
    <x v="52"/>
    <s v="tapar para kan sir Rugie"/>
    <n v="50"/>
    <x v="3"/>
    <s v="Stash"/>
    <n v="1"/>
    <n v="2024"/>
    <s v="tapar para kan sir Rugie"/>
  </r>
  <r>
    <n v="143"/>
    <x v="53"/>
    <s v="Supa"/>
    <n v="125"/>
    <x v="3"/>
    <s v="G-cash"/>
    <n v="1"/>
    <n v="2024"/>
    <s v="Supa"/>
  </r>
  <r>
    <n v="144"/>
    <x v="53"/>
    <s v="Supa"/>
    <n v="25"/>
    <x v="3"/>
    <s v="G-cash"/>
    <n v="1"/>
    <n v="2024"/>
    <s v="Supa"/>
  </r>
  <r>
    <n v="145"/>
    <x v="54"/>
    <s v="Supa"/>
    <n v="125"/>
    <x v="3"/>
    <s v="G-cash"/>
    <n v="1"/>
    <n v="2024"/>
    <s v="Supa"/>
  </r>
  <r>
    <n v="146"/>
    <x v="55"/>
    <s v="サラリー"/>
    <n v="12734"/>
    <x v="0"/>
    <s v="Bank"/>
    <n v="1"/>
    <n v="2024"/>
    <s v="salary"/>
  </r>
  <r>
    <n v="147"/>
    <x v="56"/>
    <s v="pamasahe (lamingao - villa)"/>
    <n v="30"/>
    <x v="3"/>
    <s v="Stash"/>
    <n v="1"/>
    <n v="2024"/>
    <s v="Pamasahe"/>
  </r>
  <r>
    <n v="148"/>
    <x v="56"/>
    <s v="pamahaw"/>
    <n v="45"/>
    <x v="3"/>
    <s v="Stash"/>
    <n v="1"/>
    <n v="2024"/>
    <s v="pamahaw"/>
  </r>
  <r>
    <n v="149"/>
    <x v="56"/>
    <s v="paniudto"/>
    <n v="85"/>
    <x v="3"/>
    <s v="Stash"/>
    <n v="1"/>
    <n v="2024"/>
    <s v="paniudto"/>
  </r>
  <r>
    <n v="150"/>
    <x v="56"/>
    <s v="snack"/>
    <n v="35"/>
    <x v="3"/>
    <s v="Stash"/>
    <n v="1"/>
    <n v="2024"/>
    <s v="snack"/>
  </r>
  <r>
    <n v="151"/>
    <x v="56"/>
    <s v="pamasahe (villa - lamingao)"/>
    <n v="30"/>
    <x v="3"/>
    <s v="Stash"/>
    <n v="1"/>
    <n v="2024"/>
    <s v="Pamasahe"/>
  </r>
  <r>
    <n v="152"/>
    <x v="57"/>
    <s v="pamasahe (lamingao - villa)"/>
    <n v="30"/>
    <x v="3"/>
    <s v="Stash"/>
    <n v="1"/>
    <n v="2024"/>
    <s v="Pamasahe"/>
  </r>
  <r>
    <n v="153"/>
    <x v="57"/>
    <s v="pamahaw"/>
    <n v="45"/>
    <x v="3"/>
    <s v="Stash"/>
    <n v="1"/>
    <n v="2024"/>
    <s v="pamahaw"/>
  </r>
  <r>
    <n v="154"/>
    <x v="57"/>
    <s v="pamasahe"/>
    <n v="15"/>
    <x v="3"/>
    <s v="Stash"/>
    <n v="1"/>
    <n v="2024"/>
    <s v="Pamasahe"/>
  </r>
  <r>
    <n v="155"/>
    <x v="57"/>
    <s v="paniudto"/>
    <n v="58"/>
    <x v="3"/>
    <s v="Stash"/>
    <n v="1"/>
    <n v="2024"/>
    <s v="paniudto"/>
  </r>
  <r>
    <n v="156"/>
    <x v="57"/>
    <s v="Mineral water"/>
    <n v="15"/>
    <x v="3"/>
    <s v="Stash"/>
    <n v="1"/>
    <n v="2024"/>
    <s v="Mineral water"/>
  </r>
  <r>
    <n v="157"/>
    <x v="57"/>
    <s v="snack"/>
    <n v="20"/>
    <x v="3"/>
    <s v="Stash"/>
    <n v="1"/>
    <n v="2024"/>
    <s v="snack"/>
  </r>
  <r>
    <n v="158"/>
    <x v="57"/>
    <s v="pamahase (villa - lamingao)"/>
    <n v="30"/>
    <x v="3"/>
    <s v="Stash"/>
    <n v="1"/>
    <n v="2024"/>
    <s v="Pamasahe"/>
  </r>
  <r>
    <n v="159"/>
    <x v="58"/>
    <s v="Mineral water"/>
    <n v="25"/>
    <x v="3"/>
    <s v="Stash"/>
    <n v="1"/>
    <n v="2024"/>
    <s v="Mineral water"/>
  </r>
  <r>
    <n v="160"/>
    <x v="58"/>
    <s v="Supa"/>
    <n v="125"/>
    <x v="3"/>
    <s v="G-cash"/>
    <n v="1"/>
    <n v="2024"/>
    <s v="Supa"/>
  </r>
  <r>
    <n v="161"/>
    <x v="59"/>
    <s v="Supa"/>
    <n v="125"/>
    <x v="3"/>
    <s v="G-cash"/>
    <n v="2"/>
    <n v="2024"/>
    <s v="Supa"/>
  </r>
  <r>
    <n v="162"/>
    <x v="59"/>
    <s v="wifi load (magic data)"/>
    <n v="599"/>
    <x v="3"/>
    <s v="G-cash"/>
    <n v="2"/>
    <n v="2024"/>
    <s v="wifi load (magic data)"/>
  </r>
  <r>
    <n v="163"/>
    <x v="59"/>
    <s v="Supa"/>
    <n v="50"/>
    <x v="3"/>
    <s v="G-cash"/>
    <n v="2"/>
    <n v="2024"/>
    <s v="Supa"/>
  </r>
  <r>
    <n v="164"/>
    <x v="59"/>
    <s v="Supa"/>
    <n v="50"/>
    <x v="3"/>
    <s v="G-cash"/>
    <n v="2"/>
    <n v="2024"/>
    <s v="Supa"/>
  </r>
  <r>
    <n v="165"/>
    <x v="60"/>
    <s v="pamasahe (lamingao - villa)"/>
    <n v="30"/>
    <x v="3"/>
    <s v="Stash"/>
    <n v="2"/>
    <n v="2024"/>
    <s v="Pamasahe"/>
  </r>
  <r>
    <n v="166"/>
    <x v="60"/>
    <s v="pamahaw"/>
    <n v="45"/>
    <x v="3"/>
    <s v="Stash"/>
    <n v="2"/>
    <n v="2024"/>
    <s v="pamahaw"/>
  </r>
  <r>
    <n v="167"/>
    <x v="60"/>
    <s v="pandesal"/>
    <n v="10"/>
    <x v="3"/>
    <s v="Stash"/>
    <n v="2"/>
    <n v="2024"/>
    <s v="pandesal"/>
  </r>
  <r>
    <n v="168"/>
    <x v="60"/>
    <s v="paniudto"/>
    <n v="40"/>
    <x v="3"/>
    <s v="Stash"/>
    <n v="2"/>
    <n v="2024"/>
    <s v="paniudto"/>
  </r>
  <r>
    <n v="169"/>
    <x v="60"/>
    <s v="pamasahe (villa - lamingao)"/>
    <n v="50"/>
    <x v="3"/>
    <s v="Stash"/>
    <n v="2"/>
    <n v="2024"/>
    <s v="Pamasahe"/>
  </r>
  <r>
    <n v="170"/>
    <x v="60"/>
    <s v="tuba"/>
    <n v="200"/>
    <x v="3"/>
    <s v="Stash"/>
    <n v="2"/>
    <n v="2024"/>
    <s v="tuba"/>
  </r>
  <r>
    <n v="171"/>
    <x v="61"/>
    <s v="Ebo Sweldo"/>
    <n v="1500"/>
    <x v="3"/>
    <s v="Stash"/>
    <n v="2"/>
    <n v="2024"/>
    <s v="Ebo Sweldo"/>
  </r>
  <r>
    <n v="172"/>
    <x v="62"/>
    <s v="pamasahe (lamingao - villa)"/>
    <n v="30"/>
    <x v="3"/>
    <s v="Stash"/>
    <n v="2"/>
    <n v="2024"/>
    <s v="Pamasahe"/>
  </r>
  <r>
    <n v="173"/>
    <x v="62"/>
    <s v="pamahaw"/>
    <n v="45"/>
    <x v="3"/>
    <s v="Stash"/>
    <n v="2"/>
    <n v="2024"/>
    <s v="pamahaw"/>
  </r>
  <r>
    <n v="174"/>
    <x v="62"/>
    <s v="pamasahe (villa - catbalogan)"/>
    <n v="120"/>
    <x v="3"/>
    <s v="Stash"/>
    <n v="2"/>
    <n v="2024"/>
    <s v="Pamasahe"/>
  </r>
  <r>
    <n v="175"/>
    <x v="62"/>
    <s v="bag sena"/>
    <n v="1099"/>
    <x v="3"/>
    <s v="Bank"/>
    <n v="2"/>
    <n v="2024"/>
    <s v="bag sena"/>
  </r>
  <r>
    <n v="176"/>
    <x v="62"/>
    <s v="boxer shorts walker"/>
    <n v="837"/>
    <x v="3"/>
    <s v="Bank"/>
    <n v="2"/>
    <n v="2024"/>
    <s v="boxer shorts"/>
  </r>
  <r>
    <n v="177"/>
    <x v="62"/>
    <s v="ID picture (michaela)"/>
    <n v="75"/>
    <x v="3"/>
    <s v="Stash"/>
    <n v="2"/>
    <n v="2024"/>
    <s v="ID picture"/>
  </r>
  <r>
    <n v="178"/>
    <x v="62"/>
    <s v="paste"/>
    <n v="25"/>
    <x v="3"/>
    <s v="Stash"/>
    <n v="2"/>
    <n v="2024"/>
    <s v="paste"/>
  </r>
  <r>
    <n v="179"/>
    <x v="62"/>
    <s v="photopaper"/>
    <n v="98"/>
    <x v="3"/>
    <s v="Stash"/>
    <n v="2"/>
    <n v="2024"/>
    <s v="photopaper"/>
  </r>
  <r>
    <n v="180"/>
    <x v="62"/>
    <s v="paniudto"/>
    <n v="85"/>
    <x v="3"/>
    <s v="Stash"/>
    <n v="2"/>
    <n v="2024"/>
    <s v="paniudto"/>
  </r>
  <r>
    <n v="181"/>
    <x v="62"/>
    <s v="bank withdraw "/>
    <n v="1500"/>
    <x v="1"/>
    <s v="Bank"/>
    <n v="2"/>
    <n v="2024"/>
    <s v="bank withdraw "/>
  </r>
  <r>
    <n v="182"/>
    <x v="62"/>
    <s v="bank withdraw "/>
    <n v="1500"/>
    <x v="2"/>
    <s v="Stash"/>
    <n v="2"/>
    <n v="2024"/>
    <s v="bank withdraw "/>
  </r>
  <r>
    <n v="183"/>
    <x v="62"/>
    <s v="shawarma"/>
    <n v="300"/>
    <x v="3"/>
    <s v="Stash"/>
    <n v="2"/>
    <n v="2024"/>
    <s v="shawarma"/>
  </r>
  <r>
    <n v="184"/>
    <x v="62"/>
    <s v="tsinelas"/>
    <n v="300"/>
    <x v="3"/>
    <s v="Stash"/>
    <n v="2"/>
    <n v="2024"/>
    <s v="tsinelas"/>
  </r>
  <r>
    <n v="185"/>
    <x v="62"/>
    <s v="medisina"/>
    <n v="348"/>
    <x v="3"/>
    <s v="Stash"/>
    <n v="2"/>
    <n v="2024"/>
    <s v="medisina"/>
  </r>
  <r>
    <n v="186"/>
    <x v="62"/>
    <s v="notaryo"/>
    <n v="200"/>
    <x v="3"/>
    <s v="Stash"/>
    <n v="2"/>
    <n v="2024"/>
    <s v="notaryo"/>
  </r>
  <r>
    <n v="187"/>
    <x v="62"/>
    <s v="pamasahe (catbalogan - terminal)"/>
    <n v="10"/>
    <x v="3"/>
    <s v="Stash"/>
    <n v="2"/>
    <n v="2024"/>
    <s v="Pamasahe"/>
  </r>
  <r>
    <n v="188"/>
    <x v="62"/>
    <s v="pamasahe (terminal - villa)"/>
    <n v="130"/>
    <x v="3"/>
    <s v="Stash"/>
    <n v="2"/>
    <n v="2024"/>
    <s v="Pamasahe"/>
  </r>
  <r>
    <n v="189"/>
    <x v="62"/>
    <s v="Gcash cash-in"/>
    <n v="3000"/>
    <x v="2"/>
    <s v="G-cash"/>
    <n v="2"/>
    <n v="2024"/>
    <s v="Gcash cash-in"/>
  </r>
  <r>
    <n v="190"/>
    <x v="62"/>
    <s v="Gcash cash-in"/>
    <n v="3000"/>
    <x v="1"/>
    <s v="Stash"/>
    <n v="2"/>
    <n v="2024"/>
    <s v="Gcash cash-in"/>
  </r>
  <r>
    <n v="191"/>
    <x v="62"/>
    <s v="Spotify"/>
    <n v="239"/>
    <x v="3"/>
    <s v="G-cash"/>
    <n v="2"/>
    <n v="2024"/>
    <s v="Spotify"/>
  </r>
  <r>
    <n v="192"/>
    <x v="63"/>
    <s v="Gasolina (jan)"/>
    <n v="2000"/>
    <x v="3"/>
    <s v="Stash"/>
    <n v="2"/>
    <n v="2024"/>
    <s v="Gasolina"/>
  </r>
  <r>
    <n v="193"/>
    <x v="63"/>
    <s v="balay (jan)"/>
    <n v="5000"/>
    <x v="3"/>
    <s v="Stash"/>
    <n v="2"/>
    <n v="2024"/>
    <s v="balay"/>
  </r>
  <r>
    <n v="194"/>
    <x v="63"/>
    <s v="wifi load (family access)"/>
    <n v="199"/>
    <x v="3"/>
    <s v="G-cash"/>
    <n v="2"/>
    <n v="2024"/>
    <s v="wifi load (family access)"/>
  </r>
  <r>
    <n v="195"/>
    <x v="63"/>
    <s v="Steam (Yakuza 0)"/>
    <n v="280"/>
    <x v="3"/>
    <s v="G-cash"/>
    <n v="2"/>
    <n v="2024"/>
    <s v="steam"/>
  </r>
  <r>
    <n v="196"/>
    <x v="63"/>
    <s v="wifi load (family access)"/>
    <n v="199"/>
    <x v="3"/>
    <s v="G-cash"/>
    <n v="2"/>
    <n v="2024"/>
    <s v="wifi load (family access)"/>
  </r>
  <r>
    <n v="197"/>
    <x v="64"/>
    <s v="Kape 2x"/>
    <n v="260"/>
    <x v="3"/>
    <s v="Stash"/>
    <n v="2"/>
    <n v="2024"/>
    <s v="Kape"/>
  </r>
  <r>
    <n v="198"/>
    <x v="65"/>
    <s v="bioderm"/>
    <n v="48"/>
    <x v="3"/>
    <s v="Stash"/>
    <n v="2"/>
    <n v="2024"/>
    <s v="Bioderm"/>
  </r>
  <r>
    <n v="199"/>
    <x v="66"/>
    <s v="pasahe (villa II - villa)"/>
    <n v="25"/>
    <x v="3"/>
    <s v="Stash"/>
    <n v="2"/>
    <n v="2024"/>
    <s v="Pamasahe"/>
  </r>
  <r>
    <n v="200"/>
    <x v="66"/>
    <s v="Earphone"/>
    <n v="180"/>
    <x v="3"/>
    <s v="Stash"/>
    <n v="2"/>
    <n v="2024"/>
    <s v="Earphone"/>
  </r>
  <r>
    <n v="201"/>
    <x v="66"/>
    <s v="snack"/>
    <n v="68"/>
    <x v="3"/>
    <s v="Stash"/>
    <n v="2"/>
    <n v="2024"/>
    <s v="snack"/>
  </r>
  <r>
    <n v="202"/>
    <x v="66"/>
    <s v="サラリー"/>
    <n v="12597"/>
    <x v="0"/>
    <s v="Bank"/>
    <n v="2"/>
    <n v="2024"/>
    <s v="salary"/>
  </r>
  <r>
    <n v="203"/>
    <x v="66"/>
    <s v="pansit canton"/>
    <n v="28"/>
    <x v="3"/>
    <s v="Bank"/>
    <n v="2"/>
    <n v="2024"/>
    <s v="pansit canton"/>
  </r>
  <r>
    <n v="204"/>
    <x v="66"/>
    <s v="Steam (vampire survivors)"/>
    <n v="144"/>
    <x v="3"/>
    <s v="G-cash"/>
    <n v="2"/>
    <n v="2024"/>
    <s v="steam"/>
  </r>
  <r>
    <n v="205"/>
    <x v="67"/>
    <s v="snack"/>
    <n v="50"/>
    <x v="3"/>
    <s v="Stash"/>
    <n v="2"/>
    <n v="2024"/>
    <s v="snack"/>
  </r>
  <r>
    <n v="206"/>
    <x v="67"/>
    <s v="wifi load (family access)"/>
    <n v="199"/>
    <x v="3"/>
    <s v="G-cash"/>
    <n v="2"/>
    <n v="2024"/>
    <s v="wifi load (family access)"/>
  </r>
  <r>
    <n v="207"/>
    <x v="67"/>
    <s v="Steam (overcooked 2)"/>
    <n v="199"/>
    <x v="3"/>
    <s v="G-cash"/>
    <n v="2"/>
    <n v="2024"/>
    <s v="steam"/>
  </r>
  <r>
    <n v="208"/>
    <x v="68"/>
    <s v="coke 1.5"/>
    <n v="90"/>
    <x v="3"/>
    <s v="Stash"/>
    <n v="2"/>
    <n v="2024"/>
    <s v="soft drinks"/>
  </r>
  <r>
    <n v="209"/>
    <x v="69"/>
    <s v="Genshin Welkin"/>
    <n v="280"/>
    <x v="3"/>
    <s v="G-cash"/>
    <n v="2"/>
    <n v="2024"/>
    <s v="Genshin Welkin"/>
  </r>
  <r>
    <n v="210"/>
    <x v="70"/>
    <s v="Supa"/>
    <n v="129"/>
    <x v="3"/>
    <s v="G-cash"/>
    <n v="2"/>
    <n v="2024"/>
    <s v="Supa"/>
  </r>
  <r>
    <n v="211"/>
    <x v="71"/>
    <s v="bioderm"/>
    <n v="48"/>
    <x v="3"/>
    <s v="Stash"/>
    <n v="2"/>
    <n v="2024"/>
    <s v="Bioderm"/>
  </r>
  <r>
    <n v="212"/>
    <x v="72"/>
    <s v="pamasahe (lamingao - villa)"/>
    <n v="30"/>
    <x v="3"/>
    <s v="Stash"/>
    <n v="2"/>
    <n v="2024"/>
    <s v="Pamasahe"/>
  </r>
  <r>
    <n v="213"/>
    <x v="72"/>
    <s v="pamahaw"/>
    <n v="45"/>
    <x v="3"/>
    <s v="Stash"/>
    <n v="2"/>
    <n v="2024"/>
    <s v="pamahaw"/>
  </r>
  <r>
    <n v="214"/>
    <x v="72"/>
    <s v="pamasahe (villa - tacloban)"/>
    <n v="130"/>
    <x v="3"/>
    <s v="Stash"/>
    <n v="2"/>
    <n v="2024"/>
    <s v="Pamasahe"/>
  </r>
  <r>
    <n v="215"/>
    <x v="72"/>
    <s v="pamasahe (terminal - downtown)"/>
    <n v="13"/>
    <x v="3"/>
    <s v="Stash"/>
    <n v="2"/>
    <n v="2024"/>
    <s v="Pamasahe"/>
  </r>
  <r>
    <n v="216"/>
    <x v="72"/>
    <s v="pamasahe (downtown - terminal)"/>
    <n v="13"/>
    <x v="3"/>
    <s v="Stash"/>
    <n v="2"/>
    <n v="2024"/>
    <s v="Pamasahe"/>
  </r>
  <r>
    <n v="217"/>
    <x v="72"/>
    <s v="paniudto"/>
    <n v="157"/>
    <x v="3"/>
    <s v="Stash"/>
    <n v="2"/>
    <n v="2024"/>
    <s v="paniudto"/>
  </r>
  <r>
    <n v="218"/>
    <x v="72"/>
    <s v="earpod"/>
    <n v="899"/>
    <x v="3"/>
    <s v="Stash"/>
    <n v="2"/>
    <n v="2024"/>
    <s v="earpod"/>
  </r>
  <r>
    <n v="219"/>
    <x v="72"/>
    <s v="pamasahe (tacloban - villa)"/>
    <n v="130"/>
    <x v="3"/>
    <s v="Stash"/>
    <n v="2"/>
    <n v="2024"/>
    <s v="Pamasahe"/>
  </r>
  <r>
    <n v="220"/>
    <x v="72"/>
    <s v="pamasahe (villa - lamingao)"/>
    <n v="100"/>
    <x v="3"/>
    <s v="Stash"/>
    <n v="2"/>
    <n v="2024"/>
    <s v="Pamasahe"/>
  </r>
  <r>
    <n v="221"/>
    <x v="73"/>
    <s v="さラリー"/>
    <n v="12598"/>
    <x v="0"/>
    <s v="Bank"/>
    <n v="2"/>
    <n v="2024"/>
    <s v="salary"/>
  </r>
  <r>
    <n v="222"/>
    <x v="74"/>
    <s v="coke"/>
    <n v="20"/>
    <x v="3"/>
    <s v="Stash"/>
    <n v="3"/>
    <n v="2024"/>
    <s v="soft drinks"/>
  </r>
  <r>
    <n v="223"/>
    <x v="74"/>
    <s v="Supa"/>
    <n v="125"/>
    <x v="3"/>
    <s v="G-cash"/>
    <n v="3"/>
    <n v="2024"/>
    <s v="Supa"/>
  </r>
  <r>
    <n v="224"/>
    <x v="75"/>
    <s v="Kape 2x"/>
    <n v="260"/>
    <x v="3"/>
    <s v="Stash"/>
    <n v="3"/>
    <n v="2024"/>
    <s v="Kape"/>
  </r>
  <r>
    <n v="225"/>
    <x v="75"/>
    <s v="Gasolina (feb 2024)"/>
    <n v="2560"/>
    <x v="3"/>
    <s v="Stash"/>
    <n v="3"/>
    <n v="2024"/>
    <s v="Gasolina"/>
  </r>
  <r>
    <n v="226"/>
    <x v="75"/>
    <s v="balay (feb 2024)"/>
    <n v="5000"/>
    <x v="3"/>
    <s v="Stash"/>
    <n v="3"/>
    <n v="2024"/>
    <s v="balay"/>
  </r>
  <r>
    <n v="227"/>
    <x v="75"/>
    <s v="Ebo Sweldo"/>
    <n v="1500"/>
    <x v="3"/>
    <s v="Stash"/>
    <n v="3"/>
    <n v="2024"/>
    <s v="Ebo Sweldo"/>
  </r>
  <r>
    <n v="228"/>
    <x v="75"/>
    <s v="Arot"/>
    <n v="30"/>
    <x v="3"/>
    <s v="Stash"/>
    <n v="3"/>
    <n v="2024"/>
    <s v="Arot"/>
  </r>
  <r>
    <n v="229"/>
    <x v="76"/>
    <s v="bioderm"/>
    <n v="48"/>
    <x v="3"/>
    <s v="Stash"/>
    <n v="3"/>
    <n v="2024"/>
    <s v="Bioderm"/>
  </r>
  <r>
    <n v="230"/>
    <x v="76"/>
    <s v="Supa"/>
    <n v="50"/>
    <x v="3"/>
    <s v="G-cash"/>
    <n v="3"/>
    <n v="2024"/>
    <s v="Supa"/>
  </r>
  <r>
    <n v="231"/>
    <x v="76"/>
    <s v="Supa"/>
    <n v="125"/>
    <x v="3"/>
    <s v="G-cash"/>
    <n v="3"/>
    <n v="2024"/>
    <s v="Supa"/>
  </r>
  <r>
    <n v="232"/>
    <x v="77"/>
    <s v="Spotify"/>
    <n v="239"/>
    <x v="3"/>
    <s v="G-cash"/>
    <n v="3"/>
    <n v="2024"/>
    <s v="Spotify"/>
  </r>
  <r>
    <n v="233"/>
    <x v="78"/>
    <s v="bank withdraw"/>
    <n v="19900"/>
    <x v="1"/>
    <s v="Bank"/>
    <n v="3"/>
    <n v="2024"/>
    <s v="bank withdraw"/>
  </r>
  <r>
    <n v="234"/>
    <x v="78"/>
    <s v="bank withdraw fee"/>
    <n v="36"/>
    <x v="3"/>
    <s v="Bank"/>
    <n v="3"/>
    <n v="2024"/>
    <s v="bank withdraw fee"/>
  </r>
  <r>
    <n v="235"/>
    <x v="78"/>
    <s v="ref (hulog)"/>
    <n v="7000"/>
    <x v="3"/>
    <s v="Stash"/>
    <n v="3"/>
    <n v="2024"/>
    <s v="ref (hulog)"/>
  </r>
  <r>
    <n v="236"/>
    <x v="79"/>
    <s v="さラリー"/>
    <n v="12579"/>
    <x v="0"/>
    <s v="Bank"/>
    <n v="3"/>
    <n v="2024"/>
    <s v="salary"/>
  </r>
  <r>
    <n v="237"/>
    <x v="79"/>
    <s v="wifi load (magic data)"/>
    <n v="599"/>
    <x v="3"/>
    <s v="G-cash"/>
    <n v="3"/>
    <n v="2024"/>
    <s v="wifi load (magic data)"/>
  </r>
  <r>
    <n v="238"/>
    <x v="80"/>
    <s v="Monay (1 putos)"/>
    <n v="30"/>
    <x v="3"/>
    <s v="Stash"/>
    <n v="3"/>
    <n v="2024"/>
    <s v="Monay (1 putos)"/>
  </r>
  <r>
    <n v="239"/>
    <x v="81"/>
    <s v="YT Membership"/>
    <n v="129"/>
    <x v="3"/>
    <s v="G-cash"/>
    <n v="3"/>
    <n v="2024"/>
    <s v="YT Membership"/>
  </r>
  <r>
    <n v="240"/>
    <x v="82"/>
    <s v="Gcash cash-in"/>
    <n v="3000"/>
    <x v="1"/>
    <s v="Stash"/>
    <n v="3"/>
    <n v="2024"/>
    <s v="Gcash cash-in"/>
  </r>
  <r>
    <n v="241"/>
    <x v="82"/>
    <s v="Gcash cash-in"/>
    <n v="3000"/>
    <x v="2"/>
    <s v="G-cash"/>
    <n v="3"/>
    <n v="2024"/>
    <s v="Gcash cash-in"/>
  </r>
  <r>
    <n v="242"/>
    <x v="82"/>
    <s v="Genshin Welkin"/>
    <n v="280"/>
    <x v="3"/>
    <s v="G-cash"/>
    <n v="3"/>
    <n v="2024"/>
    <s v="Genshin Welkin"/>
  </r>
  <r>
    <n v="243"/>
    <x v="83"/>
    <s v="ketchup"/>
    <n v="25"/>
    <x v="3"/>
    <s v="Stash"/>
    <n v="3"/>
    <n v="2024"/>
    <s v="ketchup"/>
  </r>
  <r>
    <n v="244"/>
    <x v="83"/>
    <s v="coke 1.5"/>
    <n v="90"/>
    <x v="3"/>
    <s v="Stash"/>
    <n v="3"/>
    <n v="2024"/>
    <s v="soft drinks"/>
  </r>
  <r>
    <n v="245"/>
    <x v="83"/>
    <s v="pansit canton"/>
    <n v="56"/>
    <x v="3"/>
    <s v="Stash"/>
    <n v="3"/>
    <n v="2024"/>
    <s v="pansit canton"/>
  </r>
  <r>
    <n v="246"/>
    <x v="83"/>
    <s v="さラリー"/>
    <n v="12616"/>
    <x v="0"/>
    <s v="Bank"/>
    <n v="3"/>
    <n v="2024"/>
    <s v="salary"/>
  </r>
  <r>
    <n v="247"/>
    <x v="83"/>
    <s v="wifi load (family access)"/>
    <n v="199"/>
    <x v="3"/>
    <s v="G-cash"/>
    <n v="3"/>
    <n v="2024"/>
    <s v="wifi load (family access)"/>
  </r>
  <r>
    <n v="248"/>
    <x v="84"/>
    <s v="inom"/>
    <n v="200"/>
    <x v="3"/>
    <s v="Stash"/>
    <n v="3"/>
    <n v="2024"/>
    <s v="inom"/>
  </r>
  <r>
    <n v="249"/>
    <x v="84"/>
    <s v="panilot"/>
    <n v="50"/>
    <x v="3"/>
    <s v="Stash"/>
    <n v="3"/>
    <n v="2024"/>
    <s v="panilot"/>
  </r>
  <r>
    <n v="250"/>
    <x v="85"/>
    <s v="sabon powder"/>
    <n v="8"/>
    <x v="3"/>
    <s v="Stash"/>
    <n v="3"/>
    <n v="2024"/>
    <s v="sabon panlaba"/>
  </r>
  <r>
    <n v="251"/>
    <x v="85"/>
    <s v="kape"/>
    <n v="130"/>
    <x v="3"/>
    <s v="Stash"/>
    <n v="3"/>
    <n v="2024"/>
    <s v="Kape"/>
  </r>
  <r>
    <n v="252"/>
    <x v="86"/>
    <s v="Ebo Sweldo"/>
    <n v="1500"/>
    <x v="3"/>
    <s v="Stash"/>
    <n v="4"/>
    <n v="2024"/>
    <s v="Ebo Sweldo"/>
  </r>
  <r>
    <n v="253"/>
    <x v="86"/>
    <s v="Supa"/>
    <n v="50"/>
    <x v="3"/>
    <s v="G-cash"/>
    <n v="4"/>
    <n v="2024"/>
    <s v="Supa"/>
  </r>
  <r>
    <n v="254"/>
    <x v="87"/>
    <s v="Supa"/>
    <n v="125"/>
    <x v="3"/>
    <s v="G-cash"/>
    <n v="4"/>
    <n v="2024"/>
    <s v="Supa"/>
  </r>
  <r>
    <n v="255"/>
    <x v="87"/>
    <s v="halo-halo (4x)"/>
    <n v="40"/>
    <x v="3"/>
    <s v="Stash"/>
    <n v="4"/>
    <n v="2024"/>
    <s v="halo-halo (4x)"/>
  </r>
  <r>
    <n v="256"/>
    <x v="88"/>
    <s v="Spotify"/>
    <n v="239"/>
    <x v="3"/>
    <s v="G-cash"/>
    <n v="4"/>
    <n v="2024"/>
    <s v="Spotify"/>
  </r>
  <r>
    <n v="257"/>
    <x v="89"/>
    <s v="Gasolina (mar)"/>
    <n v="2560"/>
    <x v="3"/>
    <s v="Stash"/>
    <n v="4"/>
    <n v="2024"/>
    <s v="Gasolina"/>
  </r>
  <r>
    <n v="258"/>
    <x v="89"/>
    <s v="balay"/>
    <n v="5000"/>
    <x v="3"/>
    <s v="Stash"/>
    <n v="4"/>
    <n v="2024"/>
    <s v="balay"/>
  </r>
  <r>
    <n v="259"/>
    <x v="90"/>
    <s v="brutsa"/>
    <n v="50"/>
    <x v="3"/>
    <s v="Stash"/>
    <n v="4"/>
    <n v="2024"/>
    <s v="brutsa"/>
  </r>
  <r>
    <n v="260"/>
    <x v="90"/>
    <s v="bank withdraw"/>
    <n v="12995"/>
    <x v="1"/>
    <s v="Bank"/>
    <n v="4"/>
    <n v="2024"/>
    <s v="bank withdraw"/>
  </r>
  <r>
    <n v="261"/>
    <x v="90"/>
    <s v="bank withdraw fee"/>
    <n v="100"/>
    <x v="3"/>
    <s v="Stash"/>
    <n v="4"/>
    <n v="2024"/>
    <s v="bank withdraw fee"/>
  </r>
  <r>
    <n v="262"/>
    <x v="90"/>
    <s v="clothing allowance"/>
    <n v="6000"/>
    <x v="0"/>
    <s v="Bank"/>
    <n v="4"/>
    <n v="2024"/>
    <s v="clothing allowance"/>
  </r>
  <r>
    <n v="263"/>
    <x v="91"/>
    <s v="coke 1.5"/>
    <n v="80"/>
    <x v="3"/>
    <s v="Stash"/>
    <n v="4"/>
    <n v="2024"/>
    <s v="soft drinks"/>
  </r>
  <r>
    <n v="264"/>
    <x v="92"/>
    <s v="さラリー"/>
    <n v="13615"/>
    <x v="0"/>
    <s v="Bank"/>
    <n v="4"/>
    <n v="2024"/>
    <s v="salary"/>
  </r>
  <r>
    <n v="265"/>
    <x v="93"/>
    <s v="kape"/>
    <n v="130"/>
    <x v="3"/>
    <s v="Stash"/>
    <n v="4"/>
    <n v="2024"/>
    <s v="Kape"/>
  </r>
  <r>
    <n v="266"/>
    <x v="93"/>
    <s v="sabon powder (1 tie)"/>
    <n v="43"/>
    <x v="3"/>
    <s v="Stash"/>
    <n v="4"/>
    <n v="2024"/>
    <s v="sabon panlaba"/>
  </r>
  <r>
    <n v="267"/>
    <x v="93"/>
    <s v="bioderm"/>
    <n v="25"/>
    <x v="3"/>
    <s v="Stash"/>
    <n v="4"/>
    <n v="2024"/>
    <s v="Bioderm"/>
  </r>
  <r>
    <n v="268"/>
    <x v="93"/>
    <s v="Supa"/>
    <n v="125"/>
    <x v="3"/>
    <s v="G-cash"/>
    <n v="4"/>
    <n v="2024"/>
    <s v="Supa"/>
  </r>
  <r>
    <n v="269"/>
    <x v="94"/>
    <s v="wifi load (magic data)"/>
    <n v="599"/>
    <x v="3"/>
    <s v="G-cash"/>
    <n v="4"/>
    <n v="2024"/>
    <s v="wifi load (magic data)"/>
  </r>
  <r>
    <n v="270"/>
    <x v="95"/>
    <s v="bioderm"/>
    <n v="25"/>
    <x v="3"/>
    <s v="Stash"/>
    <n v="4"/>
    <n v="2024"/>
    <s v="Bioderm"/>
  </r>
  <r>
    <n v="271"/>
    <x v="95"/>
    <s v="Genshin Welkin"/>
    <n v="280"/>
    <x v="3"/>
    <s v="G-cash"/>
    <n v="4"/>
    <n v="2024"/>
    <s v="Genshin Welkin"/>
  </r>
  <r>
    <n v="272"/>
    <x v="96"/>
    <s v="YT Membership"/>
    <n v="129"/>
    <x v="3"/>
    <s v="G-cash"/>
    <n v="4"/>
    <n v="2024"/>
    <s v="YT Membership"/>
  </r>
  <r>
    <n v="273"/>
    <x v="96"/>
    <s v="wifi load (family access)"/>
    <n v="199"/>
    <x v="3"/>
    <s v="G-cash"/>
    <n v="4"/>
    <n v="2024"/>
    <s v="wifi load (family access)"/>
  </r>
  <r>
    <n v="274"/>
    <x v="97"/>
    <s v="Palaman peanut"/>
    <n v="500"/>
    <x v="3"/>
    <s v="G-cash"/>
    <n v="4"/>
    <n v="2024"/>
    <s v="Palaman peanut"/>
  </r>
  <r>
    <n v="275"/>
    <x v="97"/>
    <s v="Tolits financial assistance"/>
    <n v="1000"/>
    <x v="3"/>
    <s v="Stash"/>
    <n v="4"/>
    <n v="2024"/>
    <s v="Tolits financial assistance"/>
  </r>
  <r>
    <n v="276"/>
    <x v="97"/>
    <s v="Tito patron assistance"/>
    <n v="2000"/>
    <x v="3"/>
    <s v="Stash"/>
    <n v="4"/>
    <n v="2024"/>
    <s v="Tito patron assistance"/>
  </r>
  <r>
    <n v="277"/>
    <x v="97"/>
    <s v="Lola Rosa patron assistance"/>
    <n v="1000"/>
    <x v="3"/>
    <s v="Stash"/>
    <n v="4"/>
    <n v="2024"/>
    <s v="Lola Rosa patron assistance"/>
  </r>
  <r>
    <n v="278"/>
    <x v="97"/>
    <s v="サラリー"/>
    <n v="12616"/>
    <x v="0"/>
    <s v="Bank"/>
    <n v="4"/>
    <n v="2024"/>
    <s v="salary"/>
  </r>
  <r>
    <n v="279"/>
    <x v="97"/>
    <s v="Kape 2x"/>
    <n v="260"/>
    <x v="3"/>
    <s v="Stash"/>
    <n v="4"/>
    <n v="2024"/>
    <s v="Kape"/>
  </r>
  <r>
    <n v="280"/>
    <x v="98"/>
    <s v="Ebo Sweldo"/>
    <n v="1700"/>
    <x v="3"/>
    <s v="Stash"/>
    <n v="5"/>
    <n v="2024"/>
    <s v="Ebo Sweldo"/>
  </r>
  <r>
    <n v="281"/>
    <x v="98"/>
    <s v="Supa"/>
    <n v="50"/>
    <x v="3"/>
    <s v="G-cash"/>
    <n v="5"/>
    <n v="2024"/>
    <s v="Supa"/>
  </r>
  <r>
    <n v="282"/>
    <x v="98"/>
    <s v="Supa"/>
    <n v="125"/>
    <x v="3"/>
    <s v="G-cash"/>
    <n v="5"/>
    <n v="2024"/>
    <s v="Supa"/>
  </r>
  <r>
    <n v="283"/>
    <x v="98"/>
    <s v="wifi load (family access)"/>
    <n v="199"/>
    <x v="3"/>
    <s v="G-cash"/>
    <n v="5"/>
    <n v="2024"/>
    <s v="wifi load (family access)"/>
  </r>
  <r>
    <n v="284"/>
    <x v="99"/>
    <s v="bank withdraw"/>
    <n v="19000"/>
    <x v="1"/>
    <s v="Bank"/>
    <n v="5"/>
    <n v="2024"/>
    <s v="bank withdraw"/>
  </r>
  <r>
    <n v="285"/>
    <x v="99"/>
    <s v="bank withdraw fee"/>
    <n v="236"/>
    <x v="3"/>
    <s v="Bank"/>
    <n v="5"/>
    <n v="2024"/>
    <s v="bank withdraw fee"/>
  </r>
  <r>
    <n v="286"/>
    <x v="99"/>
    <s v="Gasolina (april)"/>
    <n v="2100"/>
    <x v="3"/>
    <s v="Stash"/>
    <n v="5"/>
    <n v="2024"/>
    <s v="Gasolina"/>
  </r>
  <r>
    <n v="287"/>
    <x v="99"/>
    <s v="balay"/>
    <n v="5000"/>
    <x v="3"/>
    <s v="Stash"/>
    <n v="5"/>
    <n v="2024"/>
    <s v="balay"/>
  </r>
  <r>
    <n v="288"/>
    <x v="99"/>
    <s v="Gcash cash-in"/>
    <n v="3000"/>
    <x v="1"/>
    <s v="Stash"/>
    <n v="5"/>
    <n v="2024"/>
    <s v="Gcash cash-in"/>
  </r>
  <r>
    <n v="289"/>
    <x v="99"/>
    <s v="Gcash cash-in"/>
    <n v="3000"/>
    <x v="2"/>
    <s v="G-cash"/>
    <n v="5"/>
    <n v="2024"/>
    <s v="Gcash cash-in"/>
  </r>
  <r>
    <n v="290"/>
    <x v="100"/>
    <s v="Supa"/>
    <n v="125"/>
    <x v="3"/>
    <s v="G-cash"/>
    <n v="5"/>
    <n v="2024"/>
    <s v="Supa"/>
  </r>
  <r>
    <n v="291"/>
    <x v="100"/>
    <s v="Supa"/>
    <n v="50"/>
    <x v="3"/>
    <s v="G-cash"/>
    <n v="5"/>
    <n v="2024"/>
    <s v="Supa"/>
  </r>
  <r>
    <n v="292"/>
    <x v="101"/>
    <s v="Spotify"/>
    <n v="239"/>
    <x v="3"/>
    <s v="G-cash"/>
    <n v="5"/>
    <n v="2024"/>
    <s v="Spotify"/>
  </r>
  <r>
    <n v="293"/>
    <x v="102"/>
    <s v="Monay (1 putos)"/>
    <n v="30"/>
    <x v="3"/>
    <s v="Stash"/>
    <n v="5"/>
    <n v="2024"/>
    <s v="Monay (1 putos)"/>
  </r>
  <r>
    <n v="294"/>
    <x v="103"/>
    <s v="pamasahe (lamingao - villa)"/>
    <n v="30"/>
    <x v="3"/>
    <s v="Stash"/>
    <n v="5"/>
    <n v="2024"/>
    <s v="Pamasahe"/>
  </r>
  <r>
    <n v="295"/>
    <x v="103"/>
    <s v="Pamahaw"/>
    <n v="37"/>
    <x v="3"/>
    <s v="Stash"/>
    <n v="5"/>
    <n v="2024"/>
    <s v="Pamahaw"/>
  </r>
  <r>
    <n v="296"/>
    <x v="103"/>
    <s v="paniudto"/>
    <n v="73"/>
    <x v="3"/>
    <s v="Stash"/>
    <n v="5"/>
    <n v="2024"/>
    <s v="paniudto"/>
  </r>
  <r>
    <n v="297"/>
    <x v="103"/>
    <s v="pamasahe (villa - lamingao)"/>
    <n v="40"/>
    <x v="3"/>
    <s v="Stash"/>
    <n v="5"/>
    <n v="2024"/>
    <s v="Pamasahe"/>
  </r>
  <r>
    <n v="298"/>
    <x v="103"/>
    <s v="mobile load (magic data)"/>
    <n v="399"/>
    <x v="3"/>
    <s v="G-cash"/>
    <n v="5"/>
    <n v="2024"/>
    <s v="mobile load (magic data)"/>
  </r>
  <r>
    <n v="299"/>
    <x v="104"/>
    <s v="サラリー"/>
    <n v="12615"/>
    <x v="0"/>
    <s v="Bank"/>
    <n v="5"/>
    <n v="2024"/>
    <s v="salary"/>
  </r>
  <r>
    <n v="300"/>
    <x v="105"/>
    <s v="Monay (1 putos)"/>
    <n v="30"/>
    <x v="3"/>
    <s v="Stash"/>
    <n v="5"/>
    <n v="2024"/>
    <s v="Monay (1 putos)"/>
  </r>
  <r>
    <n v="301"/>
    <x v="106"/>
    <s v="ボーナスサラリー"/>
    <n v="27000"/>
    <x v="0"/>
    <s v="Bank"/>
    <n v="5"/>
    <n v="2024"/>
    <s v="Bonus salary"/>
  </r>
  <r>
    <n v="302"/>
    <x v="107"/>
    <s v="Supa"/>
    <n v="50"/>
    <x v="3"/>
    <s v="G-cash"/>
    <n v="5"/>
    <n v="2024"/>
    <s v="Supa"/>
  </r>
  <r>
    <n v="303"/>
    <x v="108"/>
    <s v="YT Membership"/>
    <n v="129"/>
    <x v="3"/>
    <s v="G-cash"/>
    <n v="5"/>
    <n v="2024"/>
    <s v="YT Membership"/>
  </r>
  <r>
    <n v="304"/>
    <x v="108"/>
    <s v="Genshin Welkin"/>
    <n v="280"/>
    <x v="3"/>
    <s v="G-cash"/>
    <n v="5"/>
    <n v="2024"/>
    <s v="Genshin Welkin"/>
  </r>
  <r>
    <n v="305"/>
    <x v="109"/>
    <s v="folder "/>
    <n v="50"/>
    <x v="3"/>
    <s v="Stash"/>
    <n v="5"/>
    <n v="2024"/>
    <s v="folder "/>
  </r>
  <r>
    <n v="306"/>
    <x v="109"/>
    <s v="Kape 2x"/>
    <n v="260"/>
    <x v="3"/>
    <s v="Stash"/>
    <n v="5"/>
    <n v="2024"/>
    <s v="Kape"/>
  </r>
  <r>
    <n v="307"/>
    <x v="109"/>
    <s v="wifi load (family access)"/>
    <n v="199"/>
    <x v="3"/>
    <s v="G-cash"/>
    <n v="5"/>
    <n v="2024"/>
    <s v="wifi load (family access)"/>
  </r>
  <r>
    <n v="308"/>
    <x v="110"/>
    <s v="aragmot (recognition hosting)"/>
    <n v="246"/>
    <x v="3"/>
    <s v="Stash"/>
    <n v="5"/>
    <n v="2024"/>
    <s v="aragmot"/>
  </r>
  <r>
    <n v="309"/>
    <x v="110"/>
    <s v="aragmot (graduation)"/>
    <n v="440"/>
    <x v="3"/>
    <s v="Stash"/>
    <n v="5"/>
    <n v="2024"/>
    <s v="aragmot"/>
  </r>
  <r>
    <n v="310"/>
    <x v="110"/>
    <s v="Supa"/>
    <n v="125"/>
    <x v="3"/>
    <s v="G-cash"/>
    <n v="5"/>
    <n v="2024"/>
    <s v="Supa"/>
  </r>
  <r>
    <n v="311"/>
    <x v="111"/>
    <s v="サラリー"/>
    <n v="12615"/>
    <x v="0"/>
    <s v="Bank"/>
    <n v="5"/>
    <n v="2024"/>
    <s v="salary"/>
  </r>
  <r>
    <n v="312"/>
    <x v="112"/>
    <s v="tubig"/>
    <n v="105"/>
    <x v="3"/>
    <s v="Stash"/>
    <n v="6"/>
    <n v="2024"/>
    <s v="tubig"/>
  </r>
  <r>
    <n v="313"/>
    <x v="113"/>
    <s v="Supa"/>
    <n v="125"/>
    <x v="3"/>
    <s v="G-cash"/>
    <n v="6"/>
    <n v="2024"/>
    <s v="Supa"/>
  </r>
  <r>
    <n v="314"/>
    <x v="114"/>
    <s v="wifi load (magic data)"/>
    <n v="699"/>
    <x v="3"/>
    <s v="G-cash"/>
    <n v="6"/>
    <n v="2024"/>
    <s v="wifi load (magic data)"/>
  </r>
  <r>
    <n v="315"/>
    <x v="115"/>
    <s v="Supa"/>
    <n v="125"/>
    <x v="3"/>
    <s v="G-cash"/>
    <n v="6"/>
    <n v="2024"/>
    <s v="Supa"/>
  </r>
  <r>
    <n v="316"/>
    <x v="115"/>
    <s v="Ebo Sweldo"/>
    <n v="1500"/>
    <x v="3"/>
    <s v="Stash"/>
    <n v="6"/>
    <n v="2024"/>
    <s v="Ebo Sweldo"/>
  </r>
  <r>
    <n v="317"/>
    <x v="115"/>
    <s v="Spotify"/>
    <n v="239"/>
    <x v="3"/>
    <s v="G-cash"/>
    <n v="6"/>
    <n v="2024"/>
    <s v="Spotify"/>
  </r>
  <r>
    <n v="318"/>
    <x v="116"/>
    <s v="balay"/>
    <n v="5000"/>
    <x v="3"/>
    <s v="Stash"/>
    <n v="6"/>
    <n v="2024"/>
    <s v="balay"/>
  </r>
  <r>
    <n v="319"/>
    <x v="116"/>
    <s v="Gasolina"/>
    <n v="2400"/>
    <x v="3"/>
    <s v="Stash"/>
    <n v="6"/>
    <n v="2024"/>
    <s v="Gasolina"/>
  </r>
  <r>
    <n v="320"/>
    <x v="116"/>
    <s v="bioderm"/>
    <n v="25"/>
    <x v="3"/>
    <s v="Stash"/>
    <n v="6"/>
    <n v="2024"/>
    <s v="Bioderm"/>
  </r>
  <r>
    <n v="321"/>
    <x v="116"/>
    <s v="Supa"/>
    <n v="25"/>
    <x v="3"/>
    <s v="G-cash"/>
    <n v="6"/>
    <n v="2024"/>
    <s v="Supa"/>
  </r>
  <r>
    <n v="322"/>
    <x v="116"/>
    <s v="Supa"/>
    <n v="125"/>
    <x v="3"/>
    <s v="G-cash"/>
    <n v="6"/>
    <n v="2024"/>
    <s v="Supa"/>
  </r>
  <r>
    <n v="323"/>
    <x v="116"/>
    <s v="Supa"/>
    <n v="50"/>
    <x v="3"/>
    <s v="G-cash"/>
    <n v="6"/>
    <n v="2024"/>
    <s v="Supa"/>
  </r>
  <r>
    <n v="324"/>
    <x v="117"/>
    <s v="pasahe (villa - tacloban)"/>
    <n v="240"/>
    <x v="3"/>
    <s v="Stash"/>
    <n v="6"/>
    <n v="2024"/>
    <s v="Pamasahe"/>
  </r>
  <r>
    <n v="325"/>
    <x v="117"/>
    <s v="Mcdo"/>
    <n v="328"/>
    <x v="3"/>
    <s v="Stash"/>
    <n v="6"/>
    <n v="2024"/>
    <s v="Mcdo"/>
  </r>
  <r>
    <n v="326"/>
    <x v="117"/>
    <s v="withdraw (atm)"/>
    <n v="19000"/>
    <x v="1"/>
    <s v="Bank"/>
    <n v="6"/>
    <n v="2024"/>
    <s v="withdraw (atm)"/>
  </r>
  <r>
    <n v="327"/>
    <x v="117"/>
    <s v="withdraw charges"/>
    <n v="38"/>
    <x v="3"/>
    <s v="Bank"/>
    <n v="6"/>
    <n v="2024"/>
    <s v="withdraw charges"/>
  </r>
  <r>
    <n v="328"/>
    <x v="117"/>
    <s v="deposit (to stash)"/>
    <n v="19000"/>
    <x v="2"/>
    <s v="Stash"/>
    <n v="6"/>
    <n v="2024"/>
    <s v="deposit (to stash)"/>
  </r>
  <r>
    <n v="329"/>
    <x v="117"/>
    <s v="ID picture (Asayas)"/>
    <n v="170"/>
    <x v="3"/>
    <s v="Stash"/>
    <n v="6"/>
    <n v="2024"/>
    <s v="ID picture"/>
  </r>
  <r>
    <n v="330"/>
    <x v="117"/>
    <s v="pamasahe (prc - mercury)"/>
    <n v="15"/>
    <x v="3"/>
    <s v="Stash"/>
    <n v="6"/>
    <n v="2024"/>
    <s v="Pamasahe"/>
  </r>
  <r>
    <n v="331"/>
    <x v="117"/>
    <s v="Jollibee"/>
    <n v="451"/>
    <x v="3"/>
    <s v="Stash"/>
    <n v="6"/>
    <n v="2024"/>
    <s v="Jollibee"/>
  </r>
  <r>
    <n v="332"/>
    <x v="117"/>
    <s v="Sheena (Exam fee)"/>
    <n v="5000"/>
    <x v="3"/>
    <s v="Stash"/>
    <n v="6"/>
    <n v="2024"/>
    <s v="sheena-related"/>
  </r>
  <r>
    <n v="333"/>
    <x v="117"/>
    <s v="mango shake"/>
    <n v="70"/>
    <x v="3"/>
    <s v="Stash"/>
    <n v="6"/>
    <n v="2024"/>
    <s v="mango shake"/>
  </r>
  <r>
    <n v="334"/>
    <x v="117"/>
    <s v="aficionado (F28)"/>
    <n v="320"/>
    <x v="3"/>
    <s v="Stash"/>
    <n v="6"/>
    <n v="2024"/>
    <s v="aficionado (F28)"/>
  </r>
  <r>
    <n v="335"/>
    <x v="117"/>
    <s v="pasahe (tacloban - villa)"/>
    <n v="360"/>
    <x v="3"/>
    <s v="Stash"/>
    <n v="6"/>
    <n v="2024"/>
    <s v="Pamasahe"/>
  </r>
  <r>
    <n v="336"/>
    <x v="117"/>
    <s v="Gcash cash-in"/>
    <n v="200"/>
    <x v="1"/>
    <s v="Stash"/>
    <n v="6"/>
    <n v="2024"/>
    <s v="Gcash cash-in"/>
  </r>
  <r>
    <n v="337"/>
    <x v="117"/>
    <s v="Gcash cash-in"/>
    <n v="200"/>
    <x v="2"/>
    <s v="G-cash"/>
    <n v="6"/>
    <n v="2024"/>
    <s v="Gcash cash-in"/>
  </r>
  <r>
    <n v="338"/>
    <x v="117"/>
    <s v="wifi load (family access)"/>
    <n v="199"/>
    <x v="3"/>
    <s v="G-cash"/>
    <n v="6"/>
    <n v="2024"/>
    <s v="wifi load (family access)"/>
  </r>
  <r>
    <n v="339"/>
    <x v="118"/>
    <s v="Gcash cash-in (NLC)"/>
    <n v="1500"/>
    <x v="2"/>
    <s v="G-cash"/>
    <n v="6"/>
    <n v="2024"/>
    <s v="Gcash cash-in"/>
  </r>
  <r>
    <n v="340"/>
    <x v="118"/>
    <s v="Gcash cash-out (NLC; to mam Daisy)"/>
    <n v="750"/>
    <x v="1"/>
    <s v="G-cash"/>
    <n v="6"/>
    <n v="2024"/>
    <s v="Gcash cash-out (NLC; to mam Daisy)"/>
  </r>
  <r>
    <n v="341"/>
    <x v="119"/>
    <s v="さラリー"/>
    <n v="12615"/>
    <x v="0"/>
    <s v="Bank"/>
    <n v="6"/>
    <n v="2024"/>
    <s v="salary"/>
  </r>
  <r>
    <n v="342"/>
    <x v="119"/>
    <s v="Supa"/>
    <n v="125"/>
    <x v="3"/>
    <s v="G-cash"/>
    <n v="6"/>
    <n v="2024"/>
    <s v="Supa"/>
  </r>
  <r>
    <n v="343"/>
    <x v="120"/>
    <s v="Supa"/>
    <n v="50"/>
    <x v="3"/>
    <s v="G-cash"/>
    <n v="6"/>
    <n v="2024"/>
    <s v="Supa"/>
  </r>
  <r>
    <n v="344"/>
    <x v="121"/>
    <s v="Kape 2x"/>
    <n v="260"/>
    <x v="3"/>
    <s v="Stash"/>
    <n v="6"/>
    <n v="2024"/>
    <s v="Kape"/>
  </r>
  <r>
    <n v="345"/>
    <x v="121"/>
    <s v="Gcash cash-in"/>
    <n v="3000"/>
    <x v="1"/>
    <s v="Stash"/>
    <n v="6"/>
    <n v="2024"/>
    <s v="Gcash cash-in"/>
  </r>
  <r>
    <n v="346"/>
    <x v="121"/>
    <s v="Gacash cash-in"/>
    <n v="3000"/>
    <x v="2"/>
    <s v="G-cash"/>
    <n v="6"/>
    <n v="2024"/>
    <s v="Gacash cash-in"/>
  </r>
  <r>
    <n v="347"/>
    <x v="122"/>
    <s v="irimnon"/>
    <n v="250"/>
    <x v="3"/>
    <s v="Stash"/>
    <n v="6"/>
    <n v="2024"/>
    <s v="irimnon"/>
  </r>
  <r>
    <n v="348"/>
    <x v="122"/>
    <s v="gasolina"/>
    <n v="75"/>
    <x v="3"/>
    <s v="Stash"/>
    <n v="6"/>
    <n v="2024"/>
    <s v="Gasolina"/>
  </r>
  <r>
    <n v="349"/>
    <x v="123"/>
    <s v="wifi load (family access)"/>
    <n v="199"/>
    <x v="3"/>
    <s v="G-cash"/>
    <n v="6"/>
    <n v="2024"/>
    <s v="wifi load (family access)"/>
  </r>
  <r>
    <n v="350"/>
    <x v="123"/>
    <s v="Supa"/>
    <n v="50"/>
    <x v="3"/>
    <s v="G-cash"/>
    <n v="6"/>
    <n v="2024"/>
    <s v="Supa"/>
  </r>
  <r>
    <n v="351"/>
    <x v="124"/>
    <s v="YT Membership"/>
    <n v="129"/>
    <x v="3"/>
    <s v="G-cash"/>
    <n v="6"/>
    <n v="2024"/>
    <s v="YT Membership"/>
  </r>
  <r>
    <n v="352"/>
    <x v="125"/>
    <s v="Membership gift"/>
    <n v="129"/>
    <x v="3"/>
    <s v="G-cash"/>
    <n v="6"/>
    <n v="2024"/>
    <s v="Membership gift"/>
  </r>
  <r>
    <n v="353"/>
    <x v="126"/>
    <s v="Supa"/>
    <n v="50"/>
    <x v="3"/>
    <s v="G-cash"/>
    <n v="6"/>
    <n v="2024"/>
    <s v="Supa"/>
  </r>
  <r>
    <n v="354"/>
    <x v="126"/>
    <s v="Supa"/>
    <n v="50"/>
    <x v="3"/>
    <s v="G-cash"/>
    <n v="6"/>
    <n v="2024"/>
    <s v="Supa"/>
  </r>
  <r>
    <n v="355"/>
    <x v="126"/>
    <s v="Supa"/>
    <n v="125"/>
    <x v="3"/>
    <s v="G-cash"/>
    <n v="6"/>
    <n v="2024"/>
    <s v="Supa"/>
  </r>
  <r>
    <n v="356"/>
    <x v="126"/>
    <s v="irimnon"/>
    <n v="240"/>
    <x v="3"/>
    <s v="Stash"/>
    <n v="6"/>
    <n v="2024"/>
    <s v="irimnon"/>
  </r>
  <r>
    <n v="357"/>
    <x v="127"/>
    <s v="サラリー"/>
    <n v="12616"/>
    <x v="0"/>
    <s v="Stash"/>
    <n v="6"/>
    <n v="2024"/>
    <s v="salary"/>
  </r>
  <r>
    <n v="358"/>
    <x v="127"/>
    <s v="Supa"/>
    <n v="50"/>
    <x v="3"/>
    <s v="G-cash"/>
    <n v="6"/>
    <n v="2024"/>
    <s v="Supa"/>
  </r>
  <r>
    <n v="359"/>
    <x v="127"/>
    <s v="Supa"/>
    <n v="50"/>
    <x v="3"/>
    <s v="G-cash"/>
    <n v="6"/>
    <n v="2024"/>
    <s v="Supa"/>
  </r>
  <r>
    <n v="360"/>
    <x v="128"/>
    <s v="Membership gift"/>
    <n v="129"/>
    <x v="3"/>
    <s v="G-cash"/>
    <n v="6"/>
    <n v="2024"/>
    <s v="Membership gift"/>
  </r>
  <r>
    <n v="361"/>
    <x v="128"/>
    <s v="Supa"/>
    <n v="125"/>
    <x v="3"/>
    <s v="G-cash"/>
    <n v="6"/>
    <n v="2024"/>
    <s v="Supa"/>
  </r>
  <r>
    <n v="362"/>
    <x v="128"/>
    <s v="Sheena "/>
    <n v="150"/>
    <x v="3"/>
    <s v="G-cash"/>
    <n v="6"/>
    <n v="2024"/>
    <s v="sheena-related"/>
  </r>
  <r>
    <n v="363"/>
    <x v="128"/>
    <s v="pamasahe (lamingao - catbalogan)"/>
    <n v="150"/>
    <x v="3"/>
    <s v="Stash"/>
    <n v="6"/>
    <n v="2024"/>
    <s v="Pamasahe"/>
  </r>
  <r>
    <n v="364"/>
    <x v="128"/>
    <s v="Jollibee"/>
    <n v="178"/>
    <x v="3"/>
    <s v="Stash"/>
    <n v="6"/>
    <n v="2024"/>
    <s v="Jollibee"/>
  </r>
  <r>
    <n v="365"/>
    <x v="128"/>
    <s v="eco-bag"/>
    <n v="16"/>
    <x v="3"/>
    <s v="Stash"/>
    <n v="6"/>
    <n v="2024"/>
    <s v="eco-bag"/>
  </r>
  <r>
    <n v="366"/>
    <x v="128"/>
    <s v="pasahe"/>
    <n v="10"/>
    <x v="3"/>
    <s v="Stash"/>
    <n v="6"/>
    <n v="2024"/>
    <s v="Pamasahe"/>
  </r>
  <r>
    <n v="367"/>
    <x v="128"/>
    <s v="tubig"/>
    <n v="12"/>
    <x v="3"/>
    <s v="Stash"/>
    <n v="6"/>
    <n v="2024"/>
    <s v="tubig"/>
  </r>
  <r>
    <n v="368"/>
    <x v="128"/>
    <s v="pamasahe (catbalogan - villa)"/>
    <n v="150"/>
    <x v="3"/>
    <s v="Stash"/>
    <n v="6"/>
    <n v="2024"/>
    <s v="Pamasahe"/>
  </r>
  <r>
    <n v="369"/>
    <x v="128"/>
    <s v="pamasahe (villa - lamingao)"/>
    <n v="50"/>
    <x v="3"/>
    <s v="Stash"/>
    <n v="6"/>
    <n v="2024"/>
    <s v="Pamasahe"/>
  </r>
  <r>
    <n v="370"/>
    <x v="128"/>
    <s v="bank withdraw"/>
    <n v="220000"/>
    <x v="1"/>
    <s v="Bank"/>
    <n v="6"/>
    <n v="2024"/>
    <s v="bank withdraw"/>
  </r>
  <r>
    <n v="371"/>
    <x v="128"/>
    <s v="stash deposit"/>
    <n v="220000"/>
    <x v="2"/>
    <s v="Stash"/>
    <n v="6"/>
    <n v="2024"/>
    <s v="stash deposit"/>
  </r>
  <r>
    <n v="372"/>
    <x v="129"/>
    <s v="wifi load (family access)"/>
    <n v="199"/>
    <x v="3"/>
    <s v="G-cash"/>
    <n v="7"/>
    <n v="2024"/>
    <s v="wifi load (family access)"/>
  </r>
  <r>
    <n v="373"/>
    <x v="130"/>
    <s v="balay"/>
    <n v="5000"/>
    <x v="3"/>
    <s v="Stash"/>
    <n v="7"/>
    <n v="2024"/>
    <s v="balay"/>
  </r>
  <r>
    <n v="374"/>
    <x v="130"/>
    <s v="Kape 2x"/>
    <n v="260"/>
    <x v="3"/>
    <s v="Stash"/>
    <n v="7"/>
    <n v="2024"/>
    <s v="Kape"/>
  </r>
  <r>
    <n v="375"/>
    <x v="131"/>
    <s v="Spotify"/>
    <n v="239"/>
    <x v="3"/>
    <s v="G-cash"/>
    <n v="7"/>
    <n v="2024"/>
    <s v="Spotify"/>
  </r>
  <r>
    <n v="376"/>
    <x v="132"/>
    <s v="bioderm 3 bxs"/>
    <n v="144"/>
    <x v="3"/>
    <s v="Stash"/>
    <n v="7"/>
    <n v="2024"/>
    <s v="Bioderm"/>
  </r>
  <r>
    <n v="377"/>
    <x v="132"/>
    <s v="steam summer sale"/>
    <n v="188"/>
    <x v="3"/>
    <s v="G-cash"/>
    <n v="7"/>
    <n v="2024"/>
    <s v="steam"/>
  </r>
  <r>
    <n v="378"/>
    <x v="132"/>
    <s v="supa"/>
    <n v="50"/>
    <x v="3"/>
    <s v="G-cash"/>
    <n v="7"/>
    <n v="2024"/>
    <s v="Supa"/>
  </r>
  <r>
    <n v="379"/>
    <x v="132"/>
    <s v="supa"/>
    <n v="125"/>
    <x v="3"/>
    <s v="G-cash"/>
    <n v="7"/>
    <n v="2024"/>
    <s v="Supa"/>
  </r>
  <r>
    <n v="380"/>
    <x v="133"/>
    <s v="gaming chair"/>
    <n v="2542"/>
    <x v="3"/>
    <s v="Stash"/>
    <n v="7"/>
    <n v="2024"/>
    <s v="gaming chair"/>
  </r>
  <r>
    <n v="381"/>
    <x v="134"/>
    <s v="Supa"/>
    <n v="50"/>
    <x v="3"/>
    <s v="G-cash"/>
    <n v="7"/>
    <n v="2024"/>
    <s v="Supa"/>
  </r>
  <r>
    <n v="382"/>
    <x v="135"/>
    <s v="cellophane "/>
    <n v="30"/>
    <x v="3"/>
    <s v="Stash"/>
    <n v="7"/>
    <n v="2024"/>
    <s v="cellophane "/>
  </r>
  <r>
    <n v="383"/>
    <x v="135"/>
    <s v="サラリー"/>
    <n v="12663"/>
    <x v="0"/>
    <s v="Bank"/>
    <n v="7"/>
    <n v="2024"/>
    <s v="salary"/>
  </r>
  <r>
    <n v="384"/>
    <x v="136"/>
    <s v="pancit canton"/>
    <n v="45"/>
    <x v="3"/>
    <s v="Stash"/>
    <n v="7"/>
    <n v="2024"/>
    <s v="pancit canton"/>
  </r>
  <r>
    <n v="385"/>
    <x v="136"/>
    <s v="plywood sta clara"/>
    <n v="1195"/>
    <x v="3"/>
    <s v="Stash"/>
    <n v="7"/>
    <n v="2024"/>
    <s v="plywood sta clara"/>
  </r>
  <r>
    <n v="386"/>
    <x v="136"/>
    <s v="epoxy el kapitan"/>
    <n v="455"/>
    <x v="3"/>
    <s v="Stash"/>
    <n v="7"/>
    <n v="2024"/>
    <s v="epoxy"/>
  </r>
  <r>
    <n v="387"/>
    <x v="136"/>
    <s v="bronze nail"/>
    <n v="550"/>
    <x v="3"/>
    <s v="Stash"/>
    <n v="7"/>
    <n v="2024"/>
    <s v="bronze nail"/>
  </r>
  <r>
    <n v="388"/>
    <x v="136"/>
    <s v="labor"/>
    <n v="2000"/>
    <x v="3"/>
    <s v="Stash"/>
    <n v="7"/>
    <n v="2024"/>
    <s v="labor"/>
  </r>
  <r>
    <n v="389"/>
    <x v="137"/>
    <s v="jolly-spagetti (1 topperware)"/>
    <n v="237"/>
    <x v="3"/>
    <s v="Stash"/>
    <n v="7"/>
    <n v="2024"/>
    <s v="Jollibee"/>
  </r>
  <r>
    <n v="390"/>
    <x v="137"/>
    <s v="jolly-burger"/>
    <n v="160"/>
    <x v="3"/>
    <s v="Stash"/>
    <n v="7"/>
    <n v="2024"/>
    <s v="Jollibee"/>
  </r>
  <r>
    <n v="391"/>
    <x v="137"/>
    <s v="wifi load (family access)"/>
    <n v="199"/>
    <x v="3"/>
    <s v="G-cash"/>
    <n v="7"/>
    <n v="2024"/>
    <s v="wifi load (family access)"/>
  </r>
  <r>
    <n v="392"/>
    <x v="137"/>
    <s v="wifi load (magic data)"/>
    <n v="699"/>
    <x v="3"/>
    <s v="G-cash"/>
    <n v="7"/>
    <n v="2024"/>
    <s v="wifi load (magic data)"/>
  </r>
  <r>
    <n v="393"/>
    <x v="138"/>
    <s v="irimnon"/>
    <n v="600"/>
    <x v="3"/>
    <s v="Stash"/>
    <n v="7"/>
    <n v="2024"/>
    <s v="irimnon"/>
  </r>
  <r>
    <n v="394"/>
    <x v="138"/>
    <s v="pepsi"/>
    <n v="150"/>
    <x v="3"/>
    <s v="Stash"/>
    <n v="7"/>
    <n v="2024"/>
    <s v="pepsi"/>
  </r>
  <r>
    <n v="395"/>
    <x v="138"/>
    <s v="handa (birthday)"/>
    <n v="4000"/>
    <x v="3"/>
    <s v="Stash"/>
    <n v="7"/>
    <n v="2024"/>
    <s v="handa (birthday)"/>
  </r>
  <r>
    <n v="396"/>
    <x v="139"/>
    <s v="irimnon"/>
    <n v="1200"/>
    <x v="3"/>
    <s v="Stash"/>
    <n v="7"/>
    <n v="2024"/>
    <s v="irimnon"/>
  </r>
  <r>
    <n v="397"/>
    <x v="140"/>
    <s v="Gcash cash-in"/>
    <n v="3000"/>
    <x v="1"/>
    <s v="Stash"/>
    <n v="7"/>
    <n v="2024"/>
    <s v="Gcash cash-in"/>
  </r>
  <r>
    <n v="398"/>
    <x v="140"/>
    <s v="Gcash cash-in"/>
    <n v="3400"/>
    <x v="2"/>
    <s v="G-cash"/>
    <n v="7"/>
    <n v="2024"/>
    <s v="Gcash cash-in"/>
  </r>
  <r>
    <n v="399"/>
    <x v="141"/>
    <s v="YT Membership"/>
    <n v="129"/>
    <x v="3"/>
    <s v="G-cash"/>
    <n v="7"/>
    <n v="2024"/>
    <s v="YT Membership"/>
  </r>
  <r>
    <n v="400"/>
    <x v="141"/>
    <s v="welcome party aragmot"/>
    <n v="650"/>
    <x v="3"/>
    <s v="G-cash"/>
    <n v="7"/>
    <n v="2024"/>
    <s v="welcome party aragmot"/>
  </r>
  <r>
    <n v="401"/>
    <x v="142"/>
    <s v="bokbok"/>
    <n v="150"/>
    <x v="3"/>
    <s v="Stash"/>
    <n v="7"/>
    <n v="2024"/>
    <s v="bokbok"/>
  </r>
  <r>
    <n v="402"/>
    <x v="143"/>
    <s v="pamasahe (lamingao - villa)"/>
    <n v="30"/>
    <x v="3"/>
    <s v="Stash"/>
    <n v="7"/>
    <n v="2024"/>
    <s v="Pamasahe"/>
  </r>
  <r>
    <n v="403"/>
    <x v="143"/>
    <s v="pamahaw"/>
    <n v="30"/>
    <x v="3"/>
    <s v="Stash"/>
    <n v="7"/>
    <n v="2024"/>
    <s v="pamahaw"/>
  </r>
  <r>
    <n v="404"/>
    <x v="143"/>
    <s v="pandesal"/>
    <n v="10"/>
    <x v="3"/>
    <s v="Stash"/>
    <n v="7"/>
    <n v="2024"/>
    <s v="pandesal"/>
  </r>
  <r>
    <n v="405"/>
    <x v="143"/>
    <s v="diatabs"/>
    <n v="30"/>
    <x v="3"/>
    <s v="Stash"/>
    <n v="7"/>
    <n v="2024"/>
    <s v="diatabs"/>
  </r>
  <r>
    <n v="406"/>
    <x v="143"/>
    <s v="pamasahe (villa - lamingao)"/>
    <n v="30"/>
    <x v="3"/>
    <s v="Stash"/>
    <n v="7"/>
    <n v="2024"/>
    <s v="Pamasahe"/>
  </r>
  <r>
    <n v="407"/>
    <x v="143"/>
    <s v="donation"/>
    <n v="125"/>
    <x v="3"/>
    <s v="G-cash"/>
    <n v="7"/>
    <n v="2024"/>
    <s v="donation"/>
  </r>
  <r>
    <n v="408"/>
    <x v="144"/>
    <s v="pamasahe (lamingao - villa)"/>
    <n v="30"/>
    <x v="3"/>
    <s v="Stash"/>
    <n v="7"/>
    <n v="2024"/>
    <s v="Pamasahe"/>
  </r>
  <r>
    <n v="409"/>
    <x v="144"/>
    <s v="lomotil"/>
    <n v="14"/>
    <x v="3"/>
    <s v="Stash"/>
    <n v="7"/>
    <n v="2024"/>
    <s v="lomotil"/>
  </r>
  <r>
    <n v="410"/>
    <x v="144"/>
    <s v="pandesal"/>
    <n v="10"/>
    <x v="3"/>
    <s v="Stash"/>
    <n v="7"/>
    <n v="2024"/>
    <s v="pandesal"/>
  </r>
  <r>
    <n v="411"/>
    <x v="144"/>
    <s v="tubig"/>
    <n v="15"/>
    <x v="3"/>
    <s v="Stash"/>
    <n v="7"/>
    <n v="2024"/>
    <s v="tubig"/>
  </r>
  <r>
    <n v="412"/>
    <x v="144"/>
    <s v="pamasahe (villa - lamingao)"/>
    <n v="15"/>
    <x v="3"/>
    <s v="Stash"/>
    <n v="7"/>
    <n v="2024"/>
    <s v="Pamasahe"/>
  </r>
  <r>
    <n v="413"/>
    <x v="144"/>
    <s v="サラリー"/>
    <n v="12615"/>
    <x v="0"/>
    <s v="Stash"/>
    <n v="7"/>
    <n v="2024"/>
    <s v="salary"/>
  </r>
  <r>
    <n v="414"/>
    <x v="145"/>
    <s v="pamasahe (lamingao - villa)"/>
    <n v="30"/>
    <x v="3"/>
    <s v="Stash"/>
    <n v="7"/>
    <n v="2024"/>
    <s v="Pamasahe"/>
  </r>
  <r>
    <n v="415"/>
    <x v="145"/>
    <s v="pandesal"/>
    <n v="10"/>
    <x v="3"/>
    <s v="Stash"/>
    <n v="7"/>
    <n v="2024"/>
    <s v="pandesal"/>
  </r>
  <r>
    <n v="416"/>
    <x v="145"/>
    <s v="tubig"/>
    <n v="15"/>
    <x v="3"/>
    <s v="Stash"/>
    <n v="7"/>
    <n v="2024"/>
    <s v="tubig"/>
  </r>
  <r>
    <n v="417"/>
    <x v="145"/>
    <s v="pamasahe (villa - lamingao)"/>
    <n v="30"/>
    <x v="3"/>
    <s v="Stash"/>
    <n v="7"/>
    <n v="2024"/>
    <s v="Pamasahe"/>
  </r>
  <r>
    <n v="418"/>
    <x v="146"/>
    <s v="cash allowance"/>
    <n v="5000"/>
    <x v="0"/>
    <s v="Bank"/>
    <n v="7"/>
    <n v="2024"/>
    <s v="cash allowance"/>
  </r>
  <r>
    <n v="419"/>
    <x v="146"/>
    <s v="supa"/>
    <n v="125"/>
    <x v="3"/>
    <s v="G-cash"/>
    <n v="7"/>
    <n v="2024"/>
    <s v="Supa"/>
  </r>
  <r>
    <n v="420"/>
    <x v="146"/>
    <s v="Supa"/>
    <n v="125"/>
    <x v="3"/>
    <s v="G-cash"/>
    <n v="7"/>
    <n v="2024"/>
    <s v="Supa"/>
  </r>
  <r>
    <n v="421"/>
    <x v="147"/>
    <s v="yakult"/>
    <n v="65"/>
    <x v="3"/>
    <s v="Stash"/>
    <n v="7"/>
    <n v="2024"/>
    <s v="yakult"/>
  </r>
  <r>
    <n v="422"/>
    <x v="148"/>
    <s v="pamasahe (lamingao - villa)"/>
    <n v="30"/>
    <x v="3"/>
    <s v="Stash"/>
    <n v="8"/>
    <n v="2024"/>
    <s v="Pamasahe"/>
  </r>
  <r>
    <n v="423"/>
    <x v="148"/>
    <s v="paniudto"/>
    <n v="70"/>
    <x v="3"/>
    <s v="Stash"/>
    <n v="8"/>
    <n v="2024"/>
    <s v="paniudto"/>
  </r>
  <r>
    <n v="424"/>
    <x v="149"/>
    <s v="wifi load (family access)"/>
    <n v="199"/>
    <x v="3"/>
    <s v="G-cash"/>
    <n v="8"/>
    <n v="2024"/>
    <s v="wifi load (family access)"/>
  </r>
  <r>
    <n v="425"/>
    <x v="150"/>
    <s v="yakult"/>
    <n v="75"/>
    <x v="3"/>
    <s v="Stash"/>
    <n v="8"/>
    <n v="2024"/>
    <s v="yakult"/>
  </r>
  <r>
    <n v="426"/>
    <x v="150"/>
    <s v="piatos"/>
    <n v="25"/>
    <x v="3"/>
    <s v="Stash"/>
    <n v="8"/>
    <n v="2024"/>
    <s v="piatos"/>
  </r>
  <r>
    <n v="427"/>
    <x v="151"/>
    <s v="gasolina"/>
    <n v="750"/>
    <x v="3"/>
    <s v="Stash"/>
    <n v="8"/>
    <n v="2024"/>
    <s v="Gasolina"/>
  </r>
  <r>
    <n v="428"/>
    <x v="151"/>
    <s v="balay"/>
    <n v="5000"/>
    <x v="3"/>
    <s v="Stash"/>
    <n v="8"/>
    <n v="2024"/>
    <s v="balay"/>
  </r>
  <r>
    <n v="429"/>
    <x v="151"/>
    <s v="sphero (1 L)"/>
    <n v="290"/>
    <x v="3"/>
    <s v="Stash"/>
    <n v="8"/>
    <n v="2024"/>
    <s v="epoxy"/>
  </r>
  <r>
    <n v="430"/>
    <x v="151"/>
    <s v="epoxy"/>
    <n v="220"/>
    <x v="3"/>
    <s v="Stash"/>
    <n v="8"/>
    <n v="2024"/>
    <s v="epoxy"/>
  </r>
  <r>
    <n v="431"/>
    <x v="151"/>
    <s v="pintura orange (1 L)"/>
    <n v="290"/>
    <x v="3"/>
    <s v="Stash"/>
    <n v="8"/>
    <n v="2024"/>
    <s v="pintura"/>
  </r>
  <r>
    <n v="432"/>
    <x v="151"/>
    <s v="pintura blue (1 can)"/>
    <n v="90"/>
    <x v="3"/>
    <s v="Stash"/>
    <n v="8"/>
    <n v="2024"/>
    <s v="pintura"/>
  </r>
  <r>
    <n v="433"/>
    <x v="151"/>
    <s v="mano tantan"/>
    <n v="100"/>
    <x v="3"/>
    <s v="Stash"/>
    <n v="8"/>
    <n v="2024"/>
    <s v="mano tantan"/>
  </r>
  <r>
    <n v="434"/>
    <x v="152"/>
    <s v="Spotify"/>
    <n v="239"/>
    <x v="3"/>
    <s v="G-cash"/>
    <n v="8"/>
    <n v="2024"/>
    <s v="Spotify"/>
  </r>
  <r>
    <n v="435"/>
    <x v="153"/>
    <s v="pamasahe (lamingao - villa)"/>
    <n v="30"/>
    <x v="3"/>
    <s v="Stash"/>
    <n v="8"/>
    <n v="2024"/>
    <s v="Pamasahe"/>
  </r>
  <r>
    <n v="436"/>
    <x v="153"/>
    <s v="pamahaw"/>
    <n v="30"/>
    <x v="3"/>
    <s v="Stash"/>
    <n v="8"/>
    <n v="2024"/>
    <s v="pamahaw"/>
  </r>
  <r>
    <n v="437"/>
    <x v="153"/>
    <s v="yakult"/>
    <n v="60"/>
    <x v="3"/>
    <s v="Stash"/>
    <n v="8"/>
    <n v="2024"/>
    <s v="yakult"/>
  </r>
  <r>
    <n v="438"/>
    <x v="153"/>
    <s v="pamasahe (villa - lamingao)"/>
    <n v="30"/>
    <x v="3"/>
    <s v="Stash"/>
    <n v="8"/>
    <n v="2024"/>
    <s v="Pamasahe"/>
  </r>
  <r>
    <n v="439"/>
    <x v="153"/>
    <s v="wifi load (family access)"/>
    <n v="199"/>
    <x v="3"/>
    <s v="G-cash"/>
    <n v="8"/>
    <n v="2024"/>
    <s v="wifi load (family access)"/>
  </r>
  <r>
    <n v="440"/>
    <x v="154"/>
    <s v="pamasahe (lamingao - villa)"/>
    <n v="30"/>
    <x v="3"/>
    <s v="Stash"/>
    <n v="8"/>
    <n v="2024"/>
    <s v="Pamasahe"/>
  </r>
  <r>
    <n v="441"/>
    <x v="154"/>
    <s v="pandesal"/>
    <n v="10"/>
    <x v="3"/>
    <s v="Stash"/>
    <n v="8"/>
    <n v="2024"/>
    <s v="pandesal"/>
  </r>
  <r>
    <n v="442"/>
    <x v="154"/>
    <s v="tubig"/>
    <n v="15"/>
    <x v="3"/>
    <s v="Stash"/>
    <n v="8"/>
    <n v="2024"/>
    <s v="tubig"/>
  </r>
  <r>
    <n v="443"/>
    <x v="154"/>
    <s v="boysen lemon yellow (1/4 L)"/>
    <n v="120"/>
    <x v="3"/>
    <s v="Stash"/>
    <n v="8"/>
    <n v="2024"/>
    <s v="pintura"/>
  </r>
  <r>
    <n v="444"/>
    <x v="154"/>
    <s v="Epoxy Red oxide (1 L)"/>
    <n v="290"/>
    <x v="3"/>
    <s v="Stash"/>
    <n v="8"/>
    <n v="2024"/>
    <s v="epoxy"/>
  </r>
  <r>
    <n v="445"/>
    <x v="155"/>
    <s v="chalk allowance"/>
    <n v="5000"/>
    <x v="0"/>
    <s v="Bank"/>
    <n v="8"/>
    <n v="2024"/>
    <s v="chalk allowance"/>
  </r>
  <r>
    <n v="446"/>
    <x v="155"/>
    <s v="サラリー"/>
    <n v="12615"/>
    <x v="0"/>
    <s v="Bank"/>
    <n v="8"/>
    <n v="2024"/>
    <s v="salary"/>
  </r>
  <r>
    <n v="447"/>
    <x v="156"/>
    <s v="Supa"/>
    <n v="125"/>
    <x v="3"/>
    <s v="G-cash"/>
    <n v="8"/>
    <n v="2024"/>
    <s v="Supa"/>
  </r>
  <r>
    <n v="448"/>
    <x v="157"/>
    <s v="chalk"/>
    <n v="20"/>
    <x v="3"/>
    <s v="Stash"/>
    <n v="8"/>
    <n v="2024"/>
    <s v="chalk"/>
  </r>
  <r>
    <n v="449"/>
    <x v="157"/>
    <s v="yakult"/>
    <n v="75"/>
    <x v="3"/>
    <s v="Stash"/>
    <n v="8"/>
    <n v="2024"/>
    <s v="yakult"/>
  </r>
  <r>
    <n v="450"/>
    <x v="157"/>
    <s v="soft drinks 1.5L"/>
    <n v="70"/>
    <x v="3"/>
    <s v="Stash"/>
    <n v="8"/>
    <n v="2024"/>
    <s v="soft drinks"/>
  </r>
  <r>
    <n v="451"/>
    <x v="158"/>
    <s v="Kape 2x"/>
    <n v="260"/>
    <x v="3"/>
    <s v="Stash"/>
    <n v="8"/>
    <n v="2024"/>
    <s v="Kape"/>
  </r>
  <r>
    <n v="452"/>
    <x v="159"/>
    <s v="aragmot (induction)"/>
    <n v="180"/>
    <x v="3"/>
    <s v="Stash"/>
    <n v="8"/>
    <n v="2024"/>
    <s v="aragmot"/>
  </r>
  <r>
    <n v="453"/>
    <x v="159"/>
    <s v="microsoft office install"/>
    <n v="300"/>
    <x v="3"/>
    <s v="Stash"/>
    <n v="8"/>
    <n v="2024"/>
    <s v="microsoft office install"/>
  </r>
  <r>
    <n v="454"/>
    <x v="160"/>
    <s v="bioderm"/>
    <n v="25"/>
    <x v="3"/>
    <s v="Stash"/>
    <n v="8"/>
    <n v="2024"/>
    <s v="Bioderm"/>
  </r>
  <r>
    <n v="455"/>
    <x v="160"/>
    <s v="gala"/>
    <n v="200"/>
    <x v="3"/>
    <s v="Stash"/>
    <n v="8"/>
    <n v="2024"/>
    <s v="gala"/>
  </r>
  <r>
    <n v="456"/>
    <x v="160"/>
    <s v="coke mismo (2 case)"/>
    <n v="460"/>
    <x v="3"/>
    <s v="Stash"/>
    <n v="8"/>
    <n v="2024"/>
    <s v="soft drinks"/>
  </r>
  <r>
    <n v="457"/>
    <x v="161"/>
    <s v="bag"/>
    <n v="1000"/>
    <x v="3"/>
    <s v="G-cash"/>
    <n v="8"/>
    <n v="2024"/>
    <s v="bag"/>
  </r>
  <r>
    <n v="458"/>
    <x v="162"/>
    <s v="サラリー"/>
    <n v="12617"/>
    <x v="0"/>
    <s v="Bank"/>
    <n v="8"/>
    <n v="2024"/>
    <s v="salary"/>
  </r>
  <r>
    <n v="459"/>
    <x v="162"/>
    <s v="ぴびび"/>
    <n v="12400"/>
    <x v="0"/>
    <s v="Bank"/>
    <n v="8"/>
    <n v="2024"/>
    <s v="PBB"/>
  </r>
  <r>
    <n v="460"/>
    <x v="163"/>
    <s v="mano tantan"/>
    <n v="200"/>
    <x v="3"/>
    <s v="Stash"/>
    <n v="8"/>
    <n v="2024"/>
    <s v="mano tantan"/>
  </r>
  <r>
    <n v="461"/>
    <x v="164"/>
    <s v="sura"/>
    <n v="40"/>
    <x v="3"/>
    <s v="Stash"/>
    <n v="9"/>
    <n v="2024"/>
    <s v="sura"/>
  </r>
  <r>
    <n v="462"/>
    <x v="165"/>
    <s v="supa"/>
    <n v="125"/>
    <x v="3"/>
    <s v="G-cash"/>
    <n v="9"/>
    <n v="2024"/>
    <s v="Supa"/>
  </r>
  <r>
    <n v="463"/>
    <x v="166"/>
    <s v="supa"/>
    <n v="50"/>
    <x v="3"/>
    <s v="G-cash"/>
    <n v="9"/>
    <n v="2024"/>
    <s v="Supa"/>
  </r>
  <r>
    <n v="464"/>
    <x v="166"/>
    <s v="YT sticker"/>
    <n v="15"/>
    <x v="3"/>
    <s v="G-cash"/>
    <n v="9"/>
    <n v="2024"/>
    <s v="YT sticker"/>
  </r>
  <r>
    <n v="465"/>
    <x v="166"/>
    <s v="supa"/>
    <n v="25"/>
    <x v="3"/>
    <s v="G-cash"/>
    <n v="9"/>
    <n v="2024"/>
    <s v="Supa"/>
  </r>
  <r>
    <n v="466"/>
    <x v="166"/>
    <s v="sura"/>
    <n v="40"/>
    <x v="3"/>
    <s v="Stash"/>
    <n v="9"/>
    <n v="2024"/>
    <s v="sura"/>
  </r>
  <r>
    <n v="467"/>
    <x v="167"/>
    <s v="Spotify"/>
    <n v="239"/>
    <x v="3"/>
    <s v="G-cash"/>
    <n v="9"/>
    <n v="2024"/>
    <s v="Spotify"/>
  </r>
  <r>
    <n v="468"/>
    <x v="168"/>
    <s v="bonay"/>
    <n v="22"/>
    <x v="3"/>
    <s v="Stash"/>
    <n v="9"/>
    <n v="2024"/>
    <s v="bonay"/>
  </r>
  <r>
    <n v="469"/>
    <x v="169"/>
    <s v="mano tantan"/>
    <n v="100"/>
    <x v="3"/>
    <s v="Stash"/>
    <n v="9"/>
    <n v="2024"/>
    <s v="mano tantan"/>
  </r>
  <r>
    <n v="470"/>
    <x v="170"/>
    <s v="mano tantan"/>
    <n v="150"/>
    <x v="3"/>
    <s v="Stash"/>
    <n v="9"/>
    <n v="2024"/>
    <s v="mano tantan"/>
  </r>
  <r>
    <n v="471"/>
    <x v="170"/>
    <s v="supa"/>
    <n v="125"/>
    <x v="3"/>
    <s v="G-cash"/>
    <n v="9"/>
    <n v="2024"/>
    <s v="Supa"/>
  </r>
  <r>
    <n v="472"/>
    <x v="171"/>
    <s v="サラリー"/>
    <n v="25418"/>
    <x v="0"/>
    <s v="Bank"/>
    <n v="9"/>
    <n v="2024"/>
    <s v="salary"/>
  </r>
  <r>
    <n v="473"/>
    <x v="172"/>
    <s v="balay"/>
    <n v="5000"/>
    <x v="3"/>
    <s v="Stash"/>
    <n v="9"/>
    <n v="2024"/>
    <s v="balay"/>
  </r>
  <r>
    <n v="474"/>
    <x v="172"/>
    <s v="gasolina"/>
    <n v="2550"/>
    <x v="3"/>
    <s v="Stash"/>
    <n v="9"/>
    <n v="2024"/>
    <s v="Gasolina"/>
  </r>
  <r>
    <n v="475"/>
    <x v="172"/>
    <s v="Gcash cash-in"/>
    <n v="2150"/>
    <x v="1"/>
    <s v="Stash"/>
    <n v="9"/>
    <n v="2024"/>
    <s v="Gcash cash-in"/>
  </r>
  <r>
    <n v="476"/>
    <x v="172"/>
    <s v="Gcash cash-in"/>
    <n v="2150"/>
    <x v="2"/>
    <s v="G-cash"/>
    <n v="9"/>
    <n v="2024"/>
    <s v="Gcash cash-in"/>
  </r>
  <r>
    <n v="477"/>
    <x v="172"/>
    <s v="sheena"/>
    <n v="300"/>
    <x v="3"/>
    <s v="Stash"/>
    <n v="9"/>
    <n v="2024"/>
    <s v="sheena-related"/>
  </r>
  <r>
    <n v="478"/>
    <x v="173"/>
    <s v="pamasahe (guimbalangawan - guintarcan)"/>
    <n v="20"/>
    <x v="3"/>
    <s v="Stash"/>
    <n v="9"/>
    <n v="2024"/>
    <s v="Pamasahe"/>
  </r>
  <r>
    <n v="479"/>
    <x v="174"/>
    <s v="pamasahe (guimbalangawan - guintarcan)"/>
    <n v="20"/>
    <x v="3"/>
    <s v="Stash"/>
    <n v="9"/>
    <n v="2024"/>
    <s v="Pamasahe"/>
  </r>
  <r>
    <n v="480"/>
    <x v="174"/>
    <s v="pamasahe (guintarcan - guimbalangawan)"/>
    <n v="20"/>
    <x v="3"/>
    <s v="Stash"/>
    <n v="9"/>
    <n v="2024"/>
    <s v="Pamasahe"/>
  </r>
  <r>
    <n v="481"/>
    <x v="175"/>
    <s v="pamasahe (guimbalangawan - guintarcan)"/>
    <n v="20"/>
    <x v="3"/>
    <s v="Stash"/>
    <n v="9"/>
    <n v="2024"/>
    <s v="Pamasahe"/>
  </r>
  <r>
    <n v="482"/>
    <x v="176"/>
    <s v="notebook"/>
    <n v="35"/>
    <x v="3"/>
    <s v="Stash"/>
    <n v="9"/>
    <n v="2024"/>
    <s v="notebook"/>
  </r>
  <r>
    <n v="483"/>
    <x v="176"/>
    <s v="chalk"/>
    <n v="20"/>
    <x v="3"/>
    <s v="Stash"/>
    <n v="9"/>
    <n v="2024"/>
    <s v="chalk"/>
  </r>
  <r>
    <n v="484"/>
    <x v="176"/>
    <s v="paniudto"/>
    <n v="55"/>
    <x v="3"/>
    <s v="Stash"/>
    <n v="9"/>
    <n v="2024"/>
    <s v="paniudto"/>
  </r>
  <r>
    <n v="485"/>
    <x v="177"/>
    <s v="wifi load (magic data)"/>
    <n v="700"/>
    <x v="3"/>
    <s v="G-cash"/>
    <n v="9"/>
    <n v="2024"/>
    <s v="wifi load (magic data)"/>
  </r>
  <r>
    <n v="486"/>
    <x v="177"/>
    <s v="wifi load (family access)"/>
    <n v="200"/>
    <x v="3"/>
    <s v="G-cash"/>
    <n v="9"/>
    <n v="2024"/>
    <s v="wifi load (family access)"/>
  </r>
  <r>
    <n v="487"/>
    <x v="177"/>
    <s v="coke mismo"/>
    <n v="450"/>
    <x v="3"/>
    <s v="Stash"/>
    <n v="9"/>
    <n v="2024"/>
    <s v="soft drinks"/>
  </r>
  <r>
    <n v="488"/>
    <x v="177"/>
    <s v="gala"/>
    <n v="500"/>
    <x v="3"/>
    <s v="Stash"/>
    <n v="9"/>
    <n v="2024"/>
    <s v="gala"/>
  </r>
  <r>
    <n v="489"/>
    <x v="178"/>
    <s v="tito dondon"/>
    <n v="200"/>
    <x v="3"/>
    <s v="Stash"/>
    <n v="9"/>
    <n v="2024"/>
    <s v="tito dondon"/>
  </r>
  <r>
    <n v="490"/>
    <x v="178"/>
    <s v="Kape 2x"/>
    <n v="260"/>
    <x v="3"/>
    <s v="Stash"/>
    <n v="9"/>
    <n v="2024"/>
    <s v="Kape"/>
  </r>
  <r>
    <n v="491"/>
    <x v="179"/>
    <s v="YT Membership"/>
    <n v="129"/>
    <x v="3"/>
    <s v="G-cash"/>
    <n v="9"/>
    <n v="2024"/>
    <s v="YT Membership"/>
  </r>
  <r>
    <n v="492"/>
    <x v="180"/>
    <s v="mano tantan"/>
    <n v="100"/>
    <x v="3"/>
    <s v="Stash"/>
    <n v="9"/>
    <n v="2024"/>
    <s v="mano tantan"/>
  </r>
  <r>
    <n v="493"/>
    <x v="181"/>
    <s v="sura"/>
    <n v="30"/>
    <x v="3"/>
    <s v="Stash"/>
    <n v="9"/>
    <n v="2024"/>
    <s v="sura"/>
  </r>
  <r>
    <n v="494"/>
    <x v="182"/>
    <s v="サラリー"/>
    <n v="13202"/>
    <x v="0"/>
    <s v="Stash"/>
    <n v="9"/>
    <n v="2024"/>
    <s v="salary"/>
  </r>
  <r>
    <n v="495"/>
    <x v="183"/>
    <s v="aragmot (teachers day)"/>
    <n v="500"/>
    <x v="2"/>
    <s v="G-cash"/>
    <n v="9"/>
    <n v="2024"/>
    <s v="aragmot"/>
  </r>
  <r>
    <n v="496"/>
    <x v="184"/>
    <s v="coke 1.5"/>
    <n v="80"/>
    <x v="3"/>
    <s v="Stash"/>
    <n v="9"/>
    <n v="2024"/>
    <s v="soft drinks"/>
  </r>
  <r>
    <n v="497"/>
    <x v="185"/>
    <s v="science quiz bee rewards"/>
    <n v="100"/>
    <x v="3"/>
    <s v="Stash"/>
    <n v="9"/>
    <n v="2024"/>
    <s v="science quiz bee rewards"/>
  </r>
  <r>
    <n v="498"/>
    <x v="186"/>
    <s v="aragmot (teachers day)"/>
    <n v="1365"/>
    <x v="3"/>
    <s v="Stash"/>
    <n v="10"/>
    <n v="2024"/>
    <s v="aragmot"/>
  </r>
  <r>
    <n v="499"/>
    <x v="186"/>
    <s v="pamasahe (lamingao - villa)"/>
    <n v="30"/>
    <x v="3"/>
    <s v="Stash"/>
    <n v="10"/>
    <n v="2024"/>
    <s v="Pamasahe"/>
  </r>
  <r>
    <n v="500"/>
    <x v="186"/>
    <s v="tubig"/>
    <n v="20"/>
    <x v="3"/>
    <s v="Stash"/>
    <n v="10"/>
    <n v="2024"/>
    <s v="tubig"/>
  </r>
  <r>
    <n v="501"/>
    <x v="186"/>
    <s v="pandesal"/>
    <n v="10"/>
    <x v="3"/>
    <s v="Stash"/>
    <n v="10"/>
    <n v="2024"/>
    <s v="pandesal"/>
  </r>
  <r>
    <n v="502"/>
    <x v="186"/>
    <s v="pamasahe (villa - tacloban)"/>
    <n v="120"/>
    <x v="3"/>
    <s v="Stash"/>
    <n v="10"/>
    <n v="2024"/>
    <s v="Pamasahe"/>
  </r>
  <r>
    <n v="503"/>
    <x v="186"/>
    <s v="pamahaw"/>
    <n v="218"/>
    <x v="3"/>
    <s v="Stash"/>
    <n v="10"/>
    <n v="2024"/>
    <s v="pamahaw"/>
  </r>
  <r>
    <n v="504"/>
    <x v="186"/>
    <s v="aragmot (teachers day)"/>
    <n v="855"/>
    <x v="2"/>
    <s v="G-cash"/>
    <n v="10"/>
    <n v="2024"/>
    <s v="aragmot"/>
  </r>
  <r>
    <n v="505"/>
    <x v="187"/>
    <s v="burger"/>
    <n v="45"/>
    <x v="3"/>
    <s v="Stash"/>
    <n v="10"/>
    <n v="2024"/>
    <s v="burger"/>
  </r>
  <r>
    <n v="506"/>
    <x v="187"/>
    <s v="pamasahe (downtown - terminal)"/>
    <n v="13"/>
    <x v="3"/>
    <s v="Stash"/>
    <n v="10"/>
    <n v="2024"/>
    <s v="Pamasahe"/>
  </r>
  <r>
    <n v="507"/>
    <x v="187"/>
    <s v="shawarma"/>
    <n v="290"/>
    <x v="3"/>
    <s v="Stash"/>
    <n v="10"/>
    <n v="2024"/>
    <s v="shawarma"/>
  </r>
  <r>
    <n v="508"/>
    <x v="187"/>
    <s v="pamasahe (tacloban - villa)"/>
    <n v="120"/>
    <x v="3"/>
    <s v="Stash"/>
    <n v="10"/>
    <n v="2024"/>
    <s v="Pamasahe"/>
  </r>
  <r>
    <n v="509"/>
    <x v="187"/>
    <s v="pamasahe (villa - lamingao)"/>
    <n v="50"/>
    <x v="3"/>
    <s v="Stash"/>
    <n v="10"/>
    <n v="2024"/>
    <s v="Pamasahe"/>
  </r>
  <r>
    <n v="510"/>
    <x v="187"/>
    <s v="supa"/>
    <n v="125"/>
    <x v="3"/>
    <s v="G-cash"/>
    <n v="10"/>
    <n v="2024"/>
    <s v="Supa"/>
  </r>
  <r>
    <n v="511"/>
    <x v="187"/>
    <s v="Supa"/>
    <n v="50"/>
    <x v="3"/>
    <s v="G-cash"/>
    <n v="10"/>
    <n v="2024"/>
    <s v="Supa"/>
  </r>
  <r>
    <n v="512"/>
    <x v="188"/>
    <s v="Spotify"/>
    <n v="239"/>
    <x v="3"/>
    <s v="G-cash"/>
    <n v="10"/>
    <n v="2024"/>
    <s v="Spotify"/>
  </r>
  <r>
    <n v="513"/>
    <x v="189"/>
    <s v="intrams props"/>
    <n v="500"/>
    <x v="3"/>
    <s v="Stash"/>
    <n v="10"/>
    <n v="2024"/>
    <s v="intrams props"/>
  </r>
  <r>
    <n v="514"/>
    <x v="190"/>
    <s v="sura"/>
    <n v="35"/>
    <x v="3"/>
    <s v="Stash"/>
    <n v="10"/>
    <n v="2024"/>
    <s v="sura"/>
  </r>
  <r>
    <n v="515"/>
    <x v="190"/>
    <s v="wifi load (family access)"/>
    <n v="199"/>
    <x v="3"/>
    <s v="G-cash"/>
    <n v="10"/>
    <n v="2024"/>
    <s v="wifi load (family access)"/>
  </r>
  <r>
    <n v="516"/>
    <x v="191"/>
    <s v="???"/>
    <n v="1021"/>
    <x v="0"/>
    <s v="Bank"/>
    <n v="10"/>
    <n v="2024"/>
    <s v="???"/>
  </r>
  <r>
    <n v="517"/>
    <x v="191"/>
    <s v="gasolina (sept 24)"/>
    <n v="3150"/>
    <x v="3"/>
    <s v="Stash"/>
    <n v="10"/>
    <n v="2024"/>
    <s v="Gasolina"/>
  </r>
  <r>
    <n v="518"/>
    <x v="191"/>
    <s v="balay (sept 24)"/>
    <n v="5000"/>
    <x v="3"/>
    <s v="Stash"/>
    <n v="10"/>
    <n v="2024"/>
    <s v="balay"/>
  </r>
  <r>
    <n v="519"/>
    <x v="191"/>
    <s v="sheena paayad"/>
    <n v="1750"/>
    <x v="3"/>
    <s v="Stash"/>
    <n v="10"/>
    <n v="2024"/>
    <s v="sheena-related"/>
  </r>
  <r>
    <n v="520"/>
    <x v="192"/>
    <s v="pasahe (guimbalangawan - guintarcan)"/>
    <n v="20"/>
    <x v="3"/>
    <s v="Stash"/>
    <n v="10"/>
    <n v="2024"/>
    <s v="Pamasahe"/>
  </r>
  <r>
    <n v="521"/>
    <x v="192"/>
    <s v="sura"/>
    <n v="15"/>
    <x v="3"/>
    <s v="Stash"/>
    <n v="10"/>
    <n v="2024"/>
    <s v="sura"/>
  </r>
  <r>
    <n v="522"/>
    <x v="192"/>
    <s v="サラリー"/>
    <n v="13240"/>
    <x v="0"/>
    <s v="Bank"/>
    <n v="10"/>
    <n v="2024"/>
    <s v="salary"/>
  </r>
  <r>
    <n v="523"/>
    <x v="193"/>
    <s v="sura"/>
    <n v="45"/>
    <x v="3"/>
    <s v="Stash"/>
    <n v="10"/>
    <n v="2024"/>
    <s v="sura"/>
  </r>
  <r>
    <n v="524"/>
    <x v="193"/>
    <s v="scouting membership"/>
    <n v="50"/>
    <x v="3"/>
    <s v="Stash"/>
    <n v="10"/>
    <n v="2024"/>
    <s v="scouting membership"/>
  </r>
  <r>
    <n v="525"/>
    <x v="193"/>
    <s v="supa"/>
    <n v="125"/>
    <x v="3"/>
    <s v="G-cash"/>
    <n v="10"/>
    <n v="2024"/>
    <s v="Supa"/>
  </r>
  <r>
    <n v="526"/>
    <x v="194"/>
    <s v="wifi load (family access)"/>
    <n v="199"/>
    <x v="3"/>
    <s v="G-cash"/>
    <n v="10"/>
    <n v="2024"/>
    <s v="wifi load (family access)"/>
  </r>
  <r>
    <n v="527"/>
    <x v="195"/>
    <s v="Supa"/>
    <n v="125"/>
    <x v="3"/>
    <s v="G-cash"/>
    <n v="10"/>
    <n v="2024"/>
    <s v="Supa"/>
  </r>
  <r>
    <n v="528"/>
    <x v="196"/>
    <s v="Kape 2x"/>
    <n v="260"/>
    <x v="3"/>
    <s v="Stash"/>
    <n v="10"/>
    <n v="2024"/>
    <s v="Kape"/>
  </r>
  <r>
    <n v="529"/>
    <x v="196"/>
    <s v="YT Membership"/>
    <n v="129"/>
    <x v="3"/>
    <s v="G-cash"/>
    <n v="10"/>
    <n v="2024"/>
    <s v="YT Membership"/>
  </r>
  <r>
    <n v="530"/>
    <x v="197"/>
    <s v="sabon panlaba"/>
    <n v="8"/>
    <x v="3"/>
    <s v="Stash"/>
    <n v="10"/>
    <n v="2024"/>
    <s v="sabon panlaba"/>
  </r>
  <r>
    <n v="531"/>
    <x v="197"/>
    <s v="Supa"/>
    <n v="125"/>
    <x v="3"/>
    <s v="G-cash"/>
    <n v="10"/>
    <n v="2024"/>
    <s v="Supa"/>
  </r>
  <r>
    <n v="532"/>
    <x v="198"/>
    <s v="Supa"/>
    <n v="125"/>
    <x v="3"/>
    <s v="G-cash"/>
    <n v="10"/>
    <n v="2024"/>
    <s v="Supa"/>
  </r>
  <r>
    <n v="533"/>
    <x v="199"/>
    <s v="letson"/>
    <n v="10000"/>
    <x v="3"/>
    <s v="Stash"/>
    <n v="10"/>
    <n v="2024"/>
    <s v="letson"/>
  </r>
  <r>
    <n v="534"/>
    <x v="199"/>
    <s v="Supa"/>
    <n v="25"/>
    <x v="3"/>
    <s v="G-cash"/>
    <n v="10"/>
    <n v="2024"/>
    <s v="Supa"/>
  </r>
  <r>
    <n v="535"/>
    <x v="200"/>
    <s v="tuba"/>
    <n v="200"/>
    <x v="3"/>
    <s v="Stash"/>
    <n v="10"/>
    <n v="2024"/>
    <s v="tuba"/>
  </r>
  <r>
    <n v="536"/>
    <x v="200"/>
    <s v="wifi load (family access)"/>
    <n v="199"/>
    <x v="3"/>
    <s v="G-cash"/>
    <n v="10"/>
    <n v="2024"/>
    <s v="wifi load (family access)"/>
  </r>
  <r>
    <n v="537"/>
    <x v="201"/>
    <s v="sura"/>
    <n v="15"/>
    <x v="3"/>
    <s v="Stash"/>
    <n v="10"/>
    <n v="2024"/>
    <s v="sura"/>
  </r>
  <r>
    <n v="538"/>
    <x v="201"/>
    <s v="steam (outlast)"/>
    <n v="92"/>
    <x v="3"/>
    <s v="G-cash"/>
    <n v="10"/>
    <n v="2024"/>
    <s v="steam"/>
  </r>
  <r>
    <n v="539"/>
    <x v="202"/>
    <s v="tuba"/>
    <n v="150"/>
    <x v="3"/>
    <s v="Stash"/>
    <n v="10"/>
    <n v="2024"/>
    <s v="tuba"/>
  </r>
  <r>
    <n v="540"/>
    <x v="202"/>
    <s v="サラリー"/>
    <n v="13241"/>
    <x v="0"/>
    <s v="Bank"/>
    <n v="10"/>
    <n v="2024"/>
    <s v="salary"/>
  </r>
  <r>
    <n v="541"/>
    <x v="203"/>
    <s v="arot"/>
    <n v="35"/>
    <x v="3"/>
    <s v="Stash"/>
    <n v="11"/>
    <n v="2024"/>
    <s v="arot"/>
  </r>
  <r>
    <n v="542"/>
    <x v="204"/>
    <s v="wifi load (family access)"/>
    <n v="199"/>
    <x v="3"/>
    <s v="G-cash"/>
    <n v="11"/>
    <n v="2024"/>
    <s v="wifi load (family access)"/>
  </r>
  <r>
    <n v="543"/>
    <x v="205"/>
    <s v="manok"/>
    <n v="30"/>
    <x v="3"/>
    <s v="Stash"/>
    <n v="11"/>
    <n v="2024"/>
    <s v="manok"/>
  </r>
  <r>
    <n v="544"/>
    <x v="205"/>
    <s v="hotdog"/>
    <n v="15"/>
    <x v="3"/>
    <s v="Stash"/>
    <n v="11"/>
    <n v="2024"/>
    <s v="hotdog"/>
  </r>
  <r>
    <n v="545"/>
    <x v="206"/>
    <s v="hotdog"/>
    <n v="15"/>
    <x v="3"/>
    <s v="Stash"/>
    <n v="11"/>
    <n v="2024"/>
    <s v="hotdog"/>
  </r>
  <r>
    <n v="546"/>
    <x v="207"/>
    <s v="hotdog"/>
    <n v="15"/>
    <x v="3"/>
    <s v="Stash"/>
    <n v="11"/>
    <n v="2024"/>
    <s v="hotdog"/>
  </r>
  <r>
    <n v="547"/>
    <x v="207"/>
    <s v="burger steak"/>
    <n v="20"/>
    <x v="3"/>
    <s v="Stash"/>
    <n v="11"/>
    <n v="2024"/>
    <s v="burger steak"/>
  </r>
  <r>
    <n v="548"/>
    <x v="208"/>
    <s v="bayad absent"/>
    <n v="500"/>
    <x v="3"/>
    <s v="Stash"/>
    <n v="11"/>
    <n v="2024"/>
    <s v="bayad absent"/>
  </r>
  <r>
    <n v="549"/>
    <x v="208"/>
    <s v="referee"/>
    <n v="200"/>
    <x v="3"/>
    <s v="Stash"/>
    <n v="11"/>
    <n v="2024"/>
    <s v="referee"/>
  </r>
  <r>
    <n v="550"/>
    <x v="208"/>
    <s v="tubig"/>
    <n v="50"/>
    <x v="3"/>
    <s v="Stash"/>
    <n v="11"/>
    <n v="2024"/>
    <s v="tubig"/>
  </r>
  <r>
    <n v="551"/>
    <x v="208"/>
    <s v="suhol tubig"/>
    <n v="20"/>
    <x v="3"/>
    <s v="Stash"/>
    <n v="11"/>
    <n v="2024"/>
    <s v="suhol tubig"/>
  </r>
  <r>
    <n v="552"/>
    <x v="208"/>
    <s v="disposable cups"/>
    <n v="40"/>
    <x v="3"/>
    <s v="Stash"/>
    <n v="11"/>
    <n v="2024"/>
    <s v="disposable cups"/>
  </r>
  <r>
    <n v="553"/>
    <x v="209"/>
    <s v="sura"/>
    <n v="45"/>
    <x v="3"/>
    <s v="Stash"/>
    <n v="11"/>
    <n v="2024"/>
    <s v="sura"/>
  </r>
  <r>
    <n v="554"/>
    <x v="209"/>
    <s v="Kape 2x"/>
    <n v="265"/>
    <x v="3"/>
    <s v="Stash"/>
    <n v="11"/>
    <n v="2024"/>
    <s v="Kape"/>
  </r>
  <r>
    <n v="555"/>
    <x v="209"/>
    <s v="歳末のボーナス"/>
    <n v="27000"/>
    <x v="0"/>
    <s v="Bank"/>
    <n v="11"/>
    <n v="2024"/>
    <s v="year-end bonus"/>
  </r>
  <r>
    <n v="556"/>
    <x v="209"/>
    <s v="cash gift"/>
    <n v="5000"/>
    <x v="0"/>
    <s v="Bank"/>
    <n v="11"/>
    <n v="2024"/>
    <s v="cash gift"/>
  </r>
  <r>
    <n v="557"/>
    <x v="209"/>
    <s v="サラリー"/>
    <n v="14752"/>
    <x v="0"/>
    <s v="Bank"/>
    <n v="11"/>
    <n v="2024"/>
    <s v="salary"/>
  </r>
  <r>
    <n v="558"/>
    <x v="210"/>
    <s v="sura"/>
    <n v="30"/>
    <x v="3"/>
    <s v="Stash"/>
    <n v="11"/>
    <n v="2024"/>
    <s v="sura"/>
  </r>
  <r>
    <n v="559"/>
    <x v="210"/>
    <s v="gasolina (oct 24)"/>
    <n v="2325"/>
    <x v="3"/>
    <s v="Stash"/>
    <n v="11"/>
    <n v="2024"/>
    <s v="Gasolina"/>
  </r>
  <r>
    <n v="560"/>
    <x v="210"/>
    <s v="balay"/>
    <n v="5000"/>
    <x v="3"/>
    <s v="Stash"/>
    <n v="11"/>
    <n v="2024"/>
    <s v="balay"/>
  </r>
  <r>
    <n v="561"/>
    <x v="210"/>
    <s v="asite"/>
    <n v="300"/>
    <x v="3"/>
    <s v="Stash"/>
    <n v="11"/>
    <n v="2024"/>
    <s v="asite"/>
  </r>
  <r>
    <n v="562"/>
    <x v="211"/>
    <s v="tito dondon"/>
    <n v="100"/>
    <x v="3"/>
    <s v="Stash"/>
    <n v="11"/>
    <n v="2024"/>
    <s v="tito dondon"/>
  </r>
  <r>
    <n v="563"/>
    <x v="212"/>
    <s v="donation - basket ball G11"/>
    <n v="100"/>
    <x v="3"/>
    <s v="Stash"/>
    <n v="11"/>
    <n v="2024"/>
    <s v="donation"/>
  </r>
  <r>
    <n v="564"/>
    <x v="212"/>
    <s v="sura"/>
    <n v="15"/>
    <x v="3"/>
    <s v="Stash"/>
    <n v="11"/>
    <n v="2024"/>
    <s v="sura"/>
  </r>
  <r>
    <n v="565"/>
    <x v="213"/>
    <s v="sura"/>
    <n v="15"/>
    <x v="3"/>
    <s v="Stash"/>
    <n v="11"/>
    <n v="2024"/>
    <s v="sura"/>
  </r>
  <r>
    <n v="566"/>
    <x v="213"/>
    <s v="donation - basket ball G9"/>
    <n v="100"/>
    <x v="3"/>
    <s v="Stash"/>
    <n v="11"/>
    <n v="2024"/>
    <s v="donation"/>
  </r>
  <r>
    <n v="567"/>
    <x v="214"/>
    <s v="donation - basket ball G10"/>
    <n v="100"/>
    <x v="3"/>
    <s v="Stash"/>
    <n v="11"/>
    <n v="2024"/>
    <s v="donation"/>
  </r>
  <r>
    <n v="568"/>
    <x v="215"/>
    <s v="donation - volley ball"/>
    <n v="100"/>
    <x v="3"/>
    <s v="Stash"/>
    <n v="11"/>
    <n v="2024"/>
    <s v="donation"/>
  </r>
  <r>
    <n v="569"/>
    <x v="215"/>
    <s v="sura"/>
    <n v="45"/>
    <x v="3"/>
    <s v="Stash"/>
    <n v="11"/>
    <n v="2024"/>
    <s v="sura"/>
  </r>
  <r>
    <n v="570"/>
    <x v="216"/>
    <s v="ballpen"/>
    <n v="12"/>
    <x v="3"/>
    <s v="Stash"/>
    <n v="11"/>
    <n v="2024"/>
    <s v="ballpen"/>
  </r>
  <r>
    <n v="571"/>
    <x v="216"/>
    <s v="arot"/>
    <n v="30"/>
    <x v="3"/>
    <s v="Stash"/>
    <n v="11"/>
    <n v="2024"/>
    <s v="arot"/>
  </r>
  <r>
    <n v="572"/>
    <x v="217"/>
    <s v="サラリー"/>
    <n v="13240"/>
    <x v="0"/>
    <s v="Stash"/>
    <n v="11"/>
    <n v="2024"/>
    <s v="salary"/>
  </r>
  <r>
    <n v="573"/>
    <x v="218"/>
    <s v="hotdog"/>
    <n v="15"/>
    <x v="3"/>
    <s v="Stash"/>
    <n v="12"/>
    <n v="2024"/>
    <s v="hotdog"/>
  </r>
  <r>
    <n v="574"/>
    <x v="219"/>
    <s v="sura"/>
    <n v="45"/>
    <x v="3"/>
    <s v="Stash"/>
    <n v="12"/>
    <n v="2024"/>
    <s v="sura"/>
  </r>
  <r>
    <n v="575"/>
    <x v="220"/>
    <s v="kape blanca"/>
    <n v="135"/>
    <x v="3"/>
    <s v="Stash"/>
    <n v="12"/>
    <n v="2024"/>
    <s v="Kape"/>
  </r>
  <r>
    <n v="576"/>
    <x v="220"/>
    <s v="ketchup"/>
    <n v="35"/>
    <x v="3"/>
    <s v="Stash"/>
    <n v="12"/>
    <n v="2024"/>
    <s v="ketchup"/>
  </r>
  <r>
    <n v="577"/>
    <x v="221"/>
    <s v="hotdog"/>
    <n v="15"/>
    <x v="3"/>
    <s v="Stash"/>
    <n v="12"/>
    <n v="2024"/>
    <s v="hotdog"/>
  </r>
  <r>
    <n v="578"/>
    <x v="222"/>
    <s v="sura"/>
    <n v="45"/>
    <x v="3"/>
    <s v="Stash"/>
    <n v="12"/>
    <n v="2024"/>
    <s v="sura"/>
  </r>
  <r>
    <n v="579"/>
    <x v="223"/>
    <s v="sura"/>
    <n v="45"/>
    <x v="3"/>
    <s v="Stash"/>
    <n v="12"/>
    <n v="2024"/>
    <s v="sura"/>
  </r>
  <r>
    <n v="580"/>
    <x v="224"/>
    <s v="portfolio day"/>
    <n v="225"/>
    <x v="3"/>
    <s v="Stash"/>
    <n v="12"/>
    <n v="2024"/>
    <s v="portfolio day"/>
  </r>
  <r>
    <n v="581"/>
    <x v="225"/>
    <s v="mesa de gallo"/>
    <n v="200"/>
    <x v="3"/>
    <s v="Stash"/>
    <n v="12"/>
    <n v="2024"/>
    <s v="mesa de gallo"/>
  </r>
  <r>
    <n v="582"/>
    <x v="225"/>
    <s v="xmas party"/>
    <n v="365"/>
    <x v="3"/>
    <s v="Stash"/>
    <n v="12"/>
    <n v="2024"/>
    <s v="xmas party"/>
  </r>
  <r>
    <n v="583"/>
    <x v="225"/>
    <s v="prize"/>
    <n v="180"/>
    <x v="3"/>
    <s v="Stash"/>
    <n v="12"/>
    <n v="2024"/>
    <s v="prize"/>
  </r>
  <r>
    <n v="584"/>
    <x v="225"/>
    <s v="soft drinks"/>
    <n v="350"/>
    <x v="3"/>
    <s v="Stash"/>
    <n v="12"/>
    <n v="2024"/>
    <s v="soft drinks"/>
  </r>
  <r>
    <n v="585"/>
    <x v="225"/>
    <s v="brownies"/>
    <n v="175"/>
    <x v="3"/>
    <s v="Stash"/>
    <n v="12"/>
    <n v="2024"/>
    <s v="brownies"/>
  </r>
  <r>
    <n v="586"/>
    <x v="226"/>
    <s v="サラリー"/>
    <n v="13240"/>
    <x v="0"/>
    <s v="Bank"/>
    <n v="12"/>
    <n v="2024"/>
    <s v="salary"/>
  </r>
  <r>
    <n v="587"/>
    <x v="226"/>
    <s v="第十三月のサラリー"/>
    <n v="25000"/>
    <x v="0"/>
    <s v="Bank"/>
    <n v="12"/>
    <n v="2024"/>
    <s v="13th month pay"/>
  </r>
  <r>
    <n v="588"/>
    <x v="226"/>
    <s v="gasolina"/>
    <n v="3000"/>
    <x v="3"/>
    <s v="Stash"/>
    <n v="12"/>
    <n v="2024"/>
    <s v="Gasolina"/>
  </r>
  <r>
    <n v="589"/>
    <x v="226"/>
    <s v="balay"/>
    <n v="6000"/>
    <x v="3"/>
    <s v="Stash"/>
    <n v="12"/>
    <n v="2024"/>
    <s v="balay"/>
  </r>
  <r>
    <n v="590"/>
    <x v="226"/>
    <s v="bado"/>
    <n v="1050"/>
    <x v="3"/>
    <s v="Stash"/>
    <n v="12"/>
    <n v="2024"/>
    <s v="bado"/>
  </r>
  <r>
    <n v="591"/>
    <x v="226"/>
    <s v="phone stand"/>
    <n v="100"/>
    <x v="3"/>
    <s v="Stash"/>
    <n v="12"/>
    <n v="2024"/>
    <s v="phone stand"/>
  </r>
  <r>
    <n v="592"/>
    <x v="226"/>
    <s v="asiti"/>
    <n v="210"/>
    <x v="3"/>
    <s v="Stash"/>
    <n v="12"/>
    <n v="2024"/>
    <s v="asiti"/>
  </r>
  <r>
    <n v="593"/>
    <x v="227"/>
    <s v="pamasahe"/>
    <n v="25"/>
    <x v="3"/>
    <s v="Stash"/>
    <n v="12"/>
    <n v="2024"/>
    <s v="Pamasahe"/>
  </r>
  <r>
    <n v="594"/>
    <x v="227"/>
    <s v="pandesal"/>
    <n v="10"/>
    <x v="3"/>
    <s v="Stash"/>
    <n v="12"/>
    <n v="2024"/>
    <s v="pandesal"/>
  </r>
  <r>
    <n v="595"/>
    <x v="227"/>
    <s v="tubig"/>
    <n v="15"/>
    <x v="3"/>
    <s v="Stash"/>
    <n v="12"/>
    <n v="2024"/>
    <s v="tubig"/>
  </r>
  <r>
    <n v="596"/>
    <x v="227"/>
    <s v="pamahaw"/>
    <n v="160"/>
    <x v="3"/>
    <s v="Stash"/>
    <n v="12"/>
    <n v="2024"/>
    <s v="pamahaw"/>
  </r>
  <r>
    <n v="597"/>
    <x v="227"/>
    <s v="paniudto"/>
    <n v="185"/>
    <x v="3"/>
    <s v="Stash"/>
    <n v="12"/>
    <n v="2024"/>
    <s v="paniudto"/>
  </r>
  <r>
    <n v="598"/>
    <x v="227"/>
    <s v="panigab-i"/>
    <n v="190"/>
    <x v="3"/>
    <s v="Stash"/>
    <n v="12"/>
    <n v="2024"/>
    <s v="panigab-i"/>
  </r>
  <r>
    <n v="599"/>
    <x v="227"/>
    <s v="サラリー"/>
    <n v="13241"/>
    <x v="0"/>
    <s v="Bank"/>
    <n v="12"/>
    <n v="2024"/>
    <s v="salary"/>
  </r>
  <r>
    <n v="600"/>
    <x v="227"/>
    <s v="withdraw (atm)"/>
    <n v="10000"/>
    <x v="1"/>
    <s v="Bank"/>
    <n v="12"/>
    <n v="2024"/>
    <s v="withdraw (atm)"/>
  </r>
  <r>
    <n v="601"/>
    <x v="228"/>
    <s v="aficionado (F28)"/>
    <n v="320"/>
    <x v="3"/>
    <s v="Stash"/>
    <n v="12"/>
    <n v="2024"/>
    <s v="aficionado (F28)"/>
  </r>
  <r>
    <n v="602"/>
    <x v="228"/>
    <s v="boxer shorts"/>
    <n v="798"/>
    <x v="3"/>
    <s v="Stash"/>
    <n v="12"/>
    <n v="2024"/>
    <s v="boxer shorts"/>
  </r>
  <r>
    <n v="603"/>
    <x v="228"/>
    <s v="sliced bread"/>
    <n v="180"/>
    <x v="3"/>
    <s v="Stash"/>
    <n v="12"/>
    <n v="2024"/>
    <s v="sliced bread"/>
  </r>
  <r>
    <n v="604"/>
    <x v="228"/>
    <s v="eco-bag"/>
    <n v="28"/>
    <x v="3"/>
    <s v="Stash"/>
    <n v="12"/>
    <n v="2024"/>
    <s v="eco-bag"/>
  </r>
  <r>
    <n v="605"/>
    <x v="228"/>
    <s v="pamasahe"/>
    <n v="140"/>
    <x v="3"/>
    <s v="Stash"/>
    <n v="12"/>
    <n v="2024"/>
    <s v="Pamasahe"/>
  </r>
  <r>
    <n v="606"/>
    <x v="228"/>
    <s v="kuya huram"/>
    <n v="200"/>
    <x v="3"/>
    <s v="Stash"/>
    <n v="12"/>
    <n v="2024"/>
    <s v="kuya huram"/>
  </r>
  <r>
    <n v="607"/>
    <x v="228"/>
    <s v="red horse (1 case)"/>
    <n v="720"/>
    <x v="3"/>
    <s v="Stash"/>
    <n v="12"/>
    <n v="2024"/>
    <s v="red horse"/>
  </r>
  <r>
    <n v="608"/>
    <x v="229"/>
    <s v="pamaskuhan"/>
    <n v="1150"/>
    <x v="3"/>
    <s v="Stash"/>
    <n v="12"/>
    <n v="2024"/>
    <s v="pamaskuhan"/>
  </r>
  <r>
    <n v="609"/>
    <x v="230"/>
    <s v="tuba"/>
    <n v="350"/>
    <x v="3"/>
    <s v="Stash"/>
    <n v="12"/>
    <n v="2024"/>
    <s v="tuba"/>
  </r>
  <r>
    <n v="610"/>
    <x v="231"/>
    <s v="pandesal"/>
    <n v="20"/>
    <x v="3"/>
    <s v="Stash"/>
    <n v="12"/>
    <n v="2024"/>
    <s v="pandesal"/>
  </r>
  <r>
    <n v="611"/>
    <x v="231"/>
    <s v="tubig"/>
    <n v="15"/>
    <x v="3"/>
    <s v="Stash"/>
    <n v="12"/>
    <n v="2024"/>
    <s v="tubig"/>
  </r>
  <r>
    <n v="612"/>
    <x v="231"/>
    <s v="pamahaw"/>
    <n v="281"/>
    <x v="3"/>
    <s v="Stash"/>
    <n v="12"/>
    <n v="2024"/>
    <s v="pamahaw"/>
  </r>
  <r>
    <n v="613"/>
    <x v="231"/>
    <s v="withdraw (atm)"/>
    <n v="9972"/>
    <x v="1"/>
    <s v="Bank"/>
    <n v="12"/>
    <n v="2024"/>
    <s v="withdraw (atm)"/>
  </r>
  <r>
    <n v="614"/>
    <x v="231"/>
    <s v="eco-bag"/>
    <n v="26"/>
    <x v="3"/>
    <s v="Stash"/>
    <n v="12"/>
    <n v="2024"/>
    <s v="eco-bag"/>
  </r>
  <r>
    <n v="615"/>
    <x v="231"/>
    <s v="bata medyas"/>
    <n v="69"/>
    <x v="3"/>
    <s v="Stash"/>
    <n v="12"/>
    <n v="2024"/>
    <s v="bata medyas"/>
  </r>
  <r>
    <n v="616"/>
    <x v="231"/>
    <s v="bata pajama w/ hood"/>
    <n v="269"/>
    <x v="3"/>
    <s v="Stash"/>
    <n v="12"/>
    <n v="2024"/>
    <s v="bata pajama w/ hood"/>
  </r>
  <r>
    <n v="617"/>
    <x v="231"/>
    <s v="hoody jacket"/>
    <n v="263"/>
    <x v="3"/>
    <s v="Stash"/>
    <n v="12"/>
    <n v="2024"/>
    <s v="hoody jacket"/>
  </r>
  <r>
    <n v="618"/>
    <x v="231"/>
    <s v="t-shirt"/>
    <n v="279"/>
    <x v="3"/>
    <s v="Stash"/>
    <n v="12"/>
    <n v="2024"/>
    <s v="t-shirt"/>
  </r>
  <r>
    <n v="619"/>
    <x v="231"/>
    <s v="pagkaon"/>
    <n v="250"/>
    <x v="3"/>
    <s v="Stash"/>
    <n v="12"/>
    <n v="2024"/>
    <s v="pagkaon"/>
  </r>
  <r>
    <n v="620"/>
    <x v="231"/>
    <s v="grocery"/>
    <n v="87"/>
    <x v="3"/>
    <s v="Stash"/>
    <n v="12"/>
    <n v="2024"/>
    <s v="grocery"/>
  </r>
  <r>
    <n v="621"/>
    <x v="232"/>
    <s v="lamesa"/>
    <n v="1289"/>
    <x v="3"/>
    <s v="Stash"/>
    <n v="12"/>
    <n v="2024"/>
    <s v="lamesa"/>
  </r>
  <r>
    <n v="622"/>
    <x v="232"/>
    <s v="Kape 2x"/>
    <n v="270"/>
    <x v="3"/>
    <s v="Stash"/>
    <n v="12"/>
    <n v="2024"/>
    <s v="Kape"/>
  </r>
  <r>
    <n v="623"/>
    <x v="233"/>
    <s v="beer (1 case)"/>
    <n v="720"/>
    <x v="3"/>
    <s v="Stash"/>
    <n v="12"/>
    <n v="2024"/>
    <s v="beer (1 case)"/>
  </r>
  <r>
    <n v="624"/>
    <x v="234"/>
    <s v="kape"/>
    <n v="5"/>
    <x v="3"/>
    <s v="Stash"/>
    <n v="1"/>
    <n v="2025"/>
    <s v="Kape"/>
  </r>
  <r>
    <n v="625"/>
    <x v="235"/>
    <s v="tubig"/>
    <n v="25"/>
    <x v="3"/>
    <s v="Stash"/>
    <n v="1"/>
    <n v="2025"/>
    <s v="tubig"/>
  </r>
  <r>
    <n v="626"/>
    <x v="236"/>
    <s v="gasolina"/>
    <n v="2100"/>
    <x v="3"/>
    <s v="Stash"/>
    <n v="1"/>
    <n v="2025"/>
    <s v="Gasolina"/>
  </r>
  <r>
    <n v="627"/>
    <x v="236"/>
    <s v="balay"/>
    <n v="7000"/>
    <x v="3"/>
    <s v="Stash"/>
    <n v="1"/>
    <n v="2025"/>
    <s v="balay"/>
  </r>
  <r>
    <n v="628"/>
    <x v="237"/>
    <s v="pasahe (lamingao - catbalogan)"/>
    <n v="150"/>
    <x v="3"/>
    <s v="Stash"/>
    <n v="1"/>
    <n v="2025"/>
    <s v="Pamasahe"/>
  </r>
  <r>
    <n v="629"/>
    <x v="237"/>
    <s v="pasahe"/>
    <n v="30"/>
    <x v="3"/>
    <s v="Stash"/>
    <n v="1"/>
    <n v="2025"/>
    <s v="Pamasahe"/>
  </r>
  <r>
    <n v="630"/>
    <x v="237"/>
    <s v="snack"/>
    <n v="40"/>
    <x v="3"/>
    <s v="Stash"/>
    <n v="1"/>
    <n v="2025"/>
    <s v="snack"/>
  </r>
  <r>
    <n v="631"/>
    <x v="237"/>
    <s v="paniudto"/>
    <n v="83"/>
    <x v="3"/>
    <s v="Stash"/>
    <n v="1"/>
    <n v="2025"/>
    <s v="paniudto"/>
  </r>
  <r>
    <n v="632"/>
    <x v="237"/>
    <s v="payong"/>
    <n v="230"/>
    <x v="3"/>
    <s v="Stash"/>
    <n v="1"/>
    <n v="2025"/>
    <s v="payong"/>
  </r>
  <r>
    <n v="633"/>
    <x v="237"/>
    <s v="pasahe (catbalogan - villa)"/>
    <n v="130"/>
    <x v="3"/>
    <s v="Stash"/>
    <n v="1"/>
    <n v="2025"/>
    <s v="Pamasahe"/>
  </r>
  <r>
    <n v="634"/>
    <x v="237"/>
    <s v="pashe (villa - lamingao)"/>
    <n v="200"/>
    <x v="3"/>
    <s v="Stash"/>
    <n v="1"/>
    <n v="2025"/>
    <s v="Pamasahe"/>
  </r>
  <r>
    <n v="635"/>
    <x v="238"/>
    <s v="pasahe (lamingao - catbalogan)"/>
    <n v="150"/>
    <x v="3"/>
    <s v="Stash"/>
    <n v="1"/>
    <n v="2025"/>
    <s v="Pamasahe"/>
  </r>
  <r>
    <n v="636"/>
    <x v="238"/>
    <s v="pamahaw"/>
    <n v="89"/>
    <x v="3"/>
    <s v="Stash"/>
    <n v="1"/>
    <n v="2025"/>
    <s v="pamahaw"/>
  </r>
  <r>
    <n v="637"/>
    <x v="238"/>
    <s v="pamasahe"/>
    <n v="60"/>
    <x v="3"/>
    <s v="Stash"/>
    <n v="1"/>
    <n v="2025"/>
    <s v="Pamasahe"/>
  </r>
  <r>
    <n v="638"/>
    <x v="238"/>
    <s v="withdraw (atm)"/>
    <n v="20000"/>
    <x v="1"/>
    <s v="Bank"/>
    <n v="1"/>
    <n v="2025"/>
    <s v="withdraw (atm)"/>
  </r>
  <r>
    <n v="639"/>
    <x v="238"/>
    <s v="monitor"/>
    <n v="5490"/>
    <x v="3"/>
    <s v="Stash"/>
    <n v="1"/>
    <n v="2025"/>
    <s v="monitor"/>
  </r>
  <r>
    <n v="640"/>
    <x v="238"/>
    <s v="pasahe"/>
    <n v="10"/>
    <x v="3"/>
    <s v="Stash"/>
    <n v="1"/>
    <n v="2025"/>
    <s v="Pamasahe"/>
  </r>
  <r>
    <n v="641"/>
    <x v="238"/>
    <s v="pasahe (catbalogan - lamingao)"/>
    <n v="150"/>
    <x v="3"/>
    <s v="Stash"/>
    <n v="1"/>
    <n v="2025"/>
    <s v="Pamasahe"/>
  </r>
  <r>
    <n v="642"/>
    <x v="239"/>
    <s v="pasahe (lamingao - villa)"/>
    <n v="30"/>
    <x v="3"/>
    <s v="Stash"/>
    <n v="1"/>
    <n v="2025"/>
    <s v="Pamasahe"/>
  </r>
  <r>
    <n v="643"/>
    <x v="239"/>
    <s v="pasahe (villa - tacloban)"/>
    <n v="120"/>
    <x v="3"/>
    <s v="Stash"/>
    <n v="1"/>
    <n v="2025"/>
    <s v="Pamasahe"/>
  </r>
  <r>
    <n v="644"/>
    <x v="239"/>
    <s v="pamahaw"/>
    <n v="184"/>
    <x v="3"/>
    <s v="Stash"/>
    <n v="1"/>
    <n v="2025"/>
    <s v="pamahaw"/>
  </r>
  <r>
    <n v="645"/>
    <x v="239"/>
    <s v="pamasahe (terminal - downtown)"/>
    <n v="13"/>
    <x v="3"/>
    <s v="Stash"/>
    <n v="1"/>
    <n v="2025"/>
    <s v="Pamasahe"/>
  </r>
  <r>
    <n v="646"/>
    <x v="239"/>
    <s v="pamasahe"/>
    <n v="40"/>
    <x v="3"/>
    <s v="Stash"/>
    <n v="1"/>
    <n v="2025"/>
    <s v="Pamasahe"/>
  </r>
  <r>
    <n v="647"/>
    <x v="239"/>
    <s v="t-shirt"/>
    <n v="638"/>
    <x v="3"/>
    <s v="Stash"/>
    <n v="1"/>
    <n v="2025"/>
    <s v="t-shirt"/>
  </r>
  <r>
    <n v="648"/>
    <x v="239"/>
    <s v="boxer shorts"/>
    <n v="599"/>
    <x v="3"/>
    <s v="Stash"/>
    <n v="1"/>
    <n v="2025"/>
    <s v="boxer shorts"/>
  </r>
  <r>
    <n v="649"/>
    <x v="239"/>
    <s v="burger"/>
    <n v="42"/>
    <x v="3"/>
    <s v="Stash"/>
    <n v="1"/>
    <n v="2025"/>
    <s v="burger"/>
  </r>
  <r>
    <n v="650"/>
    <x v="239"/>
    <s v="pamasahe (tacloban - villa)"/>
    <n v="120"/>
    <x v="3"/>
    <s v="Stash"/>
    <n v="1"/>
    <n v="2025"/>
    <s v="Pamasahe"/>
  </r>
  <r>
    <n v="651"/>
    <x v="239"/>
    <s v="pamasahe (villa - lamingao)"/>
    <n v="20"/>
    <x v="3"/>
    <s v="Stash"/>
    <n v="1"/>
    <n v="2025"/>
    <s v="Pamasahe"/>
  </r>
  <r>
    <n v="652"/>
    <x v="239"/>
    <s v="shawarma"/>
    <n v="300"/>
    <x v="3"/>
    <s v="Stash"/>
    <n v="1"/>
    <n v="2025"/>
    <s v="shawarma"/>
  </r>
  <r>
    <n v="653"/>
    <x v="240"/>
    <s v="サラリー"/>
    <n v="13201"/>
    <x v="0"/>
    <s v="Bank"/>
    <n v="1"/>
    <n v="2025"/>
    <s v="salary"/>
  </r>
  <r>
    <n v="654"/>
    <x v="241"/>
    <s v="pasahe (lamingao - villa)"/>
    <n v="50"/>
    <x v="3"/>
    <s v="Stash"/>
    <n v="1"/>
    <n v="2025"/>
    <s v="Pamasahe"/>
  </r>
  <r>
    <n v="655"/>
    <x v="241"/>
    <s v="tinapay"/>
    <n v="20"/>
    <x v="3"/>
    <s v="Stash"/>
    <n v="1"/>
    <n v="2025"/>
    <s v="tinapay"/>
  </r>
  <r>
    <n v="656"/>
    <x v="241"/>
    <s v="tubig"/>
    <n v="20"/>
    <x v="3"/>
    <s v="Stash"/>
    <n v="1"/>
    <n v="2025"/>
    <s v="tubig"/>
  </r>
  <r>
    <n v="657"/>
    <x v="241"/>
    <s v="pamasahe (villa - catbalogan)"/>
    <n v="120"/>
    <x v="3"/>
    <s v="Stash"/>
    <n v="1"/>
    <n v="2025"/>
    <s v="Pamasahe"/>
  </r>
  <r>
    <n v="658"/>
    <x v="241"/>
    <s v="pamahaw"/>
    <n v="120"/>
    <x v="3"/>
    <s v="Stash"/>
    <n v="1"/>
    <n v="2025"/>
    <s v="pamahaw"/>
  </r>
  <r>
    <n v="659"/>
    <x v="241"/>
    <s v="pamasahe"/>
    <n v="60"/>
    <x v="3"/>
    <s v="Stash"/>
    <n v="1"/>
    <n v="2025"/>
    <s v="Pamasahe"/>
  </r>
  <r>
    <n v="660"/>
    <x v="241"/>
    <s v="extension wire"/>
    <n v="135"/>
    <x v="3"/>
    <s v="Stash"/>
    <n v="1"/>
    <n v="2025"/>
    <s v="extension wire"/>
  </r>
  <r>
    <n v="661"/>
    <x v="241"/>
    <s v="eco-bag"/>
    <n v="20"/>
    <x v="3"/>
    <s v="Stash"/>
    <n v="1"/>
    <n v="2025"/>
    <s v="eco-bag"/>
  </r>
  <r>
    <n v="662"/>
    <x v="241"/>
    <s v="pasahe"/>
    <n v="10"/>
    <x v="3"/>
    <s v="Stash"/>
    <n v="1"/>
    <n v="2025"/>
    <s v="Pamasahe"/>
  </r>
  <r>
    <n v="663"/>
    <x v="241"/>
    <s v="tubig"/>
    <n v="25"/>
    <x v="3"/>
    <s v="Stash"/>
    <n v="1"/>
    <n v="2025"/>
    <s v="tubig"/>
  </r>
  <r>
    <n v="664"/>
    <x v="241"/>
    <s v="pamasahe (catbalogan - villa)"/>
    <n v="120"/>
    <x v="3"/>
    <s v="Stash"/>
    <n v="1"/>
    <n v="2025"/>
    <s v="Pamasahe"/>
  </r>
  <r>
    <n v="665"/>
    <x v="241"/>
    <s v="pamasahe (villa - lamingao)"/>
    <n v="100"/>
    <x v="3"/>
    <s v="Stash"/>
    <n v="1"/>
    <n v="2025"/>
    <s v="Pamasahe"/>
  </r>
  <r>
    <n v="666"/>
    <x v="242"/>
    <s v="pasahe (lamingao - catbalogan)"/>
    <n v="300"/>
    <x v="3"/>
    <s v="Stash"/>
    <n v="1"/>
    <n v="2025"/>
    <s v="Pamasahe"/>
  </r>
  <r>
    <n v="667"/>
    <x v="242"/>
    <s v="pamahaw"/>
    <n v="392"/>
    <x v="3"/>
    <s v="Stash"/>
    <n v="1"/>
    <n v="2025"/>
    <s v="pamahaw"/>
  </r>
  <r>
    <n v="668"/>
    <x v="242"/>
    <s v="paperworld"/>
    <n v="58"/>
    <x v="3"/>
    <s v="Stash"/>
    <n v="1"/>
    <n v="2025"/>
    <s v="paperworld"/>
  </r>
  <r>
    <n v="669"/>
    <x v="242"/>
    <s v="photocopy"/>
    <n v="18"/>
    <x v="3"/>
    <s v="Stash"/>
    <n v="1"/>
    <n v="2025"/>
    <s v="photocopy"/>
  </r>
  <r>
    <n v="670"/>
    <x v="242"/>
    <s v="pahahe"/>
    <n v="20"/>
    <x v="3"/>
    <s v="Stash"/>
    <n v="1"/>
    <n v="2025"/>
    <s v="pahah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s v="balay"/>
    <n v="5000"/>
    <n v="0.15613777597351902"/>
    <n v="1"/>
    <x v="0"/>
  </r>
  <r>
    <s v="battery "/>
    <n v="3600"/>
    <n v="0.1124191987009337"/>
    <n v="1"/>
    <x v="1"/>
  </r>
  <r>
    <s v="hatag kanda mama"/>
    <n v="3000"/>
    <n v="9.3682665584111424E-2"/>
    <n v="1"/>
    <x v="0"/>
  </r>
  <r>
    <s v="SSD"/>
    <n v="2900"/>
    <n v="9.0559910064641036E-2"/>
    <n v="1"/>
    <x v="1"/>
  </r>
  <r>
    <s v="laptop keyboard"/>
    <n v="2600"/>
    <n v="8.1191643506229899E-2"/>
    <n v="1"/>
    <x v="1"/>
  </r>
  <r>
    <s v="Gasolina"/>
    <n v="2100"/>
    <n v="6.5577865908878E-2"/>
    <n v="1"/>
    <x v="0"/>
  </r>
  <r>
    <s v="Ebo Sweldo"/>
    <n v="1500"/>
    <n v="4.6841332792055712E-2"/>
    <n v="1"/>
    <x v="0"/>
  </r>
  <r>
    <s v="laptop upgrade labor"/>
    <n v="1500"/>
    <n v="4.6841332792055712E-2"/>
    <n v="1"/>
    <x v="1"/>
  </r>
  <r>
    <s v="medisina"/>
    <n v="1375"/>
    <n v="4.2937888392717734E-2"/>
    <n v="1"/>
    <x v="2"/>
  </r>
  <r>
    <s v="Pamasahe"/>
    <n v="1120"/>
    <n v="3.4974861818068262E-2"/>
    <n v="15"/>
    <x v="3"/>
  </r>
  <r>
    <s v="steam"/>
    <n v="768"/>
    <n v="2.3982762389532522E-2"/>
    <n v="1"/>
    <x v="4"/>
  </r>
  <r>
    <s v="district t-shirt"/>
    <n v="600"/>
    <n v="1.8736533116822284E-2"/>
    <n v="1"/>
    <x v="5"/>
  </r>
  <r>
    <s v="HDD enclosure "/>
    <n v="599"/>
    <n v="1.870530556162758E-2"/>
    <n v="1"/>
    <x v="1"/>
  </r>
  <r>
    <s v="wifi load (magic data)"/>
    <n v="599"/>
    <n v="1.870530556162758E-2"/>
    <n v="1"/>
    <x v="6"/>
  </r>
  <r>
    <s v="aragmot"/>
    <n v="544"/>
    <n v="1.698779002591887E-2"/>
    <n v="1"/>
    <x v="5"/>
  </r>
  <r>
    <s v="keyboard labor"/>
    <n v="500"/>
    <n v="1.5613777597351903E-2"/>
    <n v="1"/>
    <x v="1"/>
  </r>
  <r>
    <s v="tuba"/>
    <n v="500"/>
    <n v="1.5613777597351903E-2"/>
    <n v="2"/>
    <x v="4"/>
  </r>
  <r>
    <s v="shawarma"/>
    <n v="500"/>
    <n v="1.5613777597351903E-2"/>
    <n v="1"/>
    <x v="7"/>
  </r>
  <r>
    <s v="wifi load (family access)"/>
    <n v="398"/>
    <n v="1.2428566967492114E-2"/>
    <n v="2"/>
    <x v="6"/>
  </r>
  <r>
    <s v="Genshin Welkin"/>
    <n v="280"/>
    <n v="8.7437154545170655E-3"/>
    <n v="1"/>
    <x v="4"/>
  </r>
  <r>
    <s v="Kape"/>
    <n v="265"/>
    <n v="8.2753021265965093E-3"/>
    <n v="1"/>
    <x v="7"/>
  </r>
  <r>
    <s v="Supa"/>
    <n v="250"/>
    <n v="7.8068887986759514E-3"/>
    <n v="2"/>
    <x v="4"/>
  </r>
  <r>
    <s v="Spotify"/>
    <n v="239"/>
    <n v="7.4633856915342096E-3"/>
    <n v="1"/>
    <x v="4"/>
  </r>
  <r>
    <s v="Pamahaw"/>
    <n v="187"/>
    <n v="5.8395528214096118E-3"/>
    <n v="2"/>
    <x v="7"/>
  </r>
  <r>
    <s v="soft drinks"/>
    <n v="160"/>
    <n v="4.9964088311526093E-3"/>
    <n v="1"/>
    <x v="7"/>
  </r>
  <r>
    <s v="pagkaon"/>
    <n v="157"/>
    <n v="4.9027261655684978E-3"/>
    <n v="1"/>
    <x v="7"/>
  </r>
  <r>
    <s v="YT Membership"/>
    <n v="129"/>
    <n v="4.0283546201167909E-3"/>
    <n v="1"/>
    <x v="4"/>
  </r>
  <r>
    <s v="Mineral water"/>
    <n v="105"/>
    <n v="3.2788932954438996E-3"/>
    <n v="4"/>
    <x v="7"/>
  </r>
  <r>
    <s v="pepsi"/>
    <n v="100"/>
    <n v="3.1227555194703808E-3"/>
    <n v="1"/>
    <x v="7"/>
  </r>
  <r>
    <s v="Bioderm"/>
    <n v="75"/>
    <n v="2.3420666396027855E-3"/>
    <n v="3"/>
    <x v="6"/>
  </r>
  <r>
    <s v="lubi shake"/>
    <n v="60"/>
    <n v="1.8736533116822285E-3"/>
    <n v="1"/>
    <x v="7"/>
  </r>
  <r>
    <s v="utang sir caro"/>
    <n v="50"/>
    <n v="1.5613777597351904E-3"/>
    <n v="1"/>
    <x v="5"/>
  </r>
  <r>
    <s v="tubig"/>
    <n v="50"/>
    <n v="1.5613777597351904E-3"/>
    <n v="3"/>
    <x v="7"/>
  </r>
  <r>
    <s v="Family day price"/>
    <n v="50"/>
    <n v="1.5613777597351904E-3"/>
    <n v="1"/>
    <x v="5"/>
  </r>
  <r>
    <s v="Star bread"/>
    <n v="40"/>
    <n v="1.2491022077881523E-3"/>
    <n v="1"/>
    <x v="7"/>
  </r>
  <r>
    <s v="wow ulam"/>
    <n v="30"/>
    <n v="9.3682665584111425E-4"/>
    <n v="1"/>
    <x v="7"/>
  </r>
  <r>
    <s v="Choco-choco"/>
    <n v="20"/>
    <n v="6.2455110389407617E-4"/>
    <n v="1"/>
    <x v="7"/>
  </r>
  <r>
    <s v="tinapay"/>
    <n v="20"/>
    <n v="6.2455110389407617E-4"/>
    <n v="1"/>
    <x v="7"/>
  </r>
  <r>
    <s v="putok"/>
    <n v="20"/>
    <n v="6.2455110389407617E-4"/>
    <n v="1"/>
    <x v="7"/>
  </r>
  <r>
    <s v="Noodles beef"/>
    <n v="13"/>
    <n v="4.059582175311495E-4"/>
    <n v="1"/>
    <x v="7"/>
  </r>
  <r>
    <s v="fita"/>
    <n v="10"/>
    <n v="3.1227555194703808E-4"/>
    <n v="1"/>
    <x v="7"/>
  </r>
  <r>
    <s v="pandesal"/>
    <n v="10"/>
    <n v="3.1227555194703808E-4"/>
    <n v="1"/>
    <x v="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31966"/>
  </r>
  <r>
    <x v="0"/>
    <x v="1"/>
    <n v="12734"/>
  </r>
  <r>
    <x v="0"/>
    <x v="2"/>
    <n v="12766"/>
  </r>
  <r>
    <x v="0"/>
    <x v="3"/>
    <n v="1256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x v="0"/>
    <n v="17732"/>
    <n v="1"/>
  </r>
  <r>
    <x v="1"/>
    <x v="0"/>
    <n v="25588"/>
    <n v="2"/>
  </r>
  <r>
    <x v="2"/>
    <x v="1"/>
    <n v="44732"/>
    <n v="1"/>
  </r>
  <r>
    <x v="2"/>
    <x v="0"/>
    <n v="12734"/>
    <n v="1"/>
  </r>
  <r>
    <x v="2"/>
    <x v="2"/>
    <n v="12560"/>
    <n v="1"/>
  </r>
  <r>
    <x v="3"/>
    <x v="0"/>
    <n v="25465"/>
    <n v="2"/>
  </r>
  <r>
    <x v="3"/>
    <x v="3"/>
    <n v="18000"/>
    <n v="1"/>
  </r>
  <r>
    <x v="4"/>
    <x v="0"/>
    <n v="25466"/>
    <n v="2"/>
  </r>
  <r>
    <x v="5"/>
    <x v="0"/>
    <n v="25195"/>
    <n v="2"/>
  </r>
  <r>
    <x v="6"/>
    <x v="0"/>
    <n v="25195"/>
    <n v="2"/>
  </r>
  <r>
    <x v="7"/>
    <x v="4"/>
    <n v="6000"/>
    <n v="1"/>
  </r>
  <r>
    <x v="7"/>
    <x v="0"/>
    <n v="26231"/>
    <n v="2"/>
  </r>
  <r>
    <x v="8"/>
    <x v="5"/>
    <n v="27000"/>
    <n v="1"/>
  </r>
  <r>
    <x v="8"/>
    <x v="0"/>
    <n v="25230"/>
    <n v="2"/>
  </r>
  <r>
    <x v="9"/>
    <x v="0"/>
    <n v="25231"/>
    <n v="2"/>
  </r>
  <r>
    <x v="10"/>
    <x v="6"/>
    <n v="5000"/>
    <n v="1"/>
  </r>
  <r>
    <x v="10"/>
    <x v="0"/>
    <n v="25278"/>
    <n v="2"/>
  </r>
  <r>
    <x v="11"/>
    <x v="7"/>
    <n v="5000"/>
    <n v="1"/>
  </r>
  <r>
    <x v="11"/>
    <x v="8"/>
    <n v="12400"/>
    <n v="1"/>
  </r>
  <r>
    <x v="11"/>
    <x v="0"/>
    <n v="25232"/>
    <n v="2"/>
  </r>
  <r>
    <x v="12"/>
    <x v="0"/>
    <n v="38620"/>
    <n v="2"/>
  </r>
  <r>
    <x v="13"/>
    <x v="9"/>
    <n v="1021"/>
    <n v="1"/>
  </r>
  <r>
    <x v="13"/>
    <x v="0"/>
    <n v="26481"/>
    <n v="2"/>
  </r>
  <r>
    <x v="14"/>
    <x v="10"/>
    <n v="5000"/>
    <n v="1"/>
  </r>
  <r>
    <x v="14"/>
    <x v="0"/>
    <n v="27992"/>
    <n v="2"/>
  </r>
  <r>
    <x v="14"/>
    <x v="11"/>
    <n v="27000"/>
    <n v="1"/>
  </r>
  <r>
    <x v="15"/>
    <x v="12"/>
    <n v="25000"/>
    <n v="1"/>
  </r>
  <r>
    <x v="15"/>
    <x v="0"/>
    <n v="26481"/>
    <n v="2"/>
  </r>
  <r>
    <x v="16"/>
    <x v="0"/>
    <n v="26403"/>
    <n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m/>
    <n v="73000"/>
    <n v="14"/>
    <x v="0"/>
    <n v="0"/>
  </r>
  <r>
    <x v="1"/>
    <x v="0"/>
    <m/>
    <n v="31270"/>
    <n v="15"/>
    <x v="1"/>
    <n v="0"/>
  </r>
  <r>
    <x v="2"/>
    <x v="0"/>
    <m/>
    <n v="10000"/>
    <n v="1"/>
    <x v="2"/>
    <n v="0"/>
  </r>
  <r>
    <x v="3"/>
    <x v="0"/>
    <m/>
    <n v="9200"/>
    <n v="6"/>
    <x v="3"/>
    <n v="0"/>
  </r>
  <r>
    <x v="4"/>
    <x v="1"/>
    <n v="1"/>
    <n v="7200"/>
    <n v="4"/>
    <x v="4"/>
    <n v="2.08"/>
  </r>
  <r>
    <x v="5"/>
    <x v="0"/>
    <m/>
    <n v="7000"/>
    <n v="1"/>
    <x v="5"/>
    <n v="0"/>
  </r>
  <r>
    <x v="6"/>
    <x v="0"/>
    <m/>
    <n v="6587"/>
    <n v="87"/>
    <x v="6"/>
    <n v="0"/>
  </r>
  <r>
    <x v="7"/>
    <x v="2"/>
    <n v="66"/>
    <n v="6154"/>
    <n v="66"/>
    <x v="7"/>
    <n v="100"/>
  </r>
  <r>
    <x v="8"/>
    <x v="0"/>
    <m/>
    <n v="5490"/>
    <n v="1"/>
    <x v="8"/>
    <n v="0"/>
  </r>
  <r>
    <x v="9"/>
    <x v="3"/>
    <n v="7"/>
    <n v="4494"/>
    <n v="7"/>
    <x v="9"/>
    <n v="100"/>
  </r>
  <r>
    <x v="10"/>
    <x v="0"/>
    <m/>
    <n v="4000"/>
    <n v="1"/>
    <x v="10"/>
    <n v="0"/>
  </r>
  <r>
    <x v="11"/>
    <x v="4"/>
    <n v="20"/>
    <n v="3981"/>
    <n v="20"/>
    <x v="11"/>
    <n v="100"/>
  </r>
  <r>
    <x v="12"/>
    <x v="0"/>
    <m/>
    <n v="3800"/>
    <n v="17"/>
    <x v="12"/>
    <n v="0"/>
  </r>
  <r>
    <x v="13"/>
    <x v="0"/>
    <m/>
    <n v="3600"/>
    <n v="1"/>
    <x v="13"/>
    <n v="0"/>
  </r>
  <r>
    <x v="14"/>
    <x v="0"/>
    <m/>
    <n v="3340"/>
    <n v="8"/>
    <x v="14"/>
    <n v="0"/>
  </r>
  <r>
    <x v="15"/>
    <x v="0"/>
    <m/>
    <n v="3000"/>
    <n v="1"/>
    <x v="15"/>
    <n v="0"/>
  </r>
  <r>
    <x v="16"/>
    <x v="0"/>
    <m/>
    <n v="2990"/>
    <n v="7"/>
    <x v="16"/>
    <n v="0"/>
  </r>
  <r>
    <x v="17"/>
    <x v="0"/>
    <m/>
    <n v="2900"/>
    <n v="1"/>
    <x v="17"/>
    <n v="0"/>
  </r>
  <r>
    <x v="18"/>
    <x v="5"/>
    <n v="12"/>
    <n v="2823"/>
    <n v="12"/>
    <x v="18"/>
    <n v="100"/>
  </r>
  <r>
    <x v="19"/>
    <x v="0"/>
    <m/>
    <n v="2600"/>
    <n v="1"/>
    <x v="19"/>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x v="0"/>
  </r>
  <r>
    <x v="1"/>
  </r>
  <r>
    <x v="1"/>
  </r>
  <r>
    <x v="1"/>
  </r>
  <r>
    <x v="1"/>
  </r>
  <r>
    <x v="1"/>
  </r>
  <r>
    <x v="1"/>
  </r>
  <r>
    <x v="2"/>
  </r>
  <r>
    <x v="0"/>
  </r>
  <r>
    <x v="2"/>
  </r>
  <r>
    <x v="1"/>
  </r>
  <r>
    <x v="1"/>
  </r>
  <r>
    <x v="1"/>
  </r>
  <r>
    <x v="1"/>
  </r>
  <r>
    <x v="1"/>
  </r>
  <r>
    <x v="1"/>
  </r>
  <r>
    <x v="0"/>
  </r>
  <r>
    <x v="1"/>
  </r>
  <r>
    <x v="1"/>
  </r>
  <r>
    <x v="1"/>
  </r>
  <r>
    <x v="2"/>
  </r>
  <r>
    <x v="2"/>
  </r>
  <r>
    <x v="3"/>
  </r>
  <r>
    <x v="1"/>
  </r>
  <r>
    <x v="2"/>
  </r>
  <r>
    <x v="1"/>
  </r>
  <r>
    <x v="2"/>
  </r>
  <r>
    <x v="1"/>
  </r>
  <r>
    <x v="1"/>
  </r>
  <r>
    <x v="2"/>
  </r>
  <r>
    <x v="1"/>
  </r>
  <r>
    <x v="1"/>
  </r>
  <r>
    <x v="2"/>
  </r>
  <r>
    <x v="2"/>
  </r>
  <r>
    <x v="1"/>
  </r>
  <r>
    <x v="1"/>
  </r>
  <r>
    <x v="1"/>
  </r>
  <r>
    <x v="0"/>
  </r>
  <r>
    <x v="1"/>
  </r>
  <r>
    <x v="2"/>
  </r>
  <r>
    <x v="1"/>
  </r>
  <r>
    <x v="2"/>
  </r>
  <r>
    <x v="2"/>
  </r>
  <r>
    <x v="2"/>
  </r>
  <r>
    <x v="2"/>
  </r>
  <r>
    <x v="1"/>
  </r>
  <r>
    <x v="2"/>
  </r>
  <r>
    <x v="2"/>
  </r>
  <r>
    <x v="1"/>
  </r>
  <r>
    <x v="2"/>
  </r>
  <r>
    <x v="1"/>
  </r>
  <r>
    <x v="2"/>
  </r>
  <r>
    <x v="1"/>
  </r>
  <r>
    <x v="1"/>
  </r>
  <r>
    <x v="1"/>
  </r>
  <r>
    <x v="1"/>
  </r>
  <r>
    <x v="2"/>
  </r>
  <r>
    <x v="0"/>
  </r>
  <r>
    <x v="1"/>
  </r>
  <r>
    <x v="1"/>
  </r>
  <r>
    <x v="2"/>
  </r>
  <r>
    <x v="1"/>
  </r>
  <r>
    <x v="1"/>
  </r>
  <r>
    <x v="1"/>
  </r>
  <r>
    <x v="1"/>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D9640D-1FFF-42C6-8256-A46810AB5DA9}"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
  <location ref="A36:B54" firstHeaderRow="1" firstDataRow="2"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Col" showAll="0">
      <items count="5">
        <item h="1" x="2"/>
        <item h="1" x="3"/>
        <item x="0"/>
        <item h="1" x="1"/>
        <item t="default"/>
      </items>
    </pivotField>
    <pivotField showAll="0"/>
    <pivotField axis="axisRow" showAll="0">
      <items count="13">
        <item x="4"/>
        <item h="1" x="5"/>
        <item h="1" x="6"/>
        <item h="1" x="7"/>
        <item h="1" x="8"/>
        <item h="1" x="9"/>
        <item h="1" x="10"/>
        <item h="1" x="11"/>
        <item h="1" x="0"/>
        <item x="1"/>
        <item x="2"/>
        <item x="3"/>
        <item t="default"/>
      </items>
    </pivotField>
    <pivotField axis="axisRow" showAll="0">
      <items count="4">
        <item h="1" x="0"/>
        <item x="1"/>
        <item x="2"/>
        <item t="default"/>
      </items>
    </pivotField>
    <pivotField axis="axisRow" showAll="0">
      <items count="178">
        <item x="136"/>
        <item x="155"/>
        <item x="100"/>
        <item x="30"/>
        <item x="75"/>
        <item x="148"/>
        <item x="158"/>
        <item x="156"/>
        <item x="126"/>
        <item x="66"/>
        <item x="4"/>
        <item x="149"/>
        <item x="76"/>
        <item x="1"/>
        <item x="77"/>
        <item x="164"/>
        <item x="165"/>
        <item x="34"/>
        <item x="142"/>
        <item x="17"/>
        <item x="170"/>
        <item x="23"/>
        <item x="59"/>
        <item x="60"/>
        <item x="114"/>
        <item x="130"/>
        <item x="91"/>
        <item x="67"/>
        <item x="110"/>
        <item x="154"/>
        <item x="84"/>
        <item x="134"/>
        <item x="141"/>
        <item x="118"/>
        <item x="147"/>
        <item x="106"/>
        <item x="12"/>
        <item x="18"/>
        <item x="123"/>
        <item x="27"/>
        <item x="85"/>
        <item x="62"/>
        <item x="96"/>
        <item x="115"/>
        <item x="145"/>
        <item x="47"/>
        <item x="116"/>
        <item x="73"/>
        <item x="74"/>
        <item x="24"/>
        <item x="104"/>
        <item x="109"/>
        <item x="173"/>
        <item x="31"/>
        <item x="45"/>
        <item x="92"/>
        <item x="102"/>
        <item x="125"/>
        <item x="105"/>
        <item x="3"/>
        <item x="8"/>
        <item x="101"/>
        <item x="21"/>
        <item x="168"/>
        <item x="83"/>
        <item x="112"/>
        <item x="49"/>
        <item x="36"/>
        <item x="166"/>
        <item x="140"/>
        <item x="68"/>
        <item x="19"/>
        <item x="9"/>
        <item x="80"/>
        <item x="135"/>
        <item x="58"/>
        <item x="97"/>
        <item x="22"/>
        <item x="79"/>
        <item x="55"/>
        <item x="161"/>
        <item x="111"/>
        <item x="169"/>
        <item x="54"/>
        <item x="33"/>
        <item x="138"/>
        <item x="89"/>
        <item x="117"/>
        <item x="38"/>
        <item x="16"/>
        <item x="99"/>
        <item x="122"/>
        <item x="139"/>
        <item x="93"/>
        <item x="52"/>
        <item x="103"/>
        <item x="151"/>
        <item x="124"/>
        <item x="15"/>
        <item x="90"/>
        <item x="7"/>
        <item x="172"/>
        <item x="29"/>
        <item x="72"/>
        <item x="131"/>
        <item x="10"/>
        <item x="53"/>
        <item x="176"/>
        <item x="86"/>
        <item x="26"/>
        <item x="25"/>
        <item x="163"/>
        <item x="107"/>
        <item x="42"/>
        <item x="159"/>
        <item x="81"/>
        <item x="64"/>
        <item x="6"/>
        <item x="174"/>
        <item x="69"/>
        <item x="171"/>
        <item x="127"/>
        <item x="51"/>
        <item x="157"/>
        <item x="175"/>
        <item x="70"/>
        <item x="120"/>
        <item x="121"/>
        <item x="108"/>
        <item x="150"/>
        <item x="153"/>
        <item x="48"/>
        <item x="162"/>
        <item x="78"/>
        <item x="143"/>
        <item x="82"/>
        <item x="0"/>
        <item x="133"/>
        <item x="137"/>
        <item x="56"/>
        <item x="98"/>
        <item x="160"/>
        <item x="65"/>
        <item x="57"/>
        <item x="11"/>
        <item x="46"/>
        <item x="35"/>
        <item x="28"/>
        <item x="2"/>
        <item x="41"/>
        <item x="144"/>
        <item x="14"/>
        <item x="128"/>
        <item x="5"/>
        <item x="63"/>
        <item x="13"/>
        <item x="37"/>
        <item x="132"/>
        <item x="88"/>
        <item x="87"/>
        <item x="167"/>
        <item x="71"/>
        <item x="50"/>
        <item x="43"/>
        <item x="61"/>
        <item x="44"/>
        <item x="113"/>
        <item x="40"/>
        <item x="32"/>
        <item x="94"/>
        <item x="95"/>
        <item x="39"/>
        <item x="152"/>
        <item x="119"/>
        <item x="146"/>
        <item x="20"/>
        <item x="129"/>
        <item t="default"/>
      </items>
    </pivotField>
    <pivotField showAll="0" defaultSubtotal="0">
      <items count="14">
        <item sd="0" x="0"/>
        <item sd="0" x="1"/>
        <item sd="0" x="2"/>
        <item sd="0" x="3"/>
        <item sd="0" x="4"/>
        <item sd="0" x="5"/>
        <item sd="0" x="6"/>
        <item sd="0" x="7"/>
        <item sd="0" x="8"/>
        <item sd="0" x="9"/>
        <item sd="0" x="10"/>
        <item x="11"/>
        <item sd="0" x="12"/>
        <item sd="0" x="13"/>
      </items>
    </pivotField>
    <pivotField showAll="0" defaultSubtotal="0">
      <items count="6">
        <item sd="0" x="0"/>
        <item sd="0" x="1"/>
        <item sd="0" x="2"/>
        <item sd="0" x="3"/>
        <item sd="0" x="4"/>
        <item sd="0" x="5"/>
      </items>
    </pivotField>
    <pivotField showAll="0" defaultSubtotal="0">
      <items count="5">
        <item sd="0" x="0"/>
        <item sd="0" x="1"/>
        <item x="2"/>
        <item sd="0" x="3"/>
        <item sd="0" x="4"/>
      </items>
    </pivotField>
  </pivotFields>
  <rowFields count="3">
    <field x="7"/>
    <field x="6"/>
    <field x="8"/>
  </rowFields>
  <rowItems count="17">
    <i>
      <x v="1"/>
    </i>
    <i r="1">
      <x/>
    </i>
    <i r="2">
      <x v="136"/>
    </i>
    <i r="1">
      <x v="9"/>
    </i>
    <i r="2">
      <x/>
    </i>
    <i r="2">
      <x v="136"/>
    </i>
    <i r="1">
      <x v="10"/>
    </i>
    <i r="2">
      <x v="34"/>
    </i>
    <i r="2">
      <x v="136"/>
    </i>
    <i r="2">
      <x v="174"/>
    </i>
    <i r="1">
      <x v="11"/>
    </i>
    <i r="2">
      <x v="1"/>
    </i>
    <i r="2">
      <x v="136"/>
    </i>
    <i>
      <x v="2"/>
    </i>
    <i r="1">
      <x/>
    </i>
    <i r="2">
      <x v="136"/>
    </i>
    <i t="grand">
      <x/>
    </i>
  </rowItems>
  <colFields count="1">
    <field x="4"/>
  </colFields>
  <colItems count="1">
    <i>
      <x v="2"/>
    </i>
  </colItems>
  <dataFields count="1">
    <dataField name="Sum of amount" fld="3" baseField="0" baseItem="0"/>
  </dataFields>
  <conditionalFormats count="1">
    <conditionalFormat priority="3">
      <pivotAreas count="5">
        <pivotArea type="data" collapsedLevelsAreSubtotals="1" fieldPosition="0">
          <references count="3">
            <reference field="4294967294" count="1" selected="0">
              <x v="0"/>
            </reference>
            <reference field="6" count="1">
              <x v="0"/>
            </reference>
            <reference field="7" count="1" selected="0">
              <x v="1"/>
            </reference>
          </references>
        </pivotArea>
        <pivotArea type="data" collapsedLevelsAreSubtotals="1" fieldPosition="0">
          <references count="3">
            <reference field="4294967294" count="1" selected="0">
              <x v="0"/>
            </reference>
            <reference field="6" count="1">
              <x v="9"/>
            </reference>
            <reference field="7" count="1" selected="0">
              <x v="1"/>
            </reference>
          </references>
        </pivotArea>
        <pivotArea type="data" collapsedLevelsAreSubtotals="1" fieldPosition="0">
          <references count="3">
            <reference field="4294967294" count="1" selected="0">
              <x v="0"/>
            </reference>
            <reference field="6" count="1">
              <x v="10"/>
            </reference>
            <reference field="7" count="1" selected="0">
              <x v="1"/>
            </reference>
          </references>
        </pivotArea>
        <pivotArea type="data" collapsedLevelsAreSubtotals="1" fieldPosition="0">
          <references count="3">
            <reference field="4294967294" count="1" selected="0">
              <x v="0"/>
            </reference>
            <reference field="6" count="1">
              <x v="11"/>
            </reference>
            <reference field="7" count="1" selected="0">
              <x v="1"/>
            </reference>
          </references>
        </pivotArea>
        <pivotArea type="data" collapsedLevelsAreSubtotals="1" fieldPosition="0">
          <references count="3">
            <reference field="4294967294" count="1" selected="0">
              <x v="0"/>
            </reference>
            <reference field="6" count="1">
              <x v="0"/>
            </reference>
            <reference field="7"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861B52-D942-431D-94CB-86214B7FB3E6}"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X6:Z28" firstHeaderRow="1" firstDataRow="2"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Col" showAll="0">
      <items count="5">
        <item h="1" x="2"/>
        <item x="3"/>
        <item x="0"/>
        <item h="1" x="1"/>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2">
    <field x="11"/>
    <field x="9"/>
  </rowFields>
  <rowItems count="21">
    <i>
      <x v="1"/>
    </i>
    <i r="1">
      <x v="9"/>
    </i>
    <i r="1">
      <x v="10"/>
    </i>
    <i r="1">
      <x v="11"/>
    </i>
    <i r="1">
      <x v="12"/>
    </i>
    <i>
      <x v="2"/>
    </i>
    <i r="1">
      <x v="1"/>
    </i>
    <i r="1">
      <x v="2"/>
    </i>
    <i r="1">
      <x v="3"/>
    </i>
    <i r="1">
      <x v="4"/>
    </i>
    <i r="1">
      <x v="5"/>
    </i>
    <i r="1">
      <x v="6"/>
    </i>
    <i r="1">
      <x v="7"/>
    </i>
    <i r="1">
      <x v="8"/>
    </i>
    <i r="1">
      <x v="9"/>
    </i>
    <i r="1">
      <x v="10"/>
    </i>
    <i r="1">
      <x v="11"/>
    </i>
    <i r="1">
      <x v="12"/>
    </i>
    <i>
      <x v="3"/>
    </i>
    <i r="1">
      <x v="1"/>
    </i>
    <i t="grand">
      <x/>
    </i>
  </rowItems>
  <colFields count="1">
    <field x="4"/>
  </colFields>
  <colItems count="2">
    <i>
      <x v="1"/>
    </i>
    <i>
      <x v="2"/>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3BA296-C78A-4298-A754-25EA5E3C566A}" name="gcash_total_expense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4">
  <location ref="H34:K53" firstHeaderRow="1" firstDataRow="4"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items count="197">
        <item x="185"/>
        <item x="95"/>
        <item x="46"/>
        <item x="14"/>
        <item x="28"/>
        <item x="136"/>
        <item x="35"/>
        <item x="123"/>
        <item x="195"/>
        <item x="11"/>
        <item x="143"/>
        <item x="15"/>
        <item x="177"/>
        <item x="85"/>
        <item x="8"/>
        <item x="60"/>
        <item x="72"/>
        <item x="91"/>
        <item x="102"/>
        <item x="114"/>
        <item x="26"/>
        <item x="193"/>
        <item x="13"/>
        <item x="25"/>
        <item x="81"/>
        <item x="31"/>
        <item x="146"/>
        <item x="7"/>
        <item x="73"/>
        <item x="42"/>
        <item x="137"/>
        <item x="83"/>
        <item x="178"/>
        <item x="117"/>
        <item x="103"/>
        <item x="76"/>
        <item x="68"/>
        <item x="98"/>
        <item x="186"/>
        <item x="71"/>
        <item x="182"/>
        <item x="188"/>
        <item x="27"/>
        <item x="158"/>
        <item x="77"/>
        <item x="50"/>
        <item x="109"/>
        <item x="36"/>
        <item x="63"/>
        <item x="16"/>
        <item x="19"/>
        <item x="79"/>
        <item x="162"/>
        <item x="172"/>
        <item x="37"/>
        <item x="86"/>
        <item x="43"/>
        <item x="52"/>
        <item x="56"/>
        <item x="115"/>
        <item x="64"/>
        <item x="166"/>
        <item x="122"/>
        <item x="82"/>
        <item x="191"/>
        <item x="169"/>
        <item x="125"/>
        <item x="170"/>
        <item x="12"/>
        <item x="44"/>
        <item x="57"/>
        <item x="168"/>
        <item x="151"/>
        <item x="139"/>
        <item x="163"/>
        <item x="187"/>
        <item x="101"/>
        <item x="131"/>
        <item x="24"/>
        <item x="112"/>
        <item x="107"/>
        <item x="121"/>
        <item x="70"/>
        <item x="180"/>
        <item x="22"/>
        <item x="179"/>
        <item x="184"/>
        <item x="181"/>
        <item x="20"/>
        <item x="175"/>
        <item x="138"/>
        <item x="17"/>
        <item x="118"/>
        <item x="113"/>
        <item x="78"/>
        <item x="165"/>
        <item x="119"/>
        <item x="164"/>
        <item x="59"/>
        <item x="61"/>
        <item x="104"/>
        <item x="49"/>
        <item x="108"/>
        <item x="148"/>
        <item x="116"/>
        <item x="129"/>
        <item x="140"/>
        <item x="54"/>
        <item x="30"/>
        <item x="130"/>
        <item x="34"/>
        <item x="48"/>
        <item x="192"/>
        <item x="135"/>
        <item x="67"/>
        <item x="110"/>
        <item x="147"/>
        <item x="173"/>
        <item x="120"/>
        <item x="45"/>
        <item x="58"/>
        <item x="171"/>
        <item x="75"/>
        <item x="152"/>
        <item x="87"/>
        <item x="65"/>
        <item x="10"/>
        <item x="153"/>
        <item x="69"/>
        <item x="74"/>
        <item x="174"/>
        <item x="62"/>
        <item x="128"/>
        <item x="133"/>
        <item x="183"/>
        <item x="150"/>
        <item x="51"/>
        <item x="23"/>
        <item x="100"/>
        <item x="155"/>
        <item x="66"/>
        <item x="80"/>
        <item x="9"/>
        <item x="29"/>
        <item x="145"/>
        <item x="161"/>
        <item x="111"/>
        <item x="126"/>
        <item x="4"/>
        <item x="89"/>
        <item x="53"/>
        <item x="41"/>
        <item x="33"/>
        <item x="154"/>
        <item x="134"/>
        <item x="40"/>
        <item x="132"/>
        <item x="5"/>
        <item x="190"/>
        <item x="97"/>
        <item x="92"/>
        <item x="176"/>
        <item x="157"/>
        <item x="142"/>
        <item x="6"/>
        <item x="93"/>
        <item x="84"/>
        <item x="88"/>
        <item x="105"/>
        <item x="94"/>
        <item x="141"/>
        <item x="127"/>
        <item x="32"/>
        <item x="55"/>
        <item x="21"/>
        <item x="1"/>
        <item x="3"/>
        <item x="96"/>
        <item x="194"/>
        <item x="149"/>
        <item x="156"/>
        <item x="159"/>
        <item x="99"/>
        <item x="160"/>
        <item x="0"/>
        <item x="47"/>
        <item x="39"/>
        <item x="38"/>
        <item x="90"/>
        <item x="189"/>
        <item x="167"/>
        <item x="144"/>
        <item x="2"/>
        <item x="106"/>
        <item x="18"/>
        <item x="124"/>
        <item t="default"/>
      </items>
    </pivotField>
    <pivotField axis="axisCol" showAll="0">
      <items count="5">
        <item h="1" x="2"/>
        <item x="3"/>
        <item h="1" x="0"/>
        <item h="1" x="1"/>
        <item t="default"/>
      </items>
    </pivotField>
    <pivotField axis="axisCol" showAll="0">
      <items count="4">
        <item h="1" x="0"/>
        <item sd="0" x="2"/>
        <item h="1" x="1"/>
        <item t="default"/>
      </items>
    </pivotField>
    <pivotField showAll="0"/>
    <pivotField showAll="0"/>
    <pivotField axis="axisRow" showAll="0">
      <items count="178">
        <item x="136"/>
        <item x="155"/>
        <item x="100"/>
        <item x="30"/>
        <item x="75"/>
        <item x="148"/>
        <item x="158"/>
        <item x="156"/>
        <item x="126"/>
        <item x="66"/>
        <item x="4"/>
        <item x="149"/>
        <item x="76"/>
        <item x="1"/>
        <item x="77"/>
        <item x="164"/>
        <item x="165"/>
        <item x="34"/>
        <item x="142"/>
        <item x="17"/>
        <item x="170"/>
        <item x="23"/>
        <item x="59"/>
        <item x="60"/>
        <item x="114"/>
        <item x="130"/>
        <item x="91"/>
        <item x="67"/>
        <item x="110"/>
        <item x="154"/>
        <item x="84"/>
        <item x="134"/>
        <item x="141"/>
        <item x="118"/>
        <item x="147"/>
        <item x="106"/>
        <item x="12"/>
        <item x="18"/>
        <item x="123"/>
        <item x="27"/>
        <item x="85"/>
        <item x="62"/>
        <item x="96"/>
        <item x="115"/>
        <item x="145"/>
        <item x="47"/>
        <item x="116"/>
        <item x="73"/>
        <item x="74"/>
        <item x="24"/>
        <item x="104"/>
        <item x="109"/>
        <item x="173"/>
        <item x="31"/>
        <item x="45"/>
        <item x="92"/>
        <item x="102"/>
        <item x="125"/>
        <item x="105"/>
        <item x="3"/>
        <item x="8"/>
        <item x="101"/>
        <item x="21"/>
        <item x="168"/>
        <item x="83"/>
        <item x="112"/>
        <item x="49"/>
        <item x="36"/>
        <item x="166"/>
        <item x="140"/>
        <item x="68"/>
        <item x="19"/>
        <item x="9"/>
        <item x="80"/>
        <item x="135"/>
        <item x="58"/>
        <item x="97"/>
        <item x="22"/>
        <item x="79"/>
        <item x="55"/>
        <item x="161"/>
        <item x="111"/>
        <item x="169"/>
        <item x="54"/>
        <item x="33"/>
        <item x="138"/>
        <item x="89"/>
        <item x="117"/>
        <item x="38"/>
        <item x="16"/>
        <item x="99"/>
        <item x="122"/>
        <item x="139"/>
        <item x="93"/>
        <item x="52"/>
        <item x="103"/>
        <item x="151"/>
        <item x="124"/>
        <item x="15"/>
        <item x="90"/>
        <item x="7"/>
        <item x="172"/>
        <item x="29"/>
        <item x="72"/>
        <item x="131"/>
        <item x="10"/>
        <item x="53"/>
        <item x="176"/>
        <item x="86"/>
        <item x="26"/>
        <item x="25"/>
        <item x="163"/>
        <item x="107"/>
        <item x="42"/>
        <item x="159"/>
        <item x="81"/>
        <item x="64"/>
        <item x="6"/>
        <item x="174"/>
        <item x="69"/>
        <item x="171"/>
        <item x="127"/>
        <item x="51"/>
        <item x="157"/>
        <item x="175"/>
        <item x="70"/>
        <item x="120"/>
        <item x="121"/>
        <item x="108"/>
        <item x="150"/>
        <item x="153"/>
        <item x="48"/>
        <item x="162"/>
        <item x="78"/>
        <item x="143"/>
        <item x="82"/>
        <item x="0"/>
        <item x="133"/>
        <item x="137"/>
        <item x="56"/>
        <item x="98"/>
        <item x="160"/>
        <item x="65"/>
        <item x="57"/>
        <item x="11"/>
        <item x="46"/>
        <item x="35"/>
        <item x="28"/>
        <item x="2"/>
        <item x="41"/>
        <item x="144"/>
        <item x="14"/>
        <item x="128"/>
        <item x="5"/>
        <item x="63"/>
        <item x="13"/>
        <item x="37"/>
        <item x="132"/>
        <item x="88"/>
        <item x="87"/>
        <item x="167"/>
        <item x="71"/>
        <item x="50"/>
        <item x="43"/>
        <item x="61"/>
        <item x="44"/>
        <item x="113"/>
        <item x="40"/>
        <item x="32"/>
        <item x="94"/>
        <item x="95"/>
        <item x="39"/>
        <item x="152"/>
        <item x="119"/>
        <item x="146"/>
        <item x="20"/>
        <item x="129"/>
        <item t="default"/>
      </items>
    </pivotField>
    <pivotField showAll="0" defaultSubtotal="0"/>
    <pivotField showAll="0" defaultSubtotal="0"/>
    <pivotField showAll="0" defaultSubtotal="0">
      <items count="5">
        <item x="0"/>
        <item x="1"/>
        <item x="2"/>
        <item x="3"/>
        <item x="4"/>
      </items>
    </pivotField>
  </pivotFields>
  <rowFields count="1">
    <field x="8"/>
  </rowFields>
  <rowItems count="16">
    <i>
      <x v="8"/>
    </i>
    <i>
      <x v="46"/>
    </i>
    <i>
      <x v="62"/>
    </i>
    <i>
      <x v="95"/>
    </i>
    <i>
      <x v="99"/>
    </i>
    <i>
      <x v="108"/>
    </i>
    <i>
      <x v="140"/>
    </i>
    <i>
      <x v="144"/>
    </i>
    <i>
      <x v="149"/>
    </i>
    <i>
      <x v="151"/>
    </i>
    <i>
      <x v="166"/>
    </i>
    <i>
      <x v="167"/>
    </i>
    <i>
      <x v="168"/>
    </i>
    <i>
      <x v="175"/>
    </i>
    <i>
      <x v="176"/>
    </i>
    <i t="grand">
      <x/>
    </i>
  </rowItems>
  <colFields count="3">
    <field x="5"/>
    <field x="4"/>
    <field x="-2"/>
  </colFields>
  <colItems count="3">
    <i>
      <x v="1"/>
      <x v="1048832"/>
      <x/>
    </i>
    <i r="2" i="1">
      <x v="1"/>
    </i>
    <i r="2" i="2">
      <x v="2"/>
    </i>
  </colItems>
  <dataFields count="3">
    <dataField name="Sum of amount" fld="3" baseField="0" baseItem="0"/>
    <dataField name="Count of amount2" fld="3" subtotal="count" baseField="8" baseItem="8"/>
    <dataField name="Average of amount2" fld="3" subtotal="average" baseField="8" baseItem="8"/>
  </dataFields>
  <formats count="1">
    <format dxfId="90">
      <pivotArea field="-2" type="button" dataOnly="0" labelOnly="1" outline="0" axis="axisCol" fieldPosition="2"/>
    </format>
  </formats>
  <chartFormats count="23">
    <chartFormat chart="1" format="0" series="1">
      <pivotArea type="data" outline="0" fieldPosition="0">
        <references count="2">
          <reference field="4294967294" count="1" selected="0">
            <x v="0"/>
          </reference>
          <reference field="8" count="1" selected="0">
            <x v="8"/>
          </reference>
        </references>
      </pivotArea>
    </chartFormat>
    <chartFormat chart="1" format="1" series="1">
      <pivotArea type="data" outline="0" fieldPosition="0">
        <references count="2">
          <reference field="4294967294" count="1" selected="0">
            <x v="0"/>
          </reference>
          <reference field="8" count="1" selected="0">
            <x v="46"/>
          </reference>
        </references>
      </pivotArea>
    </chartFormat>
    <chartFormat chart="1" format="2" series="1">
      <pivotArea type="data" outline="0" fieldPosition="0">
        <references count="2">
          <reference field="4294967294" count="1" selected="0">
            <x v="0"/>
          </reference>
          <reference field="8" count="1" selected="0">
            <x v="62"/>
          </reference>
        </references>
      </pivotArea>
    </chartFormat>
    <chartFormat chart="1" format="3" series="1">
      <pivotArea type="data" outline="0" fieldPosition="0">
        <references count="2">
          <reference field="4294967294" count="1" selected="0">
            <x v="0"/>
          </reference>
          <reference field="8" count="1" selected="0">
            <x v="95"/>
          </reference>
        </references>
      </pivotArea>
    </chartFormat>
    <chartFormat chart="1" format="4" series="1">
      <pivotArea type="data" outline="0" fieldPosition="0">
        <references count="2">
          <reference field="4294967294" count="1" selected="0">
            <x v="0"/>
          </reference>
          <reference field="8" count="1" selected="0">
            <x v="99"/>
          </reference>
        </references>
      </pivotArea>
    </chartFormat>
    <chartFormat chart="1" format="5" series="1">
      <pivotArea type="data" outline="0" fieldPosition="0">
        <references count="2">
          <reference field="4294967294" count="1" selected="0">
            <x v="0"/>
          </reference>
          <reference field="8" count="1" selected="0">
            <x v="108"/>
          </reference>
        </references>
      </pivotArea>
    </chartFormat>
    <chartFormat chart="1" format="6" series="1">
      <pivotArea type="data" outline="0" fieldPosition="0">
        <references count="2">
          <reference field="4294967294" count="1" selected="0">
            <x v="0"/>
          </reference>
          <reference field="8" count="1" selected="0">
            <x v="140"/>
          </reference>
        </references>
      </pivotArea>
    </chartFormat>
    <chartFormat chart="1" format="7" series="1">
      <pivotArea type="data" outline="0" fieldPosition="0">
        <references count="2">
          <reference field="4294967294" count="1" selected="0">
            <x v="0"/>
          </reference>
          <reference field="8" count="1" selected="0">
            <x v="144"/>
          </reference>
        </references>
      </pivotArea>
    </chartFormat>
    <chartFormat chart="1" format="8" series="1">
      <pivotArea type="data" outline="0" fieldPosition="0">
        <references count="2">
          <reference field="4294967294" count="1" selected="0">
            <x v="0"/>
          </reference>
          <reference field="8" count="1" selected="0">
            <x v="149"/>
          </reference>
        </references>
      </pivotArea>
    </chartFormat>
    <chartFormat chart="1" format="9" series="1">
      <pivotArea type="data" outline="0" fieldPosition="0">
        <references count="2">
          <reference field="4294967294" count="1" selected="0">
            <x v="0"/>
          </reference>
          <reference field="8" count="1" selected="0">
            <x v="151"/>
          </reference>
        </references>
      </pivotArea>
    </chartFormat>
    <chartFormat chart="1" format="10" series="1">
      <pivotArea type="data" outline="0" fieldPosition="0">
        <references count="2">
          <reference field="4294967294" count="1" selected="0">
            <x v="0"/>
          </reference>
          <reference field="8" count="1" selected="0">
            <x v="166"/>
          </reference>
        </references>
      </pivotArea>
    </chartFormat>
    <chartFormat chart="1" format="11" series="1">
      <pivotArea type="data" outline="0" fieldPosition="0">
        <references count="2">
          <reference field="4294967294" count="1" selected="0">
            <x v="0"/>
          </reference>
          <reference field="8" count="1" selected="0">
            <x v="167"/>
          </reference>
        </references>
      </pivotArea>
    </chartFormat>
    <chartFormat chart="1" format="12" series="1">
      <pivotArea type="data" outline="0" fieldPosition="0">
        <references count="2">
          <reference field="4294967294" count="1" selected="0">
            <x v="0"/>
          </reference>
          <reference field="8" count="1" selected="0">
            <x v="168"/>
          </reference>
        </references>
      </pivotArea>
    </chartFormat>
    <chartFormat chart="1" format="13" series="1">
      <pivotArea type="data" outline="0" fieldPosition="0">
        <references count="2">
          <reference field="4294967294" count="1" selected="0">
            <x v="0"/>
          </reference>
          <reference field="8" count="1" selected="0">
            <x v="175"/>
          </reference>
        </references>
      </pivotArea>
    </chartFormat>
    <chartFormat chart="1" format="14" series="1">
      <pivotArea type="data" outline="0" fieldPosition="0">
        <references count="2">
          <reference field="4294967294" count="1" selected="0">
            <x v="0"/>
          </reference>
          <reference field="8" count="1" selected="0">
            <x v="176"/>
          </reference>
        </references>
      </pivotArea>
    </chartFormat>
    <chartFormat chart="1" format="15" series="1">
      <pivotArea type="data" outline="0" fieldPosition="0">
        <references count="3">
          <reference field="4294967294" count="1" selected="0">
            <x v="0"/>
          </reference>
          <reference field="4" count="1" selected="0">
            <x v="1"/>
          </reference>
          <reference field="5" count="1" selected="0">
            <x v="1"/>
          </reference>
        </references>
      </pivotArea>
    </chartFormat>
    <chartFormat chart="1" format="16" series="1">
      <pivotArea type="data" outline="0" fieldPosition="0">
        <references count="1">
          <reference field="4294967294" count="1" selected="0">
            <x v="0"/>
          </reference>
        </references>
      </pivotArea>
    </chartFormat>
    <chartFormat chart="17" format="20" series="1">
      <pivotArea type="data" outline="0" fieldPosition="0">
        <references count="1">
          <reference field="4294967294" count="1" selected="0">
            <x v="0"/>
          </reference>
        </references>
      </pivotArea>
    </chartFormat>
    <chartFormat chart="20" format="20" series="1">
      <pivotArea type="data" outline="0" fieldPosition="0">
        <references count="1">
          <reference field="4294967294" count="1" selected="0">
            <x v="0"/>
          </reference>
        </references>
      </pivotArea>
    </chartFormat>
    <chartFormat chart="20" format="21" series="1">
      <pivotArea type="data" outline="0" fieldPosition="0">
        <references count="3">
          <reference field="4294967294" count="1" selected="0">
            <x v="1"/>
          </reference>
          <reference field="4" count="1" selected="0">
            <x v="1048832"/>
          </reference>
          <reference field="5" count="1" selected="0">
            <x v="1"/>
          </reference>
        </references>
      </pivotArea>
    </chartFormat>
    <chartFormat chart="1" format="19" series="1">
      <pivotArea type="data" outline="0" fieldPosition="0">
        <references count="3">
          <reference field="4294967294" count="1" selected="0">
            <x v="1"/>
          </reference>
          <reference field="4" count="1" selected="0">
            <x v="1048832"/>
          </reference>
          <reference field="5" count="1" selected="0">
            <x v="1"/>
          </reference>
        </references>
      </pivotArea>
    </chartFormat>
    <chartFormat chart="17" format="21" series="1">
      <pivotArea type="data" outline="0" fieldPosition="0">
        <references count="3">
          <reference field="4294967294" count="1" selected="0">
            <x v="1"/>
          </reference>
          <reference field="4" count="1" selected="0">
            <x v="1048832"/>
          </reference>
          <reference field="5" count="1" selected="0">
            <x v="1"/>
          </reference>
        </references>
      </pivotArea>
    </chartFormat>
    <chartFormat chart="17" format="22" series="1">
      <pivotArea type="data" outline="0" fieldPosition="0">
        <references count="3">
          <reference field="4294967294" count="1" selected="0">
            <x v="2"/>
          </reference>
          <reference field="4" count="1" selected="0">
            <x v="1048832"/>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CA64DA-2B70-4596-9D67-FDD08A2548E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23:M25" firstHeaderRow="0" firstDataRow="1"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Row" showAll="0">
      <items count="5">
        <item h="1" x="2"/>
        <item x="3"/>
        <item x="0"/>
        <item h="1"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4"/>
  </rowFields>
  <rowItems count="2">
    <i>
      <x v="1"/>
    </i>
    <i>
      <x v="2"/>
    </i>
  </rowItems>
  <colFields count="1">
    <field x="-2"/>
  </colFields>
  <colItems count="4">
    <i>
      <x/>
    </i>
    <i i="1">
      <x v="1"/>
    </i>
    <i i="2">
      <x v="2"/>
    </i>
    <i i="3">
      <x v="3"/>
    </i>
  </colItems>
  <dataFields count="4">
    <dataField name="Average" fld="3" subtotal="average" baseField="4" baseItem="0" numFmtId="2"/>
    <dataField name="StdDev" fld="3" subtotal="stdDev" baseField="4" baseItem="0" numFmtId="2"/>
    <dataField name="Sum" fld="3" baseField="0" baseItem="0"/>
    <dataField name="Count" fld="3"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5F5543-1AB8-4391-AC01-E05EC9F13CBD}"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8">
  <location ref="M34:N87" firstHeaderRow="1" firstDataRow="4" firstDataCol="1"/>
  <pivotFields count="12">
    <pivotField showAll="0"/>
    <pivotField axis="axisRow"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Col" showAll="0">
      <items count="5">
        <item h="1" x="2"/>
        <item x="3"/>
        <item h="1" x="0"/>
        <item h="1" x="1"/>
        <item t="default"/>
      </items>
    </pivotField>
    <pivotField axis="axisCol" showAll="0">
      <items count="4">
        <item h="1" x="0"/>
        <item sd="0" x="2"/>
        <item h="1" x="1"/>
        <item t="default"/>
      </items>
    </pivotField>
    <pivotField showAll="0"/>
    <pivotField showAll="0"/>
    <pivotField axis="axisCol" showAll="0">
      <items count="178">
        <item h="1" x="136"/>
        <item h="1" x="155"/>
        <item h="1" x="100"/>
        <item h="1" x="30"/>
        <item h="1" x="75"/>
        <item h="1" x="148"/>
        <item h="1" x="158"/>
        <item h="1" x="156"/>
        <item h="1" x="126"/>
        <item h="1" x="66"/>
        <item h="1" x="4"/>
        <item h="1" x="149"/>
        <item h="1" x="76"/>
        <item h="1" x="1"/>
        <item h="1" x="77"/>
        <item h="1" x="164"/>
        <item h="1" x="165"/>
        <item h="1" x="34"/>
        <item h="1" x="142"/>
        <item h="1" x="17"/>
        <item h="1" x="170"/>
        <item h="1" x="23"/>
        <item h="1" x="59"/>
        <item h="1" x="60"/>
        <item h="1" x="114"/>
        <item h="1" x="130"/>
        <item h="1" x="91"/>
        <item h="1" x="67"/>
        <item h="1" x="110"/>
        <item h="1" x="154"/>
        <item h="1" x="84"/>
        <item h="1" x="134"/>
        <item h="1" x="141"/>
        <item h="1" x="118"/>
        <item h="1" x="147"/>
        <item h="1" x="106"/>
        <item h="1" x="12"/>
        <item h="1" x="18"/>
        <item h="1" x="123"/>
        <item h="1" x="27"/>
        <item h="1" x="85"/>
        <item h="1" x="62"/>
        <item h="1" x="96"/>
        <item h="1" x="115"/>
        <item h="1" x="145"/>
        <item h="1" x="47"/>
        <item h="1" x="116"/>
        <item h="1" x="73"/>
        <item h="1" x="74"/>
        <item h="1" x="24"/>
        <item h="1" x="104"/>
        <item h="1" x="109"/>
        <item h="1" x="173"/>
        <item h="1" x="31"/>
        <item h="1" x="45"/>
        <item h="1" x="92"/>
        <item h="1" x="102"/>
        <item h="1" x="125"/>
        <item h="1" x="105"/>
        <item h="1" x="3"/>
        <item h="1" x="8"/>
        <item h="1" x="101"/>
        <item h="1" x="21"/>
        <item h="1" x="168"/>
        <item h="1" x="83"/>
        <item h="1" x="112"/>
        <item h="1" x="49"/>
        <item h="1" x="36"/>
        <item h="1" x="166"/>
        <item h="1" x="140"/>
        <item h="1" x="68"/>
        <item h="1" x="19"/>
        <item h="1" x="9"/>
        <item h="1" x="80"/>
        <item h="1" x="135"/>
        <item h="1" x="58"/>
        <item h="1" x="97"/>
        <item h="1" x="22"/>
        <item h="1" x="79"/>
        <item h="1" x="55"/>
        <item h="1" x="161"/>
        <item h="1" x="111"/>
        <item h="1" x="169"/>
        <item h="1" x="54"/>
        <item h="1" x="33"/>
        <item h="1" x="138"/>
        <item h="1" x="89"/>
        <item h="1" x="117"/>
        <item h="1" x="38"/>
        <item h="1" x="16"/>
        <item h="1" x="99"/>
        <item h="1" x="122"/>
        <item h="1" x="139"/>
        <item h="1" x="93"/>
        <item h="1" x="52"/>
        <item h="1" x="103"/>
        <item h="1" x="151"/>
        <item h="1" x="124"/>
        <item h="1" x="15"/>
        <item h="1" x="90"/>
        <item h="1" x="7"/>
        <item h="1" x="172"/>
        <item h="1" x="29"/>
        <item h="1" x="72"/>
        <item h="1" x="131"/>
        <item h="1" x="10"/>
        <item h="1" x="53"/>
        <item h="1" x="176"/>
        <item h="1" x="86"/>
        <item h="1" x="26"/>
        <item h="1" x="25"/>
        <item h="1" x="163"/>
        <item h="1" x="107"/>
        <item h="1" x="42"/>
        <item h="1" x="159"/>
        <item h="1" x="81"/>
        <item h="1" x="64"/>
        <item h="1" x="6"/>
        <item h="1" x="174"/>
        <item h="1" x="69"/>
        <item h="1" x="171"/>
        <item h="1" x="127"/>
        <item h="1" x="51"/>
        <item h="1" x="157"/>
        <item h="1" x="175"/>
        <item h="1" x="70"/>
        <item h="1" x="120"/>
        <item h="1" x="121"/>
        <item h="1" x="108"/>
        <item h="1" x="150"/>
        <item h="1" x="153"/>
        <item h="1" x="48"/>
        <item h="1" x="162"/>
        <item h="1" x="78"/>
        <item h="1" x="143"/>
        <item h="1" x="82"/>
        <item h="1" x="0"/>
        <item h="1" x="133"/>
        <item h="1" x="137"/>
        <item h="1" x="56"/>
        <item h="1" x="98"/>
        <item h="1" x="160"/>
        <item h="1" x="65"/>
        <item h="1" x="57"/>
        <item h="1" x="11"/>
        <item h="1" x="46"/>
        <item h="1" x="35"/>
        <item h="1" x="28"/>
        <item h="1" x="2"/>
        <item h="1" x="41"/>
        <item h="1" x="144"/>
        <item sd="0" x="14"/>
        <item h="1" x="128"/>
        <item h="1" x="5"/>
        <item h="1" x="63"/>
        <item h="1" x="13"/>
        <item h="1" x="37"/>
        <item h="1" x="132"/>
        <item h="1" x="88"/>
        <item h="1" x="87"/>
        <item h="1" x="167"/>
        <item h="1" x="71"/>
        <item h="1" x="50"/>
        <item h="1" x="43"/>
        <item h="1" x="61"/>
        <item h="1" x="44"/>
        <item h="1" x="113"/>
        <item h="1" x="40"/>
        <item h="1" x="32"/>
        <item h="1" x="94"/>
        <item h="1" x="95"/>
        <item h="1" x="39"/>
        <item h="1" x="152"/>
        <item h="1" x="119"/>
        <item h="1" x="146"/>
        <item h="1" x="20"/>
        <item h="1" x="129"/>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50">
    <i>
      <x v="7"/>
    </i>
    <i>
      <x v="9"/>
    </i>
    <i>
      <x v="14"/>
    </i>
    <i>
      <x v="16"/>
    </i>
    <i>
      <x v="21"/>
    </i>
    <i>
      <x v="41"/>
    </i>
    <i>
      <x v="42"/>
    </i>
    <i>
      <x v="43"/>
    </i>
    <i>
      <x v="46"/>
    </i>
    <i>
      <x v="48"/>
    </i>
    <i>
      <x v="49"/>
    </i>
    <i>
      <x v="50"/>
    </i>
    <i>
      <x v="51"/>
    </i>
    <i>
      <x v="53"/>
    </i>
    <i>
      <x v="54"/>
    </i>
    <i>
      <x v="58"/>
    </i>
    <i>
      <x v="59"/>
    </i>
    <i>
      <x v="70"/>
    </i>
    <i>
      <x v="74"/>
    </i>
    <i>
      <x v="76"/>
    </i>
    <i>
      <x v="86"/>
    </i>
    <i>
      <x v="87"/>
    </i>
    <i>
      <x v="93"/>
    </i>
    <i>
      <x v="98"/>
    </i>
    <i>
      <x v="100"/>
    </i>
    <i>
      <x v="107"/>
    </i>
    <i>
      <x v="110"/>
    </i>
    <i>
      <x v="113"/>
    </i>
    <i>
      <x v="115"/>
    </i>
    <i>
      <x v="116"/>
    </i>
    <i>
      <x v="119"/>
    </i>
    <i>
      <x v="120"/>
    </i>
    <i>
      <x v="123"/>
    </i>
    <i>
      <x v="126"/>
    </i>
    <i>
      <x v="127"/>
    </i>
    <i>
      <x v="128"/>
    </i>
    <i>
      <x v="132"/>
    </i>
    <i>
      <x v="134"/>
    </i>
    <i>
      <x v="146"/>
    </i>
    <i>
      <x v="156"/>
    </i>
    <i>
      <x v="165"/>
    </i>
    <i>
      <x v="166"/>
    </i>
    <i>
      <x v="170"/>
    </i>
    <i>
      <x v="187"/>
    </i>
    <i>
      <x v="193"/>
    </i>
    <i>
      <x v="195"/>
    </i>
    <i>
      <x v="197"/>
    </i>
    <i>
      <x v="198"/>
    </i>
    <i>
      <x v="199"/>
    </i>
    <i t="grand">
      <x/>
    </i>
  </rowItems>
  <colFields count="3">
    <field x="8"/>
    <field x="5"/>
    <field x="4"/>
  </colFields>
  <colItems count="1">
    <i>
      <x v="151"/>
    </i>
  </colItems>
  <dataFields count="1">
    <dataField name="Sum of amount" fld="3" baseField="0" baseItem="0"/>
  </dataFields>
  <chartFormats count="4">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3" format="0" series="1">
      <pivotArea type="data" outline="0" fieldPosition="0">
        <references count="4">
          <reference field="4294967294" count="1" selected="0">
            <x v="0"/>
          </reference>
          <reference field="4" count="1" selected="0">
            <x v="1"/>
          </reference>
          <reference field="5" count="1" selected="0">
            <x v="1"/>
          </reference>
          <reference field="8" count="1" selected="0">
            <x v="151"/>
          </reference>
        </references>
      </pivotArea>
    </chartFormat>
    <chartFormat chart="3" format="1" series="1">
      <pivotArea type="data" outline="0" fieldPosition="0">
        <references count="3">
          <reference field="4294967294" count="1" selected="0">
            <x v="0"/>
          </reference>
          <reference field="5" count="1" selected="0">
            <x v="1"/>
          </reference>
          <reference field="8" count="1" selected="0">
            <x v="15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4C89B3-C612-4827-B5A2-F2BC88E19615}" name="total_expenses_income_per_detail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29:C200" firstHeaderRow="1" firstDataRow="2"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items count="272">
        <item x="211"/>
        <item x="153"/>
        <item x="34"/>
        <item x="78"/>
        <item x="141"/>
        <item x="192"/>
        <item x="80"/>
        <item x="79"/>
        <item x="140"/>
        <item x="207"/>
        <item x="77"/>
        <item x="76"/>
        <item x="118"/>
        <item x="230"/>
        <item x="246"/>
        <item x="244"/>
        <item x="196"/>
        <item x="94"/>
        <item x="128"/>
        <item x="117"/>
        <item x="104"/>
        <item x="32"/>
        <item x="4"/>
        <item x="213"/>
        <item x="235"/>
        <item x="119"/>
        <item x="1"/>
        <item x="120"/>
        <item x="253"/>
        <item x="254"/>
        <item x="41"/>
        <item x="223"/>
        <item x="18"/>
        <item x="259"/>
        <item x="24"/>
        <item x="163"/>
        <item x="81"/>
        <item x="82"/>
        <item x="176"/>
        <item x="200"/>
        <item x="248"/>
        <item x="95"/>
        <item x="188"/>
        <item x="170"/>
        <item x="242"/>
        <item x="129"/>
        <item x="209"/>
        <item x="222"/>
        <item x="180"/>
        <item x="228"/>
        <item x="166"/>
        <item x="13"/>
        <item x="19"/>
        <item x="190"/>
        <item x="28"/>
        <item x="130"/>
        <item x="115"/>
        <item x="110"/>
        <item x="71"/>
        <item x="205"/>
        <item x="195"/>
        <item x="84"/>
        <item x="147"/>
        <item x="177"/>
        <item x="226"/>
        <item x="57"/>
        <item x="178"/>
        <item x="233"/>
        <item x="231"/>
        <item x="232"/>
        <item x="234"/>
        <item x="107"/>
        <item x="113"/>
        <item x="25"/>
        <item x="161"/>
        <item x="184"/>
        <item x="169"/>
        <item x="189"/>
        <item x="267"/>
        <item x="35"/>
        <item x="55"/>
        <item x="139"/>
        <item x="157"/>
        <item x="194"/>
        <item x="165"/>
        <item x="142"/>
        <item x="136"/>
        <item x="87"/>
        <item x="116"/>
        <item x="103"/>
        <item x="127"/>
        <item x="33"/>
        <item x="229"/>
        <item x="212"/>
        <item x="8"/>
        <item x="74"/>
        <item x="73"/>
        <item x="155"/>
        <item x="156"/>
        <item x="22"/>
        <item x="257"/>
        <item x="126"/>
        <item x="174"/>
        <item x="62"/>
        <item x="43"/>
        <item x="255"/>
        <item x="221"/>
        <item x="148"/>
        <item x="96"/>
        <item x="20"/>
        <item x="9"/>
        <item x="123"/>
        <item x="210"/>
        <item x="72"/>
        <item x="150"/>
        <item x="173"/>
        <item x="172"/>
        <item x="23"/>
        <item x="88"/>
        <item x="236"/>
        <item x="122"/>
        <item x="69"/>
        <item x="250"/>
        <item x="171"/>
        <item x="258"/>
        <item x="68"/>
        <item x="40"/>
        <item x="218"/>
        <item x="135"/>
        <item x="179"/>
        <item x="45"/>
        <item x="17"/>
        <item x="152"/>
        <item x="187"/>
        <item x="220"/>
        <item x="144"/>
        <item x="66"/>
        <item x="158"/>
        <item x="238"/>
        <item x="193"/>
        <item x="16"/>
        <item x="137"/>
        <item x="7"/>
        <item x="12"/>
        <item x="264"/>
        <item x="3"/>
        <item x="31"/>
        <item x="100"/>
        <item x="204"/>
        <item x="10"/>
        <item x="67"/>
        <item x="270"/>
        <item x="132"/>
        <item x="92"/>
        <item x="27"/>
        <item x="30"/>
        <item x="85"/>
        <item x="101"/>
        <item x="162"/>
        <item x="112"/>
        <item x="202"/>
        <item x="203"/>
        <item x="58"/>
        <item x="86"/>
        <item x="160"/>
        <item x="37"/>
        <item x="38"/>
        <item x="149"/>
        <item x="46"/>
        <item x="111"/>
        <item x="102"/>
        <item x="93"/>
        <item x="53"/>
        <item x="61"/>
        <item x="60"/>
        <item x="65"/>
        <item x="47"/>
        <item x="39"/>
        <item x="252"/>
        <item x="167"/>
        <item x="51"/>
        <item x="247"/>
        <item x="124"/>
        <item x="90"/>
        <item x="6"/>
        <item x="268"/>
        <item x="26"/>
        <item x="265"/>
        <item x="262"/>
        <item x="215"/>
        <item x="260"/>
        <item x="266"/>
        <item x="154"/>
        <item x="143"/>
        <item x="106"/>
        <item x="263"/>
        <item x="97"/>
        <item x="261"/>
        <item x="64"/>
        <item x="245"/>
        <item x="269"/>
        <item x="98"/>
        <item x="182"/>
        <item x="186"/>
        <item x="185"/>
        <item x="168"/>
        <item x="237"/>
        <item x="240"/>
        <item x="59"/>
        <item x="251"/>
        <item x="121"/>
        <item x="224"/>
        <item x="217"/>
        <item x="125"/>
        <item x="131"/>
        <item x="208"/>
        <item x="216"/>
        <item x="70"/>
        <item x="201"/>
        <item x="159"/>
        <item x="151"/>
        <item x="214"/>
        <item x="249"/>
        <item x="91"/>
        <item x="241"/>
        <item x="191"/>
        <item x="183"/>
        <item x="11"/>
        <item x="56"/>
        <item x="42"/>
        <item x="29"/>
        <item x="2"/>
        <item x="75"/>
        <item x="50"/>
        <item x="219"/>
        <item x="109"/>
        <item x="108"/>
        <item x="105"/>
        <item x="164"/>
        <item x="225"/>
        <item x="15"/>
        <item x="198"/>
        <item x="5"/>
        <item x="89"/>
        <item x="14"/>
        <item x="44"/>
        <item x="206"/>
        <item x="134"/>
        <item x="133"/>
        <item x="256"/>
        <item x="99"/>
        <item x="63"/>
        <item x="52"/>
        <item x="83"/>
        <item x="54"/>
        <item x="175"/>
        <item x="49"/>
        <item x="36"/>
        <item x="145"/>
        <item x="146"/>
        <item x="48"/>
        <item x="239"/>
        <item x="181"/>
        <item x="21"/>
        <item x="199"/>
        <item x="0"/>
        <item x="114"/>
        <item x="197"/>
        <item x="138"/>
        <item x="227"/>
        <item x="243"/>
        <item t="default"/>
      </items>
    </pivotField>
    <pivotField dataField="1" showAll="0"/>
    <pivotField axis="axisCol" showAll="0">
      <items count="5">
        <item h="1" x="2"/>
        <item x="3"/>
        <item x="0"/>
        <item h="1" x="1"/>
        <item t="default"/>
      </items>
    </pivotField>
    <pivotField showAll="0"/>
    <pivotField showAll="0"/>
    <pivotField showAll="0"/>
    <pivotField axis="axisRow" showAll="0">
      <items count="178">
        <item x="136"/>
        <item x="155"/>
        <item x="100"/>
        <item x="30"/>
        <item x="75"/>
        <item x="148"/>
        <item x="158"/>
        <item x="156"/>
        <item x="126"/>
        <item x="66"/>
        <item x="4"/>
        <item x="149"/>
        <item x="76"/>
        <item x="1"/>
        <item x="77"/>
        <item x="164"/>
        <item x="165"/>
        <item x="34"/>
        <item x="142"/>
        <item x="17"/>
        <item x="170"/>
        <item x="23"/>
        <item x="59"/>
        <item x="60"/>
        <item x="114"/>
        <item x="130"/>
        <item x="91"/>
        <item x="67"/>
        <item x="110"/>
        <item x="154"/>
        <item x="84"/>
        <item x="134"/>
        <item x="141"/>
        <item x="118"/>
        <item x="147"/>
        <item x="106"/>
        <item x="12"/>
        <item x="18"/>
        <item x="123"/>
        <item x="27"/>
        <item x="85"/>
        <item x="62"/>
        <item x="96"/>
        <item x="115"/>
        <item x="145"/>
        <item x="47"/>
        <item x="116"/>
        <item x="73"/>
        <item x="74"/>
        <item x="24"/>
        <item x="104"/>
        <item x="109"/>
        <item x="173"/>
        <item x="31"/>
        <item x="45"/>
        <item x="92"/>
        <item x="102"/>
        <item x="125"/>
        <item x="105"/>
        <item x="3"/>
        <item x="8"/>
        <item x="101"/>
        <item x="21"/>
        <item x="168"/>
        <item x="83"/>
        <item x="112"/>
        <item x="49"/>
        <item x="36"/>
        <item x="166"/>
        <item x="140"/>
        <item x="68"/>
        <item x="19"/>
        <item x="9"/>
        <item x="80"/>
        <item x="135"/>
        <item x="58"/>
        <item x="97"/>
        <item x="22"/>
        <item x="79"/>
        <item x="55"/>
        <item x="161"/>
        <item x="111"/>
        <item x="169"/>
        <item x="54"/>
        <item x="33"/>
        <item x="138"/>
        <item x="89"/>
        <item x="117"/>
        <item x="38"/>
        <item x="16"/>
        <item x="99"/>
        <item x="122"/>
        <item x="139"/>
        <item x="93"/>
        <item x="52"/>
        <item x="103"/>
        <item x="151"/>
        <item x="124"/>
        <item x="15"/>
        <item x="90"/>
        <item x="7"/>
        <item x="172"/>
        <item x="29"/>
        <item x="72"/>
        <item x="131"/>
        <item x="10"/>
        <item x="53"/>
        <item x="176"/>
        <item x="86"/>
        <item x="26"/>
        <item x="25"/>
        <item x="163"/>
        <item x="107"/>
        <item x="42"/>
        <item x="159"/>
        <item x="81"/>
        <item x="64"/>
        <item x="6"/>
        <item x="174"/>
        <item x="69"/>
        <item x="171"/>
        <item x="127"/>
        <item x="51"/>
        <item x="157"/>
        <item x="175"/>
        <item x="70"/>
        <item x="120"/>
        <item x="121"/>
        <item x="108"/>
        <item x="150"/>
        <item x="153"/>
        <item x="48"/>
        <item x="162"/>
        <item x="78"/>
        <item x="143"/>
        <item x="82"/>
        <item x="0"/>
        <item x="133"/>
        <item x="137"/>
        <item x="56"/>
        <item x="98"/>
        <item x="160"/>
        <item x="65"/>
        <item x="57"/>
        <item x="11"/>
        <item x="46"/>
        <item x="35"/>
        <item x="28"/>
        <item x="2"/>
        <item x="41"/>
        <item x="144"/>
        <item x="14"/>
        <item x="128"/>
        <item x="5"/>
        <item x="63"/>
        <item x="13"/>
        <item x="37"/>
        <item x="132"/>
        <item x="88"/>
        <item x="87"/>
        <item x="167"/>
        <item x="71"/>
        <item x="50"/>
        <item x="43"/>
        <item x="61"/>
        <item x="44"/>
        <item x="113"/>
        <item x="40"/>
        <item x="32"/>
        <item x="94"/>
        <item x="95"/>
        <item x="39"/>
        <item x="152"/>
        <item x="119"/>
        <item x="146"/>
        <item x="20"/>
        <item x="129"/>
        <item t="default"/>
      </items>
    </pivotField>
    <pivotField showAll="0" defaultSubtotal="0"/>
    <pivotField showAll="0" defaultSubtotal="0"/>
    <pivotField showAll="0" defaultSubtotal="0">
      <items count="5">
        <item x="0"/>
        <item x="1"/>
        <item x="2"/>
        <item x="3"/>
        <item x="4"/>
      </items>
    </pivotField>
  </pivotFields>
  <rowFields count="1">
    <field x="8"/>
  </rowFields>
  <rowItems count="170">
    <i>
      <x/>
    </i>
    <i>
      <x v="1"/>
    </i>
    <i>
      <x v="2"/>
    </i>
    <i>
      <x v="3"/>
    </i>
    <i>
      <x v="4"/>
    </i>
    <i>
      <x v="5"/>
    </i>
    <i>
      <x v="6"/>
    </i>
    <i>
      <x v="7"/>
    </i>
    <i>
      <x v="8"/>
    </i>
    <i>
      <x v="9"/>
    </i>
    <i>
      <x v="10"/>
    </i>
    <i>
      <x v="11"/>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3"/>
    </i>
    <i>
      <x v="44"/>
    </i>
    <i>
      <x v="45"/>
    </i>
    <i>
      <x v="46"/>
    </i>
    <i>
      <x v="47"/>
    </i>
    <i>
      <x v="48"/>
    </i>
    <i>
      <x v="49"/>
    </i>
    <i>
      <x v="50"/>
    </i>
    <i>
      <x v="51"/>
    </i>
    <i>
      <x v="52"/>
    </i>
    <i>
      <x v="53"/>
    </i>
    <i>
      <x v="54"/>
    </i>
    <i>
      <x v="55"/>
    </i>
    <i>
      <x v="57"/>
    </i>
    <i>
      <x v="58"/>
    </i>
    <i>
      <x v="59"/>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9"/>
    </i>
    <i>
      <x v="150"/>
    </i>
    <i>
      <x v="151"/>
    </i>
    <i>
      <x v="152"/>
    </i>
    <i>
      <x v="153"/>
    </i>
    <i>
      <x v="154"/>
    </i>
    <i>
      <x v="155"/>
    </i>
    <i>
      <x v="156"/>
    </i>
    <i>
      <x v="157"/>
    </i>
    <i>
      <x v="158"/>
    </i>
    <i>
      <x v="159"/>
    </i>
    <i>
      <x v="160"/>
    </i>
    <i>
      <x v="161"/>
    </i>
    <i>
      <x v="162"/>
    </i>
    <i>
      <x v="163"/>
    </i>
    <i>
      <x v="164"/>
    </i>
    <i>
      <x v="165"/>
    </i>
    <i>
      <x v="166"/>
    </i>
    <i>
      <x v="167"/>
    </i>
    <i>
      <x v="168"/>
    </i>
    <i>
      <x v="170"/>
    </i>
    <i>
      <x v="171"/>
    </i>
    <i>
      <x v="172"/>
    </i>
    <i>
      <x v="173"/>
    </i>
    <i>
      <x v="174"/>
    </i>
    <i>
      <x v="175"/>
    </i>
    <i>
      <x v="176"/>
    </i>
    <i t="grand">
      <x/>
    </i>
  </rowItems>
  <colFields count="1">
    <field x="4"/>
  </colFields>
  <colItems count="2">
    <i>
      <x v="1"/>
    </i>
    <i>
      <x v="2"/>
    </i>
  </colItems>
  <dataFields count="1">
    <dataField name="Sum of amount" fld="3" baseField="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A92CC8-AA51-4E78-B41A-102E046BBB36}" name="monthly_expenses_and_income"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C25" firstHeaderRow="1" firstDataRow="2"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Col" showAll="0">
      <items count="5">
        <item h="1" x="2"/>
        <item x="3"/>
        <item x="0"/>
        <item h="1" x="1"/>
        <item t="default"/>
      </items>
    </pivotField>
    <pivotField showAll="0"/>
    <pivotField showAll="0">
      <items count="13">
        <item x="4"/>
        <item x="5"/>
        <item x="6"/>
        <item x="7"/>
        <item x="8"/>
        <item x="9"/>
        <item x="10"/>
        <item x="11"/>
        <item x="0"/>
        <item x="1"/>
        <item x="2"/>
        <item x="3"/>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11"/>
    <field x="9"/>
  </rowFields>
  <rowItems count="21">
    <i>
      <x v="1"/>
    </i>
    <i r="1">
      <x v="9"/>
    </i>
    <i r="1">
      <x v="10"/>
    </i>
    <i r="1">
      <x v="11"/>
    </i>
    <i r="1">
      <x v="12"/>
    </i>
    <i>
      <x v="2"/>
    </i>
    <i r="1">
      <x v="1"/>
    </i>
    <i r="1">
      <x v="2"/>
    </i>
    <i r="1">
      <x v="3"/>
    </i>
    <i r="1">
      <x v="4"/>
    </i>
    <i r="1">
      <x v="5"/>
    </i>
    <i r="1">
      <x v="6"/>
    </i>
    <i r="1">
      <x v="7"/>
    </i>
    <i r="1">
      <x v="8"/>
    </i>
    <i r="1">
      <x v="9"/>
    </i>
    <i r="1">
      <x v="10"/>
    </i>
    <i r="1">
      <x v="11"/>
    </i>
    <i r="1">
      <x v="12"/>
    </i>
    <i>
      <x v="3"/>
    </i>
    <i r="1">
      <x v="1"/>
    </i>
    <i t="grand">
      <x/>
    </i>
  </rowItems>
  <colFields count="1">
    <field x="4"/>
  </colFields>
  <colItems count="2">
    <i>
      <x v="1"/>
    </i>
    <i>
      <x v="2"/>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82A5FD-7E7B-49A4-A550-F448E4A5A956}"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58:I281" firstHeaderRow="1" firstDataRow="2" firstDataCol="1"/>
  <pivotFields count="12">
    <pivotField showAll="0"/>
    <pivotField axis="axisRow" numFmtId="14" showAll="0">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pivotField dataField="1" showAll="0"/>
    <pivotField axis="axisCol" showAll="0">
      <items count="5">
        <item h="1" x="2"/>
        <item x="3"/>
        <item h="1" x="0"/>
        <item h="1" x="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x="11"/>
        <item x="12"/>
        <item sd="0" x="13"/>
        <item t="default"/>
      </items>
    </pivotField>
    <pivotField showAll="0">
      <items count="7">
        <item sd="0" x="0"/>
        <item sd="0" x="1"/>
        <item sd="0" x="2"/>
        <item sd="0" x="3"/>
        <item sd="0" x="4"/>
        <item sd="0" x="5"/>
        <item t="default"/>
      </items>
    </pivotField>
    <pivotField showAll="0">
      <items count="6">
        <item sd="0" x="0"/>
        <item x="1"/>
        <item sd="0" x="2"/>
        <item sd="0" x="3"/>
        <item sd="0" x="4"/>
        <item t="default"/>
      </items>
    </pivotField>
  </pivotFields>
  <rowFields count="1">
    <field x="1"/>
  </rowFields>
  <rowItems count="222">
    <i>
      <x v="4"/>
    </i>
    <i>
      <x v="5"/>
    </i>
    <i>
      <x v="6"/>
    </i>
    <i>
      <x v="7"/>
    </i>
    <i>
      <x v="8"/>
    </i>
    <i>
      <x v="9"/>
    </i>
    <i>
      <x v="10"/>
    </i>
    <i>
      <x v="11"/>
    </i>
    <i>
      <x v="12"/>
    </i>
    <i>
      <x v="13"/>
    </i>
    <i>
      <x v="14"/>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5"/>
    </i>
    <i>
      <x v="46"/>
    </i>
    <i>
      <x v="47"/>
    </i>
    <i>
      <x v="48"/>
    </i>
    <i>
      <x v="49"/>
    </i>
    <i>
      <x v="50"/>
    </i>
    <i>
      <x v="51"/>
    </i>
    <i>
      <x v="52"/>
    </i>
    <i>
      <x v="53"/>
    </i>
    <i>
      <x v="54"/>
    </i>
    <i>
      <x v="56"/>
    </i>
    <i>
      <x v="57"/>
    </i>
    <i>
      <x v="58"/>
    </i>
    <i>
      <x v="59"/>
    </i>
    <i>
      <x v="60"/>
    </i>
    <i>
      <x v="61"/>
    </i>
    <i>
      <x v="62"/>
    </i>
    <i>
      <x v="63"/>
    </i>
    <i>
      <x v="64"/>
    </i>
    <i>
      <x v="65"/>
    </i>
    <i>
      <x v="66"/>
    </i>
    <i>
      <x v="67"/>
    </i>
    <i>
      <x v="68"/>
    </i>
    <i>
      <x v="69"/>
    </i>
    <i>
      <x v="70"/>
    </i>
    <i>
      <x v="71"/>
    </i>
    <i>
      <x v="72"/>
    </i>
    <i>
      <x v="74"/>
    </i>
    <i>
      <x v="75"/>
    </i>
    <i>
      <x v="76"/>
    </i>
    <i>
      <x v="77"/>
    </i>
    <i>
      <x v="78"/>
    </i>
    <i>
      <x v="79"/>
    </i>
    <i>
      <x v="80"/>
    </i>
    <i>
      <x v="81"/>
    </i>
    <i>
      <x v="82"/>
    </i>
    <i>
      <x v="83"/>
    </i>
    <i>
      <x v="84"/>
    </i>
    <i>
      <x v="85"/>
    </i>
    <i>
      <x v="86"/>
    </i>
    <i>
      <x v="87"/>
    </i>
    <i>
      <x v="88"/>
    </i>
    <i>
      <x v="89"/>
    </i>
    <i>
      <x v="90"/>
    </i>
    <i>
      <x v="91"/>
    </i>
    <i>
      <x v="93"/>
    </i>
    <i>
      <x v="94"/>
    </i>
    <i>
      <x v="95"/>
    </i>
    <i>
      <x v="96"/>
    </i>
    <i>
      <x v="97"/>
    </i>
    <i>
      <x v="98"/>
    </i>
    <i>
      <x v="99"/>
    </i>
    <i>
      <x v="100"/>
    </i>
    <i>
      <x v="101"/>
    </i>
    <i>
      <x v="102"/>
    </i>
    <i>
      <x v="103"/>
    </i>
    <i>
      <x v="105"/>
    </i>
    <i>
      <x v="107"/>
    </i>
    <i>
      <x v="108"/>
    </i>
    <i>
      <x v="109"/>
    </i>
    <i>
      <x v="110"/>
    </i>
    <i>
      <x v="112"/>
    </i>
    <i>
      <x v="113"/>
    </i>
    <i>
      <x v="114"/>
    </i>
    <i>
      <x v="115"/>
    </i>
    <i>
      <x v="116"/>
    </i>
    <i>
      <x v="117"/>
    </i>
    <i>
      <x v="119"/>
    </i>
    <i>
      <x v="120"/>
    </i>
    <i>
      <x v="121"/>
    </i>
    <i>
      <x v="122"/>
    </i>
    <i>
      <x v="123"/>
    </i>
    <i>
      <x v="124"/>
    </i>
    <i>
      <x v="125"/>
    </i>
    <i>
      <x v="126"/>
    </i>
    <i>
      <x v="127"/>
    </i>
    <i>
      <x v="128"/>
    </i>
    <i>
      <x v="129"/>
    </i>
    <i>
      <x v="130"/>
    </i>
    <i>
      <x v="131"/>
    </i>
    <i>
      <x v="132"/>
    </i>
    <i>
      <x v="133"/>
    </i>
    <i>
      <x v="134"/>
    </i>
    <i>
      <x v="135"/>
    </i>
    <i>
      <x v="136"/>
    </i>
    <i>
      <x v="137"/>
    </i>
    <i>
      <x v="138"/>
    </i>
    <i>
      <x v="139"/>
    </i>
    <i>
      <x v="141"/>
    </i>
    <i>
      <x v="142"/>
    </i>
    <i>
      <x v="143"/>
    </i>
    <i>
      <x v="144"/>
    </i>
    <i>
      <x v="145"/>
    </i>
    <i>
      <x v="146"/>
    </i>
    <i>
      <x v="147"/>
    </i>
    <i>
      <x v="148"/>
    </i>
    <i>
      <x v="149"/>
    </i>
    <i>
      <x v="150"/>
    </i>
    <i>
      <x v="151"/>
    </i>
    <i>
      <x v="152"/>
    </i>
    <i>
      <x v="153"/>
    </i>
    <i>
      <x v="154"/>
    </i>
    <i>
      <x v="156"/>
    </i>
    <i>
      <x v="157"/>
    </i>
    <i>
      <x v="158"/>
    </i>
    <i>
      <x v="159"/>
    </i>
    <i>
      <x v="160"/>
    </i>
    <i>
      <x v="161"/>
    </i>
    <i>
      <x v="163"/>
    </i>
    <i>
      <x v="164"/>
    </i>
    <i>
      <x v="165"/>
    </i>
    <i>
      <x v="166"/>
    </i>
    <i>
      <x v="167"/>
    </i>
    <i>
      <x v="168"/>
    </i>
    <i>
      <x v="169"/>
    </i>
    <i>
      <x v="170"/>
    </i>
    <i>
      <x v="172"/>
    </i>
    <i>
      <x v="173"/>
    </i>
    <i>
      <x v="174"/>
    </i>
    <i>
      <x v="175"/>
    </i>
    <i>
      <x v="176"/>
    </i>
    <i>
      <x v="177"/>
    </i>
    <i>
      <x v="178"/>
    </i>
    <i>
      <x v="179"/>
    </i>
    <i>
      <x v="180"/>
    </i>
    <i>
      <x v="181"/>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8"/>
    </i>
    <i>
      <x v="219"/>
    </i>
    <i>
      <x v="220"/>
    </i>
    <i>
      <x v="221"/>
    </i>
    <i>
      <x v="222"/>
    </i>
    <i>
      <x v="223"/>
    </i>
    <i>
      <x v="224"/>
    </i>
    <i>
      <x v="225"/>
    </i>
    <i>
      <x v="226"/>
    </i>
    <i>
      <x v="227"/>
    </i>
    <i>
      <x v="228"/>
    </i>
    <i>
      <x v="229"/>
    </i>
    <i>
      <x v="230"/>
    </i>
    <i>
      <x v="231"/>
    </i>
    <i>
      <x v="232"/>
    </i>
    <i>
      <x v="233"/>
    </i>
    <i>
      <x v="234"/>
    </i>
    <i>
      <x v="235"/>
    </i>
    <i>
      <x v="236"/>
    </i>
    <i>
      <x v="237"/>
    </i>
    <i>
      <x v="238"/>
    </i>
    <i>
      <x v="239"/>
    </i>
    <i>
      <x v="241"/>
    </i>
    <i>
      <x v="242"/>
    </i>
  </rowItems>
  <colFields count="1">
    <field x="4"/>
  </colFields>
  <colItems count="1">
    <i>
      <x v="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E64C4C-CACD-49F8-B700-ED192D4F0EF0}"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4">
  <location ref="P15:S31" firstHeaderRow="1" firstDataRow="3"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Col" showAll="0">
      <items count="5">
        <item h="1" x="2"/>
        <item h="1" x="3"/>
        <item x="0"/>
        <item h="1" x="1"/>
        <item t="default"/>
      </items>
    </pivotField>
    <pivotField showAll="0"/>
    <pivotField showAll="0"/>
    <pivotField showAll="0"/>
    <pivotField axis="axisRow" showAll="0">
      <items count="178">
        <item x="136"/>
        <item x="155"/>
        <item x="100"/>
        <item x="30"/>
        <item x="75"/>
        <item x="148"/>
        <item x="158"/>
        <item x="156"/>
        <item x="126"/>
        <item x="66"/>
        <item x="4"/>
        <item x="149"/>
        <item x="76"/>
        <item x="1"/>
        <item x="77"/>
        <item x="164"/>
        <item x="165"/>
        <item x="34"/>
        <item x="142"/>
        <item x="17"/>
        <item x="170"/>
        <item x="23"/>
        <item x="59"/>
        <item x="60"/>
        <item x="114"/>
        <item x="130"/>
        <item x="91"/>
        <item x="67"/>
        <item x="110"/>
        <item x="154"/>
        <item x="84"/>
        <item x="134"/>
        <item x="141"/>
        <item x="118"/>
        <item x="147"/>
        <item x="106"/>
        <item x="12"/>
        <item x="18"/>
        <item x="123"/>
        <item x="27"/>
        <item x="85"/>
        <item x="62"/>
        <item x="96"/>
        <item x="115"/>
        <item x="145"/>
        <item x="47"/>
        <item x="116"/>
        <item x="73"/>
        <item x="74"/>
        <item x="24"/>
        <item x="104"/>
        <item x="109"/>
        <item x="173"/>
        <item x="31"/>
        <item x="45"/>
        <item x="92"/>
        <item x="102"/>
        <item x="125"/>
        <item x="105"/>
        <item x="3"/>
        <item x="8"/>
        <item x="101"/>
        <item x="21"/>
        <item x="168"/>
        <item x="83"/>
        <item x="112"/>
        <item x="49"/>
        <item x="36"/>
        <item x="166"/>
        <item x="140"/>
        <item x="68"/>
        <item x="19"/>
        <item x="9"/>
        <item x="80"/>
        <item x="135"/>
        <item x="58"/>
        <item x="97"/>
        <item x="22"/>
        <item x="79"/>
        <item x="55"/>
        <item x="161"/>
        <item x="111"/>
        <item x="169"/>
        <item x="54"/>
        <item x="33"/>
        <item x="138"/>
        <item x="89"/>
        <item x="117"/>
        <item x="38"/>
        <item x="16"/>
        <item x="99"/>
        <item x="122"/>
        <item x="139"/>
        <item x="93"/>
        <item x="52"/>
        <item x="103"/>
        <item x="151"/>
        <item x="124"/>
        <item x="15"/>
        <item x="90"/>
        <item x="7"/>
        <item x="172"/>
        <item x="29"/>
        <item x="72"/>
        <item x="131"/>
        <item x="10"/>
        <item x="53"/>
        <item x="176"/>
        <item x="86"/>
        <item x="26"/>
        <item x="25"/>
        <item x="163"/>
        <item x="107"/>
        <item x="42"/>
        <item x="159"/>
        <item x="81"/>
        <item x="64"/>
        <item x="6"/>
        <item x="174"/>
        <item x="69"/>
        <item x="171"/>
        <item x="127"/>
        <item x="51"/>
        <item x="157"/>
        <item x="175"/>
        <item x="70"/>
        <item x="120"/>
        <item x="121"/>
        <item x="108"/>
        <item x="150"/>
        <item x="153"/>
        <item x="48"/>
        <item x="162"/>
        <item x="78"/>
        <item x="143"/>
        <item x="82"/>
        <item x="0"/>
        <item x="133"/>
        <item x="137"/>
        <item x="56"/>
        <item x="98"/>
        <item x="160"/>
        <item x="65"/>
        <item x="57"/>
        <item x="11"/>
        <item x="46"/>
        <item x="35"/>
        <item x="28"/>
        <item x="2"/>
        <item x="41"/>
        <item x="144"/>
        <item x="14"/>
        <item x="128"/>
        <item x="5"/>
        <item x="63"/>
        <item x="13"/>
        <item x="37"/>
        <item x="132"/>
        <item x="88"/>
        <item x="87"/>
        <item x="167"/>
        <item x="71"/>
        <item x="50"/>
        <item x="43"/>
        <item x="61"/>
        <item x="44"/>
        <item x="113"/>
        <item x="40"/>
        <item x="32"/>
        <item x="94"/>
        <item x="95"/>
        <item x="39"/>
        <item x="152"/>
        <item x="119"/>
        <item x="146"/>
        <item x="20"/>
        <item x="129"/>
        <item t="default"/>
      </items>
    </pivotField>
    <pivotField showAll="0" defaultSubtotal="0"/>
    <pivotField showAll="0" defaultSubtotal="0"/>
    <pivotField showAll="0" defaultSubtotal="0">
      <items count="5">
        <item x="0"/>
        <item x="1"/>
        <item x="2"/>
        <item x="3"/>
        <item x="4"/>
      </items>
    </pivotField>
  </pivotFields>
  <rowFields count="1">
    <field x="8"/>
  </rowFields>
  <rowItems count="14">
    <i>
      <x/>
    </i>
    <i>
      <x v="1"/>
    </i>
    <i>
      <x v="26"/>
    </i>
    <i>
      <x v="33"/>
    </i>
    <i>
      <x v="34"/>
    </i>
    <i>
      <x v="38"/>
    </i>
    <i>
      <x v="40"/>
    </i>
    <i>
      <x v="71"/>
    </i>
    <i>
      <x v="121"/>
    </i>
    <i>
      <x v="136"/>
    </i>
    <i>
      <x v="145"/>
    </i>
    <i>
      <x v="153"/>
    </i>
    <i>
      <x v="174"/>
    </i>
    <i t="grand">
      <x/>
    </i>
  </rowItems>
  <colFields count="2">
    <field x="4"/>
    <field x="-2"/>
  </colFields>
  <colItems count="3">
    <i>
      <x v="2"/>
      <x/>
    </i>
    <i r="1" i="1">
      <x v="1"/>
    </i>
    <i r="1" i="2">
      <x v="2"/>
    </i>
  </colItems>
  <dataFields count="3">
    <dataField name="Sum" fld="3" baseField="0" baseItem="0"/>
    <dataField name="Count" fld="3" subtotal="count" baseField="8" baseItem="0"/>
    <dataField name="Percentage of Sum" fld="3" showDataAs="percentOfTotal" baseField="8" baseItem="0" numFmtId="10"/>
  </dataFields>
  <chartFormats count="24">
    <chartFormat chart="0" format="0" series="1">
      <pivotArea type="data" outline="0" fieldPosition="0">
        <references count="2">
          <reference field="4294967294" count="1" selected="0">
            <x v="0"/>
          </reference>
          <reference field="4" count="1" selected="0">
            <x v="2"/>
          </reference>
        </references>
      </pivotArea>
    </chartFormat>
    <chartFormat chart="0" format="1" series="1">
      <pivotArea type="data" outline="0" fieldPosition="0">
        <references count="2">
          <reference field="4294967294" count="1" selected="0">
            <x v="1"/>
          </reference>
          <reference field="4" count="1" selected="0">
            <x v="2"/>
          </reference>
        </references>
      </pivotArea>
    </chartFormat>
    <chartFormat chart="1" format="0" series="1">
      <pivotArea type="data" outline="0" fieldPosition="0">
        <references count="2">
          <reference field="4294967294" count="1" selected="0">
            <x v="0"/>
          </reference>
          <reference field="4" count="1" selected="0">
            <x v="2"/>
          </reference>
        </references>
      </pivotArea>
    </chartFormat>
    <chartFormat chart="1" format="1" series="1">
      <pivotArea type="data" outline="0" fieldPosition="0">
        <references count="2">
          <reference field="4294967294" count="1" selected="0">
            <x v="1"/>
          </reference>
          <reference field="4" count="1" selected="0">
            <x v="2"/>
          </reference>
        </references>
      </pivotArea>
    </chartFormat>
    <chartFormat chart="2" format="0" series="1">
      <pivotArea type="data" outline="0" fieldPosition="0">
        <references count="2">
          <reference field="4294967294" count="1" selected="0">
            <x v="0"/>
          </reference>
          <reference field="4" count="1" selected="0">
            <x v="2"/>
          </reference>
        </references>
      </pivotArea>
    </chartFormat>
    <chartFormat chart="2" format="1" series="1">
      <pivotArea type="data" outline="0" fieldPosition="0">
        <references count="2">
          <reference field="4294967294" count="1" selected="0">
            <x v="1"/>
          </reference>
          <reference field="4" count="1" selected="0">
            <x v="2"/>
          </reference>
        </references>
      </pivotArea>
    </chartFormat>
    <chartFormat chart="3" format="0" series="1">
      <pivotArea type="data" outline="0" fieldPosition="0">
        <references count="2">
          <reference field="4294967294" count="1" selected="0">
            <x v="0"/>
          </reference>
          <reference field="4" count="1" selected="0">
            <x v="2"/>
          </reference>
        </references>
      </pivotArea>
    </chartFormat>
    <chartFormat chart="3" format="1" series="1">
      <pivotArea type="data" outline="0" fieldPosition="0">
        <references count="2">
          <reference field="4294967294" count="1" selected="0">
            <x v="1"/>
          </reference>
          <reference field="4" count="1" selected="0">
            <x v="2"/>
          </reference>
        </references>
      </pivotArea>
    </chartFormat>
    <chartFormat chart="4" format="0" series="1">
      <pivotArea type="data" outline="0" fieldPosition="0">
        <references count="2">
          <reference field="4294967294" count="1" selected="0">
            <x v="0"/>
          </reference>
          <reference field="4" count="1" selected="0">
            <x v="2"/>
          </reference>
        </references>
      </pivotArea>
    </chartFormat>
    <chartFormat chart="4" format="1" series="1">
      <pivotArea type="data" outline="0" fieldPosition="0">
        <references count="2">
          <reference field="4294967294" count="1" selected="0">
            <x v="1"/>
          </reference>
          <reference field="4" count="1" selected="0">
            <x v="2"/>
          </reference>
        </references>
      </pivotArea>
    </chartFormat>
    <chartFormat chart="5" format="0" series="1">
      <pivotArea type="data" outline="0" fieldPosition="0">
        <references count="2">
          <reference field="4294967294" count="1" selected="0">
            <x v="0"/>
          </reference>
          <reference field="4" count="1" selected="0">
            <x v="2"/>
          </reference>
        </references>
      </pivotArea>
    </chartFormat>
    <chartFormat chart="5" format="1" series="1">
      <pivotArea type="data" outline="0" fieldPosition="0">
        <references count="2">
          <reference field="4294967294" count="1" selected="0">
            <x v="1"/>
          </reference>
          <reference field="4" count="1" selected="0">
            <x v="2"/>
          </reference>
        </references>
      </pivotArea>
    </chartFormat>
    <chartFormat chart="6" format="0" series="1">
      <pivotArea type="data" outline="0" fieldPosition="0">
        <references count="2">
          <reference field="4294967294" count="1" selected="0">
            <x v="0"/>
          </reference>
          <reference field="4" count="1" selected="0">
            <x v="2"/>
          </reference>
        </references>
      </pivotArea>
    </chartFormat>
    <chartFormat chart="6" format="1" series="1">
      <pivotArea type="data" outline="0" fieldPosition="0">
        <references count="2">
          <reference field="4294967294" count="1" selected="0">
            <x v="1"/>
          </reference>
          <reference field="4" count="1" selected="0">
            <x v="2"/>
          </reference>
        </references>
      </pivotArea>
    </chartFormat>
    <chartFormat chart="7" format="0" series="1">
      <pivotArea type="data" outline="0" fieldPosition="0">
        <references count="2">
          <reference field="4294967294" count="1" selected="0">
            <x v="0"/>
          </reference>
          <reference field="4" count="1" selected="0">
            <x v="2"/>
          </reference>
        </references>
      </pivotArea>
    </chartFormat>
    <chartFormat chart="7" format="1" series="1">
      <pivotArea type="data" outline="0" fieldPosition="0">
        <references count="2">
          <reference field="4294967294" count="1" selected="0">
            <x v="1"/>
          </reference>
          <reference field="4" count="1" selected="0">
            <x v="2"/>
          </reference>
        </references>
      </pivotArea>
    </chartFormat>
    <chartFormat chart="8" format="0" series="1">
      <pivotArea type="data" outline="0" fieldPosition="0">
        <references count="2">
          <reference field="4294967294" count="1" selected="0">
            <x v="0"/>
          </reference>
          <reference field="4" count="1" selected="0">
            <x v="2"/>
          </reference>
        </references>
      </pivotArea>
    </chartFormat>
    <chartFormat chart="8" format="1" series="1">
      <pivotArea type="data" outline="0" fieldPosition="0">
        <references count="2">
          <reference field="4294967294" count="1" selected="0">
            <x v="1"/>
          </reference>
          <reference field="4" count="1" selected="0">
            <x v="2"/>
          </reference>
        </references>
      </pivotArea>
    </chartFormat>
    <chartFormat chart="9" format="0" series="1">
      <pivotArea type="data" outline="0" fieldPosition="0">
        <references count="2">
          <reference field="4294967294" count="1" selected="0">
            <x v="0"/>
          </reference>
          <reference field="4" count="1" selected="0">
            <x v="2"/>
          </reference>
        </references>
      </pivotArea>
    </chartFormat>
    <chartFormat chart="9" format="1" series="1">
      <pivotArea type="data" outline="0" fieldPosition="0">
        <references count="2">
          <reference field="4294967294" count="1" selected="0">
            <x v="1"/>
          </reference>
          <reference field="4" count="1" selected="0">
            <x v="2"/>
          </reference>
        </references>
      </pivotArea>
    </chartFormat>
    <chartFormat chart="10" format="0" series="1">
      <pivotArea type="data" outline="0" fieldPosition="0">
        <references count="2">
          <reference field="4294967294" count="1" selected="0">
            <x v="0"/>
          </reference>
          <reference field="4" count="1" selected="0">
            <x v="2"/>
          </reference>
        </references>
      </pivotArea>
    </chartFormat>
    <chartFormat chart="10" format="1" series="1">
      <pivotArea type="data" outline="0" fieldPosition="0">
        <references count="2">
          <reference field="4294967294" count="1" selected="0">
            <x v="1"/>
          </reference>
          <reference field="4" count="1" selected="0">
            <x v="2"/>
          </reference>
        </references>
      </pivotArea>
    </chartFormat>
    <chartFormat chart="11" format="0" series="1">
      <pivotArea type="data" outline="0" fieldPosition="0">
        <references count="2">
          <reference field="4294967294" count="1" selected="0">
            <x v="0"/>
          </reference>
          <reference field="4" count="1" selected="0">
            <x v="2"/>
          </reference>
        </references>
      </pivotArea>
    </chartFormat>
    <chartFormat chart="11" format="1" series="1">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68558C-3AC0-4E49-B105-E50122410680}"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L93:O106" firstHeaderRow="1" firstDataRow="3"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Col" showAll="0">
      <items count="5">
        <item h="1" x="2"/>
        <item h="1" x="3"/>
        <item x="0"/>
        <item h="1" x="1"/>
        <item t="default"/>
      </items>
    </pivotField>
    <pivotField showAll="0"/>
    <pivotField axis="axisRow" showAll="0">
      <items count="13">
        <item h="1" x="4"/>
        <item h="1" x="5"/>
        <item h="1" x="6"/>
        <item h="1" x="7"/>
        <item h="1" x="8"/>
        <item h="1" x="9"/>
        <item h="1" x="10"/>
        <item h="1" x="11"/>
        <item h="1" x="0"/>
        <item h="1" x="1"/>
        <item x="2"/>
        <item h="1" x="3"/>
        <item t="default"/>
      </items>
    </pivotField>
    <pivotField axis="axisRow" showAll="0">
      <items count="4">
        <item x="0"/>
        <item x="1"/>
        <item x="2"/>
        <item t="default"/>
      </items>
    </pivotField>
    <pivotField axis="axisRow" showAll="0">
      <items count="178">
        <item x="136"/>
        <item x="155"/>
        <item x="100"/>
        <item x="30"/>
        <item x="75"/>
        <item x="148"/>
        <item x="158"/>
        <item x="156"/>
        <item x="126"/>
        <item x="66"/>
        <item x="4"/>
        <item x="149"/>
        <item x="76"/>
        <item x="1"/>
        <item x="77"/>
        <item x="164"/>
        <item x="165"/>
        <item x="34"/>
        <item x="142"/>
        <item x="17"/>
        <item x="170"/>
        <item x="23"/>
        <item x="59"/>
        <item x="60"/>
        <item x="114"/>
        <item x="130"/>
        <item x="91"/>
        <item x="67"/>
        <item x="110"/>
        <item x="154"/>
        <item x="84"/>
        <item x="134"/>
        <item x="141"/>
        <item x="118"/>
        <item x="147"/>
        <item x="106"/>
        <item x="12"/>
        <item x="18"/>
        <item x="123"/>
        <item x="27"/>
        <item x="85"/>
        <item x="62"/>
        <item x="96"/>
        <item x="115"/>
        <item x="145"/>
        <item x="47"/>
        <item x="116"/>
        <item x="73"/>
        <item x="74"/>
        <item x="24"/>
        <item x="104"/>
        <item x="109"/>
        <item x="173"/>
        <item x="31"/>
        <item x="45"/>
        <item x="92"/>
        <item x="102"/>
        <item x="125"/>
        <item x="105"/>
        <item x="3"/>
        <item x="8"/>
        <item x="101"/>
        <item x="21"/>
        <item x="168"/>
        <item x="83"/>
        <item x="112"/>
        <item x="49"/>
        <item x="36"/>
        <item x="166"/>
        <item x="140"/>
        <item x="68"/>
        <item x="19"/>
        <item x="9"/>
        <item x="80"/>
        <item x="135"/>
        <item x="58"/>
        <item x="97"/>
        <item x="22"/>
        <item x="79"/>
        <item x="55"/>
        <item x="161"/>
        <item x="111"/>
        <item x="169"/>
        <item x="54"/>
        <item x="33"/>
        <item x="138"/>
        <item x="89"/>
        <item x="117"/>
        <item x="38"/>
        <item x="16"/>
        <item x="99"/>
        <item x="122"/>
        <item x="139"/>
        <item x="93"/>
        <item x="52"/>
        <item x="103"/>
        <item x="151"/>
        <item x="124"/>
        <item x="15"/>
        <item x="90"/>
        <item x="7"/>
        <item x="172"/>
        <item x="29"/>
        <item x="72"/>
        <item x="131"/>
        <item x="10"/>
        <item x="53"/>
        <item x="176"/>
        <item x="86"/>
        <item x="26"/>
        <item x="25"/>
        <item x="163"/>
        <item x="107"/>
        <item x="42"/>
        <item x="159"/>
        <item x="81"/>
        <item x="64"/>
        <item x="6"/>
        <item x="174"/>
        <item x="69"/>
        <item x="171"/>
        <item x="127"/>
        <item x="51"/>
        <item x="157"/>
        <item x="175"/>
        <item x="70"/>
        <item x="120"/>
        <item x="121"/>
        <item x="108"/>
        <item x="150"/>
        <item x="153"/>
        <item x="48"/>
        <item x="162"/>
        <item x="78"/>
        <item x="143"/>
        <item x="82"/>
        <item x="0"/>
        <item x="133"/>
        <item x="137"/>
        <item x="56"/>
        <item x="98"/>
        <item x="160"/>
        <item x="65"/>
        <item x="57"/>
        <item x="11"/>
        <item x="46"/>
        <item x="35"/>
        <item x="28"/>
        <item x="2"/>
        <item x="41"/>
        <item x="144"/>
        <item x="14"/>
        <item x="128"/>
        <item x="5"/>
        <item x="63"/>
        <item x="13"/>
        <item x="37"/>
        <item x="132"/>
        <item x="88"/>
        <item x="87"/>
        <item x="167"/>
        <item x="71"/>
        <item x="50"/>
        <item x="43"/>
        <item x="61"/>
        <item x="44"/>
        <item x="113"/>
        <item x="40"/>
        <item x="32"/>
        <item x="94"/>
        <item x="95"/>
        <item x="39"/>
        <item x="152"/>
        <item x="119"/>
        <item x="146"/>
        <item x="20"/>
        <item x="129"/>
        <item t="default"/>
      </items>
    </pivotField>
    <pivotField showAll="0" defaultSubtotal="0"/>
    <pivotField showAll="0" defaultSubtotal="0"/>
    <pivotField showAll="0" defaultSubtotal="0">
      <items count="5">
        <item x="0"/>
        <item x="1"/>
        <item x="2"/>
        <item x="3"/>
        <item x="4"/>
      </items>
    </pivotField>
  </pivotFields>
  <rowFields count="3">
    <field x="7"/>
    <field x="6"/>
    <field x="8"/>
  </rowFields>
  <rowItems count="11">
    <i>
      <x/>
    </i>
    <i r="1">
      <x v="10"/>
    </i>
    <i r="2">
      <x v="71"/>
    </i>
    <i r="2">
      <x v="136"/>
    </i>
    <i r="2">
      <x v="153"/>
    </i>
    <i>
      <x v="1"/>
    </i>
    <i r="1">
      <x v="10"/>
    </i>
    <i r="2">
      <x v="34"/>
    </i>
    <i r="2">
      <x v="136"/>
    </i>
    <i r="2">
      <x v="174"/>
    </i>
    <i t="grand">
      <x/>
    </i>
  </rowItems>
  <colFields count="2">
    <field x="4"/>
    <field x="-2"/>
  </colFields>
  <colItems count="3">
    <i>
      <x v="2"/>
      <x/>
    </i>
    <i r="1" i="1">
      <x v="1"/>
    </i>
    <i r="1" i="2">
      <x v="2"/>
    </i>
  </colItems>
  <dataFields count="3">
    <dataField name="Sum of amount" fld="3" baseField="0" baseItem="0"/>
    <dataField name="Count of amount" fld="3" subtotal="count" baseField="7" baseItem="0"/>
    <dataField name="Average of amount" fld="3"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8582F6-65A5-4908-904C-19F49BA990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6:G394" firstHeaderRow="1" firstDataRow="4" firstDataCol="1"/>
  <pivotFields count="12">
    <pivotField showAll="0" defaultSubtotal="0"/>
    <pivotField numFmtId="14" showAll="0" defaultSubtotal="0">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s>
    </pivotField>
    <pivotField showAll="0" defaultSubtotal="0"/>
    <pivotField dataField="1" showAll="0" defaultSubtotal="0"/>
    <pivotField axis="axisCol" showAll="0" defaultSubtotal="0">
      <items count="4">
        <item h="1" x="2"/>
        <item x="3"/>
        <item h="1" x="0"/>
        <item h="1" x="1"/>
      </items>
    </pivotField>
    <pivotField axis="axisCol" showAll="0" defaultSubtotal="0">
      <items count="3">
        <item h="1" x="0"/>
        <item x="2"/>
        <item x="1"/>
      </items>
    </pivotField>
    <pivotField showAll="0" defaultSubtotal="0"/>
    <pivotField showAll="0" defaultSubtotal="0"/>
    <pivotField axis="axisRow" showAll="0" sortType="descending" defaultSubtotal="0">
      <items count="177">
        <item x="136"/>
        <item x="155"/>
        <item x="100"/>
        <item x="30"/>
        <item x="75"/>
        <item x="148"/>
        <item x="158"/>
        <item x="156"/>
        <item x="126"/>
        <item x="66"/>
        <item x="4"/>
        <item x="149"/>
        <item x="76"/>
        <item x="1"/>
        <item x="77"/>
        <item x="164"/>
        <item x="165"/>
        <item x="34"/>
        <item x="142"/>
        <item x="17"/>
        <item x="170"/>
        <item x="23"/>
        <item x="59"/>
        <item x="60"/>
        <item x="114"/>
        <item x="130"/>
        <item x="91"/>
        <item x="67"/>
        <item x="110"/>
        <item x="154"/>
        <item x="84"/>
        <item x="134"/>
        <item x="141"/>
        <item x="118"/>
        <item x="147"/>
        <item x="106"/>
        <item x="12"/>
        <item x="18"/>
        <item x="123"/>
        <item x="27"/>
        <item x="85"/>
        <item x="62"/>
        <item x="96"/>
        <item x="115"/>
        <item x="145"/>
        <item x="47"/>
        <item x="116"/>
        <item x="73"/>
        <item x="74"/>
        <item x="24"/>
        <item x="104"/>
        <item x="109"/>
        <item x="173"/>
        <item x="31"/>
        <item x="45"/>
        <item x="92"/>
        <item x="102"/>
        <item x="125"/>
        <item x="105"/>
        <item x="3"/>
        <item x="8"/>
        <item x="101"/>
        <item x="21"/>
        <item x="168"/>
        <item x="83"/>
        <item x="112"/>
        <item x="49"/>
        <item x="36"/>
        <item x="166"/>
        <item x="140"/>
        <item x="68"/>
        <item x="19"/>
        <item x="9"/>
        <item x="80"/>
        <item x="135"/>
        <item x="58"/>
        <item x="97"/>
        <item x="22"/>
        <item x="79"/>
        <item x="55"/>
        <item x="161"/>
        <item x="111"/>
        <item x="169"/>
        <item x="54"/>
        <item x="33"/>
        <item x="138"/>
        <item x="89"/>
        <item x="117"/>
        <item x="38"/>
        <item x="16"/>
        <item x="99"/>
        <item x="122"/>
        <item x="139"/>
        <item x="93"/>
        <item x="52"/>
        <item x="103"/>
        <item x="151"/>
        <item x="124"/>
        <item x="15"/>
        <item x="90"/>
        <item x="7"/>
        <item x="172"/>
        <item x="29"/>
        <item x="72"/>
        <item x="131"/>
        <item x="10"/>
        <item x="53"/>
        <item x="176"/>
        <item x="86"/>
        <item x="26"/>
        <item x="25"/>
        <item x="163"/>
        <item x="107"/>
        <item x="42"/>
        <item x="159"/>
        <item x="81"/>
        <item x="64"/>
        <item x="6"/>
        <item x="174"/>
        <item x="69"/>
        <item x="171"/>
        <item x="127"/>
        <item x="51"/>
        <item x="157"/>
        <item x="175"/>
        <item x="70"/>
        <item x="120"/>
        <item x="121"/>
        <item x="108"/>
        <item x="150"/>
        <item x="153"/>
        <item x="48"/>
        <item x="162"/>
        <item x="78"/>
        <item x="143"/>
        <item x="82"/>
        <item x="0"/>
        <item x="133"/>
        <item x="137"/>
        <item x="56"/>
        <item x="98"/>
        <item x="160"/>
        <item x="65"/>
        <item x="57"/>
        <item x="11"/>
        <item x="46"/>
        <item x="35"/>
        <item x="28"/>
        <item x="2"/>
        <item x="41"/>
        <item x="144"/>
        <item x="14"/>
        <item x="128"/>
        <item x="5"/>
        <item x="63"/>
        <item x="13"/>
        <item x="37"/>
        <item x="132"/>
        <item x="88"/>
        <item x="87"/>
        <item x="167"/>
        <item x="71"/>
        <item x="50"/>
        <item x="43"/>
        <item x="61"/>
        <item x="44"/>
        <item x="113"/>
        <item x="40"/>
        <item x="32"/>
        <item x="94"/>
        <item x="95"/>
        <item x="39"/>
        <item x="152"/>
        <item x="119"/>
        <item x="146"/>
        <item x="20"/>
        <item x="129"/>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5">
        <item x="0"/>
        <item x="1"/>
        <item x="2"/>
        <item x="3"/>
        <item x="4"/>
      </items>
    </pivotField>
  </pivotFields>
  <rowFields count="1">
    <field x="8"/>
  </rowFields>
  <rowItems count="155">
    <i>
      <x v="10"/>
    </i>
    <i>
      <x v="59"/>
    </i>
    <i>
      <x v="85"/>
    </i>
    <i>
      <x v="49"/>
    </i>
    <i>
      <x v="140"/>
    </i>
    <i>
      <x v="133"/>
    </i>
    <i>
      <x v="110"/>
    </i>
    <i>
      <x v="151"/>
    </i>
    <i>
      <x v="101"/>
    </i>
    <i>
      <x v="168"/>
    </i>
    <i>
      <x v="65"/>
    </i>
    <i>
      <x v="167"/>
    </i>
    <i>
      <x v="77"/>
    </i>
    <i>
      <x v="17"/>
    </i>
    <i>
      <x v="3"/>
    </i>
    <i>
      <x v="66"/>
    </i>
    <i>
      <x v="75"/>
    </i>
    <i>
      <x v="146"/>
    </i>
    <i>
      <x v="144"/>
    </i>
    <i>
      <x v="83"/>
    </i>
    <i>
      <x v="58"/>
    </i>
    <i>
      <x v="158"/>
    </i>
    <i>
      <x v="81"/>
    </i>
    <i>
      <x v="23"/>
    </i>
    <i>
      <x v="62"/>
    </i>
    <i>
      <x v="109"/>
    </i>
    <i>
      <x v="143"/>
    </i>
    <i>
      <x v="94"/>
    </i>
    <i>
      <x v="149"/>
    </i>
    <i>
      <x v="139"/>
    </i>
    <i>
      <x v="84"/>
    </i>
    <i>
      <x v="162"/>
    </i>
    <i>
      <x v="27"/>
    </i>
    <i>
      <x v="175"/>
    </i>
    <i>
      <x v="82"/>
    </i>
    <i>
      <x v="51"/>
    </i>
    <i>
      <x v="128"/>
    </i>
    <i>
      <x v="111"/>
    </i>
    <i>
      <x v="7"/>
    </i>
    <i>
      <x v="76"/>
    </i>
    <i>
      <x v="159"/>
    </i>
    <i>
      <x v="86"/>
    </i>
    <i>
      <x v="8"/>
    </i>
    <i>
      <x v="72"/>
    </i>
    <i>
      <x v="22"/>
    </i>
    <i>
      <x v="160"/>
    </i>
    <i>
      <x v="48"/>
    </i>
    <i>
      <x v="116"/>
    </i>
    <i>
      <x v="132"/>
    </i>
    <i>
      <x v="20"/>
    </i>
    <i>
      <x v="57"/>
    </i>
    <i>
      <x v="164"/>
    </i>
    <i>
      <x v="166"/>
    </i>
    <i>
      <x v="91"/>
    </i>
    <i>
      <x v="2"/>
    </i>
    <i>
      <x v="45"/>
    </i>
    <i>
      <x v="67"/>
    </i>
    <i>
      <x v="28"/>
    </i>
    <i>
      <x v="46"/>
    </i>
    <i>
      <x v="152"/>
    </i>
    <i>
      <x v="127"/>
    </i>
    <i>
      <x v="108"/>
    </i>
    <i>
      <x v="74"/>
    </i>
    <i>
      <x v="18"/>
    </i>
    <i>
      <x v="79"/>
    </i>
    <i>
      <x v="21"/>
    </i>
    <i>
      <x v="106"/>
    </i>
    <i>
      <x v="99"/>
    </i>
    <i>
      <x v="163"/>
    </i>
    <i>
      <x v="172"/>
    </i>
    <i>
      <x v="93"/>
    </i>
    <i>
      <x v="5"/>
    </i>
    <i>
      <x v="97"/>
    </i>
    <i>
      <x v="161"/>
    </i>
    <i>
      <x v="157"/>
    </i>
    <i>
      <x v="19"/>
    </i>
    <i>
      <x v="173"/>
    </i>
    <i>
      <x v="16"/>
    </i>
    <i>
      <x v="68"/>
    </i>
    <i>
      <x v="95"/>
    </i>
    <i>
      <x v="122"/>
    </i>
    <i>
      <x v="70"/>
    </i>
    <i>
      <x v="120"/>
    </i>
    <i>
      <x v="129"/>
    </i>
    <i>
      <x v="98"/>
    </i>
    <i>
      <x v="142"/>
    </i>
    <i>
      <x v="6"/>
    </i>
    <i>
      <x v="103"/>
    </i>
    <i>
      <x v="73"/>
    </i>
    <i>
      <x v="96"/>
    </i>
    <i>
      <x v="134"/>
    </i>
    <i>
      <x v="80"/>
    </i>
    <i>
      <x v="114"/>
    </i>
    <i>
      <x v="141"/>
    </i>
    <i>
      <x v="47"/>
    </i>
    <i>
      <x v="100"/>
    </i>
    <i>
      <x v="130"/>
    </i>
    <i>
      <x v="29"/>
    </i>
    <i>
      <x v="24"/>
    </i>
    <i>
      <x v="52"/>
    </i>
    <i>
      <x v="117"/>
    </i>
    <i>
      <x v="137"/>
    </i>
    <i>
      <x v="14"/>
    </i>
    <i>
      <x v="123"/>
    </i>
    <i>
      <x v="113"/>
    </i>
    <i>
      <x v="125"/>
    </i>
    <i>
      <x v="4"/>
    </i>
    <i>
      <x v="50"/>
    </i>
    <i>
      <x v="63"/>
    </i>
    <i>
      <x v="31"/>
    </i>
    <i>
      <x v="41"/>
    </i>
    <i>
      <x v="69"/>
    </i>
    <i>
      <x v="90"/>
    </i>
    <i>
      <x v="15"/>
    </i>
    <i>
      <x v="78"/>
    </i>
    <i>
      <x v="37"/>
    </i>
    <i>
      <x v="88"/>
    </i>
    <i>
      <x v="135"/>
    </i>
    <i>
      <x v="118"/>
    </i>
    <i>
      <x v="53"/>
    </i>
    <i>
      <x v="30"/>
    </i>
    <i>
      <x v="154"/>
    </i>
    <i>
      <x v="138"/>
    </i>
    <i>
      <x v="165"/>
    </i>
    <i>
      <x v="115"/>
    </i>
    <i>
      <x v="55"/>
    </i>
    <i>
      <x v="112"/>
    </i>
    <i>
      <x v="36"/>
    </i>
    <i>
      <x v="64"/>
    </i>
    <i>
      <x v="44"/>
    </i>
    <i>
      <x v="147"/>
    </i>
    <i>
      <x v="156"/>
    </i>
    <i>
      <x v="104"/>
    </i>
    <i>
      <x v="92"/>
    </i>
    <i>
      <x v="35"/>
    </i>
    <i>
      <x v="171"/>
    </i>
    <i>
      <x v="43"/>
    </i>
    <i>
      <x v="126"/>
    </i>
    <i>
      <x v="119"/>
    </i>
    <i>
      <x v="25"/>
    </i>
    <i>
      <x v="39"/>
    </i>
    <i>
      <x v="131"/>
    </i>
    <i>
      <x v="150"/>
    </i>
    <i>
      <x v="105"/>
    </i>
    <i>
      <x v="32"/>
    </i>
    <i>
      <x v="107"/>
    </i>
    <i>
      <x v="124"/>
    </i>
    <i>
      <x v="176"/>
    </i>
    <i>
      <x v="87"/>
    </i>
    <i>
      <x v="102"/>
    </i>
    <i>
      <x v="11"/>
    </i>
    <i>
      <x v="155"/>
    </i>
    <i>
      <x v="89"/>
    </i>
    <i>
      <x v="54"/>
    </i>
    <i t="grand">
      <x/>
    </i>
  </rowItems>
  <colFields count="3">
    <field x="4"/>
    <field x="5"/>
    <field x="-2"/>
  </colFields>
  <colItems count="6">
    <i>
      <x v="1"/>
      <x v="1"/>
      <x/>
    </i>
    <i r="2" i="1">
      <x v="1"/>
    </i>
    <i r="1">
      <x v="2"/>
      <x/>
    </i>
    <i r="2" i="1">
      <x v="1"/>
    </i>
    <i t="grand">
      <x/>
    </i>
    <i t="grand" i="1">
      <x/>
    </i>
  </colItems>
  <dataFields count="2">
    <dataField name="Sum of amount" fld="3" baseField="0" baseItem="0"/>
    <dataField name="Count of amount2" fld="3" subtotal="count" baseField="8" baseItem="2"/>
  </dataFields>
  <conditionalFormats count="1">
    <conditionalFormat priority="19">
      <pivotAreas count="1">
        <pivotArea type="data" collapsedLevelsAreSubtotals="1" fieldPosition="0">
          <references count="2">
            <reference field="4294967294" count="1" selected="0">
              <x v="0"/>
            </reference>
            <reference field="8" count="156">
              <x v="2"/>
              <x v="3"/>
              <x v="4"/>
              <x v="5"/>
              <x v="6"/>
              <x v="7"/>
              <x v="8"/>
              <x v="9"/>
              <x v="10"/>
              <x v="11"/>
              <x v="14"/>
              <x v="15"/>
              <x v="16"/>
              <x v="17"/>
              <x v="18"/>
              <x v="19"/>
              <x v="20"/>
              <x v="21"/>
              <x v="22"/>
              <x v="23"/>
              <x v="24"/>
              <x v="25"/>
              <x v="27"/>
              <x v="28"/>
              <x v="29"/>
              <x v="30"/>
              <x v="31"/>
              <x v="32"/>
              <x v="35"/>
              <x v="36"/>
              <x v="37"/>
              <x v="39"/>
              <x v="41"/>
              <x v="43"/>
              <x v="44"/>
              <x v="45"/>
              <x v="46"/>
              <x v="47"/>
              <x v="48"/>
              <x v="49"/>
              <x v="50"/>
              <x v="51"/>
              <x v="52"/>
              <x v="53"/>
              <x v="54"/>
              <x v="55"/>
              <x v="57"/>
              <x v="58"/>
              <x v="59"/>
              <x v="62"/>
              <x v="63"/>
              <x v="64"/>
              <x v="65"/>
              <x v="66"/>
              <x v="67"/>
              <x v="68"/>
              <x v="69"/>
              <x v="70"/>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2"/>
              <x v="123"/>
              <x v="124"/>
              <x v="125"/>
              <x v="126"/>
              <x v="127"/>
              <x v="128"/>
              <x v="129"/>
              <x v="130"/>
              <x v="131"/>
              <x v="132"/>
              <x v="133"/>
              <x v="134"/>
              <x v="135"/>
              <x v="137"/>
              <x v="138"/>
              <x v="139"/>
              <x v="140"/>
              <x v="141"/>
              <x v="142"/>
              <x v="143"/>
              <x v="144"/>
              <x v="146"/>
              <x v="147"/>
              <x v="149"/>
              <x v="150"/>
              <x v="151"/>
              <x v="152"/>
              <x v="154"/>
              <x v="155"/>
              <x v="156"/>
              <x v="157"/>
              <x v="158"/>
              <x v="159"/>
              <x v="160"/>
              <x v="161"/>
              <x v="162"/>
              <x v="163"/>
              <x v="164"/>
              <x v="165"/>
              <x v="166"/>
              <x v="167"/>
              <x v="168"/>
              <x v="170"/>
              <x v="171"/>
              <x v="172"/>
              <x v="173"/>
              <x v="175"/>
              <x v="17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3C989A-2A1F-4962-B585-772822FF48B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3:D132" firstHeaderRow="0" firstDataRow="1" firstDataCol="1"/>
  <pivotFields count="5">
    <pivotField showAll="0"/>
    <pivotField dataField="1" showAll="0"/>
    <pivotField dataField="1" numFmtId="10" showAll="0"/>
    <pivotField dataField="1" showAll="0"/>
    <pivotField axis="axisRow" showAll="0" sortType="descending">
      <items count="9">
        <item x="0"/>
        <item x="4"/>
        <item x="7"/>
        <item x="5"/>
        <item x="1"/>
        <item x="2"/>
        <item x="6"/>
        <item x="3"/>
        <item t="default"/>
      </items>
      <autoSortScope>
        <pivotArea dataOnly="0" outline="0" fieldPosition="0">
          <references count="1">
            <reference field="4294967294" count="1" selected="0">
              <x v="0"/>
            </reference>
          </references>
        </pivotArea>
      </autoSortScope>
    </pivotField>
  </pivotFields>
  <rowFields count="1">
    <field x="4"/>
  </rowFields>
  <rowItems count="9">
    <i>
      <x v="4"/>
    </i>
    <i>
      <x/>
    </i>
    <i>
      <x v="1"/>
    </i>
    <i>
      <x v="2"/>
    </i>
    <i>
      <x v="5"/>
    </i>
    <i>
      <x v="3"/>
    </i>
    <i>
      <x v="7"/>
    </i>
    <i>
      <x v="6"/>
    </i>
    <i t="grand">
      <x/>
    </i>
  </rowItems>
  <colFields count="1">
    <field x="-2"/>
  </colFields>
  <colItems count="3">
    <i>
      <x/>
    </i>
    <i i="1">
      <x v="1"/>
    </i>
    <i i="2">
      <x v="2"/>
    </i>
  </colItems>
  <dataFields count="3">
    <dataField name="Sum of expenses" fld="1" baseField="0" baseItem="0"/>
    <dataField name="Sum of expense_prcnt" fld="2" baseField="0" baseItem="0"/>
    <dataField name="Sum of count" fld="3" baseField="0" baseItem="0"/>
  </dataFields>
  <conditionalFormats count="2">
    <conditionalFormat priority="31">
      <pivotAreas count="1">
        <pivotArea type="data" collapsedLevelsAreSubtotals="1" fieldPosition="0">
          <references count="2">
            <reference field="4294967294" count="1" selected="0">
              <x v="2"/>
            </reference>
            <reference field="4" count="8">
              <x v="0"/>
              <x v="1"/>
              <x v="2"/>
              <x v="3"/>
              <x v="4"/>
              <x v="5"/>
              <x v="6"/>
              <x v="7"/>
            </reference>
          </references>
        </pivotArea>
      </pivotAreas>
    </conditionalFormat>
    <conditionalFormat priority="32">
      <pivotAreas count="1">
        <pivotArea type="data" collapsedLevelsAreSubtotals="1" fieldPosition="0">
          <references count="2">
            <reference field="4294967294" count="1" selected="0">
              <x v="0"/>
            </reference>
            <reference field="4" count="8">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D233893-5564-4AB3-94F2-EE4F674F123D}"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H573:I585" firstHeaderRow="1" firstDataRow="2"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Col" showAll="0">
      <items count="5">
        <item h="1" x="2"/>
        <item h="1" x="3"/>
        <item x="0"/>
        <item h="1" x="1"/>
        <item t="default"/>
      </items>
    </pivotField>
    <pivotField showAll="0"/>
    <pivotField axis="axisRow" showAll="0">
      <items count="13">
        <item h="1" x="4"/>
        <item h="1" x="5"/>
        <item h="1" x="6"/>
        <item h="1" x="7"/>
        <item h="1" x="8"/>
        <item h="1" x="9"/>
        <item h="1" x="10"/>
        <item h="1" x="11"/>
        <item h="1" x="0"/>
        <item h="1" x="1"/>
        <item x="2"/>
        <item h="1" x="3"/>
        <item t="default"/>
      </items>
    </pivotField>
    <pivotField axis="axisRow" showAll="0">
      <items count="4">
        <item x="0"/>
        <item x="1"/>
        <item x="2"/>
        <item t="default"/>
      </items>
    </pivotField>
    <pivotField axis="axisRow" showAll="0">
      <items count="178">
        <item x="136"/>
        <item x="155"/>
        <item x="100"/>
        <item x="30"/>
        <item x="75"/>
        <item x="148"/>
        <item x="158"/>
        <item x="156"/>
        <item x="126"/>
        <item x="66"/>
        <item x="4"/>
        <item x="149"/>
        <item x="76"/>
        <item x="1"/>
        <item x="77"/>
        <item x="164"/>
        <item x="165"/>
        <item x="34"/>
        <item x="142"/>
        <item x="17"/>
        <item x="170"/>
        <item x="23"/>
        <item x="59"/>
        <item x="60"/>
        <item x="114"/>
        <item x="130"/>
        <item x="91"/>
        <item x="67"/>
        <item x="110"/>
        <item x="154"/>
        <item x="84"/>
        <item x="134"/>
        <item x="141"/>
        <item x="118"/>
        <item x="147"/>
        <item x="106"/>
        <item x="12"/>
        <item x="18"/>
        <item x="123"/>
        <item x="27"/>
        <item x="85"/>
        <item x="62"/>
        <item x="96"/>
        <item x="115"/>
        <item x="145"/>
        <item x="47"/>
        <item x="116"/>
        <item x="73"/>
        <item x="74"/>
        <item x="24"/>
        <item x="104"/>
        <item x="109"/>
        <item x="173"/>
        <item x="31"/>
        <item x="45"/>
        <item x="92"/>
        <item x="102"/>
        <item x="125"/>
        <item x="105"/>
        <item x="3"/>
        <item x="8"/>
        <item x="101"/>
        <item x="21"/>
        <item x="168"/>
        <item x="83"/>
        <item x="112"/>
        <item x="49"/>
        <item x="36"/>
        <item x="166"/>
        <item x="140"/>
        <item x="68"/>
        <item x="19"/>
        <item x="9"/>
        <item x="80"/>
        <item x="135"/>
        <item x="58"/>
        <item x="97"/>
        <item x="22"/>
        <item x="79"/>
        <item x="55"/>
        <item x="161"/>
        <item x="111"/>
        <item x="169"/>
        <item x="54"/>
        <item x="33"/>
        <item x="138"/>
        <item x="89"/>
        <item x="117"/>
        <item x="38"/>
        <item x="16"/>
        <item x="99"/>
        <item x="122"/>
        <item x="139"/>
        <item x="93"/>
        <item x="52"/>
        <item x="103"/>
        <item x="151"/>
        <item x="124"/>
        <item x="15"/>
        <item x="90"/>
        <item x="7"/>
        <item x="172"/>
        <item x="29"/>
        <item x="72"/>
        <item x="131"/>
        <item x="10"/>
        <item x="53"/>
        <item x="176"/>
        <item x="86"/>
        <item x="26"/>
        <item x="25"/>
        <item x="163"/>
        <item x="107"/>
        <item x="42"/>
        <item x="159"/>
        <item x="81"/>
        <item x="64"/>
        <item x="6"/>
        <item x="174"/>
        <item x="69"/>
        <item x="171"/>
        <item x="127"/>
        <item x="51"/>
        <item x="157"/>
        <item x="175"/>
        <item x="70"/>
        <item x="120"/>
        <item x="121"/>
        <item x="108"/>
        <item x="150"/>
        <item x="153"/>
        <item x="48"/>
        <item x="162"/>
        <item x="78"/>
        <item x="143"/>
        <item x="82"/>
        <item x="0"/>
        <item x="133"/>
        <item x="137"/>
        <item x="56"/>
        <item x="98"/>
        <item x="160"/>
        <item x="65"/>
        <item x="57"/>
        <item x="11"/>
        <item x="46"/>
        <item x="35"/>
        <item x="28"/>
        <item x="2"/>
        <item x="41"/>
        <item x="144"/>
        <item x="14"/>
        <item x="128"/>
        <item x="5"/>
        <item x="63"/>
        <item x="13"/>
        <item x="37"/>
        <item x="132"/>
        <item x="88"/>
        <item x="87"/>
        <item x="167"/>
        <item x="71"/>
        <item x="50"/>
        <item x="43"/>
        <item x="61"/>
        <item x="44"/>
        <item x="113"/>
        <item x="40"/>
        <item x="32"/>
        <item x="94"/>
        <item x="95"/>
        <item x="39"/>
        <item x="152"/>
        <item x="119"/>
        <item x="146"/>
        <item x="20"/>
        <item x="129"/>
        <item t="default"/>
      </items>
    </pivotField>
    <pivotField showAll="0" defaultSubtotal="0"/>
    <pivotField showAll="0" defaultSubtotal="0"/>
    <pivotField showAll="0" defaultSubtotal="0">
      <items count="5">
        <item x="0"/>
        <item x="1"/>
        <item x="2"/>
        <item x="3"/>
        <item x="4"/>
      </items>
    </pivotField>
  </pivotFields>
  <rowFields count="3">
    <field x="7"/>
    <field x="6"/>
    <field x="8"/>
  </rowFields>
  <rowItems count="11">
    <i>
      <x/>
    </i>
    <i r="1">
      <x v="10"/>
    </i>
    <i r="2">
      <x v="71"/>
    </i>
    <i r="2">
      <x v="136"/>
    </i>
    <i r="2">
      <x v="153"/>
    </i>
    <i>
      <x v="1"/>
    </i>
    <i r="1">
      <x v="10"/>
    </i>
    <i r="2">
      <x v="34"/>
    </i>
    <i r="2">
      <x v="136"/>
    </i>
    <i r="2">
      <x v="174"/>
    </i>
    <i t="grand">
      <x/>
    </i>
  </rowItems>
  <colFields count="1">
    <field x="4"/>
  </colFields>
  <colItems count="1">
    <i>
      <x v="2"/>
    </i>
  </colItems>
  <dataFields count="1">
    <dataField name="Sum of amount" fld="3" baseField="0" baseItem="0"/>
  </dataFields>
  <conditionalFormats count="1">
    <conditionalFormat priority="25">
      <pivotAreas count="2">
        <pivotArea type="data" collapsedLevelsAreSubtotals="1" fieldPosition="0">
          <references count="4">
            <reference field="4294967294" count="1" selected="0">
              <x v="0"/>
            </reference>
            <reference field="6" count="1" selected="0">
              <x v="10"/>
            </reference>
            <reference field="7" count="1" selected="0">
              <x v="0"/>
            </reference>
            <reference field="8" count="3">
              <x v="71"/>
              <x v="136"/>
              <x v="153"/>
            </reference>
          </references>
        </pivotArea>
        <pivotArea type="data" collapsedLevelsAreSubtotals="1" fieldPosition="0">
          <references count="4">
            <reference field="4294967294" count="1" selected="0">
              <x v="0"/>
            </reference>
            <reference field="6" count="1" selected="0">
              <x v="10"/>
            </reference>
            <reference field="7" count="1" selected="0">
              <x v="1"/>
            </reference>
            <reference field="8" count="3">
              <x v="34"/>
              <x v="136"/>
              <x v="17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5DCDD9B-A0DD-454B-B7BD-E89FE680EAD1}"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435:N440" firstHeaderRow="0" firstDataRow="1" firstDataCol="1"/>
  <pivotFields count="1">
    <pivotField axis="axisRow" dataField="1" showAll="0">
      <items count="5">
        <item x="0"/>
        <item x="2"/>
        <item x="1"/>
        <item x="3"/>
        <item t="default"/>
      </items>
    </pivotField>
  </pivotFields>
  <rowFields count="1">
    <field x="0"/>
  </rowFields>
  <rowItems count="5">
    <i>
      <x/>
    </i>
    <i>
      <x v="1"/>
    </i>
    <i>
      <x v="2"/>
    </i>
    <i>
      <x v="3"/>
    </i>
    <i t="grand">
      <x/>
    </i>
  </rowItems>
  <colFields count="1">
    <field x="-2"/>
  </colFields>
  <colItems count="3">
    <i>
      <x/>
    </i>
    <i i="1">
      <x v="1"/>
    </i>
    <i i="2">
      <x v="2"/>
    </i>
  </colItems>
  <dataFields count="3">
    <dataField name="Count of amount" fld="0" subtotal="count" baseField="0" baseItem="1"/>
    <dataField name="Sum of amount" fld="0" baseField="0" baseItem="0"/>
    <dataField name="Sum of amount2" fld="0" showDataAs="percentOfTotal"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B04D39-6293-4574-A4E5-B9287369B3A5}"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
  <location ref="A72:D119" firstHeaderRow="1" firstDataRow="3"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Col" showAll="0">
      <items count="5">
        <item h="1" x="2"/>
        <item x="3"/>
        <item h="1" x="0"/>
        <item h="1" x="1"/>
        <item t="default"/>
      </items>
    </pivotField>
    <pivotField showAll="0"/>
    <pivotField axis="axisRow" showAll="0">
      <items count="13">
        <item h="1" x="4"/>
        <item h="1" x="5"/>
        <item h="1" x="6"/>
        <item h="1" x="7"/>
        <item h="1" x="8"/>
        <item h="1" x="9"/>
        <item h="1" x="10"/>
        <item h="1" x="11"/>
        <item h="1" x="0"/>
        <item h="1" x="1"/>
        <item h="1" x="2"/>
        <item x="3"/>
        <item t="default"/>
      </items>
    </pivotField>
    <pivotField axis="axisRow" showAll="0">
      <items count="4">
        <item x="0"/>
        <item h="1" x="1"/>
        <item h="1" x="2"/>
        <item t="default"/>
      </items>
    </pivotField>
    <pivotField axis="axisRow" showAll="0" sortType="descending">
      <items count="178">
        <item x="136"/>
        <item x="155"/>
        <item x="100"/>
        <item x="30"/>
        <item x="75"/>
        <item x="148"/>
        <item x="158"/>
        <item x="156"/>
        <item x="126"/>
        <item x="66"/>
        <item x="4"/>
        <item x="149"/>
        <item x="76"/>
        <item x="1"/>
        <item x="77"/>
        <item x="164"/>
        <item x="165"/>
        <item x="34"/>
        <item x="142"/>
        <item x="17"/>
        <item x="170"/>
        <item x="23"/>
        <item x="59"/>
        <item x="60"/>
        <item x="114"/>
        <item x="130"/>
        <item x="91"/>
        <item x="67"/>
        <item x="110"/>
        <item x="154"/>
        <item x="84"/>
        <item x="134"/>
        <item x="141"/>
        <item x="118"/>
        <item x="147"/>
        <item x="106"/>
        <item x="12"/>
        <item x="18"/>
        <item x="123"/>
        <item x="27"/>
        <item x="85"/>
        <item x="62"/>
        <item x="96"/>
        <item x="115"/>
        <item x="145"/>
        <item x="47"/>
        <item x="116"/>
        <item x="73"/>
        <item x="74"/>
        <item x="24"/>
        <item x="104"/>
        <item x="109"/>
        <item x="173"/>
        <item x="31"/>
        <item x="45"/>
        <item x="92"/>
        <item x="102"/>
        <item x="125"/>
        <item x="105"/>
        <item x="3"/>
        <item x="8"/>
        <item x="101"/>
        <item x="21"/>
        <item x="168"/>
        <item x="83"/>
        <item x="112"/>
        <item x="49"/>
        <item x="36"/>
        <item x="166"/>
        <item x="140"/>
        <item x="68"/>
        <item x="19"/>
        <item x="9"/>
        <item x="80"/>
        <item x="135"/>
        <item x="58"/>
        <item x="97"/>
        <item x="22"/>
        <item x="79"/>
        <item x="55"/>
        <item x="161"/>
        <item x="111"/>
        <item x="169"/>
        <item x="54"/>
        <item x="33"/>
        <item x="138"/>
        <item x="89"/>
        <item x="117"/>
        <item x="38"/>
        <item x="16"/>
        <item x="99"/>
        <item x="122"/>
        <item x="139"/>
        <item x="93"/>
        <item x="52"/>
        <item x="103"/>
        <item x="151"/>
        <item x="124"/>
        <item x="15"/>
        <item x="90"/>
        <item x="7"/>
        <item x="172"/>
        <item x="29"/>
        <item x="72"/>
        <item x="131"/>
        <item x="10"/>
        <item x="53"/>
        <item x="176"/>
        <item x="86"/>
        <item x="26"/>
        <item x="25"/>
        <item x="163"/>
        <item x="107"/>
        <item x="42"/>
        <item x="159"/>
        <item x="81"/>
        <item x="64"/>
        <item x="6"/>
        <item x="174"/>
        <item x="69"/>
        <item x="171"/>
        <item x="127"/>
        <item x="51"/>
        <item x="157"/>
        <item x="175"/>
        <item x="70"/>
        <item x="120"/>
        <item x="121"/>
        <item x="108"/>
        <item x="150"/>
        <item x="153"/>
        <item x="48"/>
        <item x="162"/>
        <item x="78"/>
        <item x="143"/>
        <item x="82"/>
        <item x="0"/>
        <item x="133"/>
        <item x="137"/>
        <item x="56"/>
        <item x="98"/>
        <item x="160"/>
        <item x="65"/>
        <item x="57"/>
        <item x="11"/>
        <item x="46"/>
        <item x="35"/>
        <item x="28"/>
        <item x="2"/>
        <item x="41"/>
        <item x="144"/>
        <item x="14"/>
        <item x="128"/>
        <item x="5"/>
        <item x="63"/>
        <item x="13"/>
        <item x="37"/>
        <item x="132"/>
        <item x="88"/>
        <item x="87"/>
        <item x="167"/>
        <item x="71"/>
        <item x="50"/>
        <item x="43"/>
        <item x="61"/>
        <item x="44"/>
        <item x="113"/>
        <item x="40"/>
        <item x="32"/>
        <item x="94"/>
        <item x="95"/>
        <item x="39"/>
        <item x="152"/>
        <item x="119"/>
        <item x="146"/>
        <item x="20"/>
        <item x="129"/>
        <item t="default"/>
      </items>
      <autoSortScope>
        <pivotArea dataOnly="0" outline="0" fieldPosition="0">
          <references count="2">
            <reference field="4294967294" count="1" selected="0">
              <x v="0"/>
            </reference>
            <reference field="4" count="1" selected="0">
              <x v="1"/>
            </reference>
          </references>
        </pivotArea>
      </autoSortScope>
    </pivotField>
    <pivotField showAll="0" defaultSubtotal="0"/>
    <pivotField showAll="0" defaultSubtotal="0"/>
    <pivotField showAll="0" defaultSubtotal="0">
      <items count="5">
        <item x="0"/>
        <item x="1"/>
        <item x="2"/>
        <item x="3"/>
        <item x="4"/>
      </items>
    </pivotField>
  </pivotFields>
  <rowFields count="3">
    <field x="7"/>
    <field x="6"/>
    <field x="8"/>
  </rowFields>
  <rowItems count="45">
    <i>
      <x/>
    </i>
    <i r="1">
      <x v="11"/>
    </i>
    <i r="2">
      <x v="10"/>
    </i>
    <i r="2">
      <x v="17"/>
    </i>
    <i r="2">
      <x v="66"/>
    </i>
    <i r="2">
      <x v="146"/>
    </i>
    <i r="2">
      <x v="83"/>
    </i>
    <i r="2">
      <x v="59"/>
    </i>
    <i r="2">
      <x v="49"/>
    </i>
    <i r="2">
      <x v="84"/>
    </i>
    <i r="2">
      <x v="94"/>
    </i>
    <i r="2">
      <x v="110"/>
    </i>
    <i r="2">
      <x v="149"/>
    </i>
    <i r="2">
      <x v="45"/>
    </i>
    <i r="2">
      <x v="67"/>
    </i>
    <i r="2">
      <x v="168"/>
    </i>
    <i r="2">
      <x v="3"/>
    </i>
    <i r="2">
      <x v="79"/>
    </i>
    <i r="2">
      <x v="162"/>
    </i>
    <i r="2">
      <x v="139"/>
    </i>
    <i r="2">
      <x v="167"/>
    </i>
    <i r="2">
      <x v="62"/>
    </i>
    <i r="2">
      <x v="77"/>
    </i>
    <i r="2">
      <x v="151"/>
    </i>
    <i r="2">
      <x v="144"/>
    </i>
    <i r="2">
      <x v="109"/>
    </i>
    <i r="2">
      <x v="143"/>
    </i>
    <i r="2">
      <x v="106"/>
    </i>
    <i r="2">
      <x v="175"/>
    </i>
    <i r="2">
      <x v="98"/>
    </i>
    <i r="2">
      <x v="122"/>
    </i>
    <i r="2">
      <x v="21"/>
    </i>
    <i r="2">
      <x v="88"/>
    </i>
    <i r="2">
      <x v="165"/>
    </i>
    <i r="2">
      <x v="163"/>
    </i>
    <i r="2">
      <x v="53"/>
    </i>
    <i r="2">
      <x v="147"/>
    </i>
    <i r="2">
      <x v="171"/>
    </i>
    <i r="2">
      <x v="39"/>
    </i>
    <i r="2">
      <x v="156"/>
    </i>
    <i r="2">
      <x v="131"/>
    </i>
    <i r="2">
      <x v="102"/>
    </i>
    <i r="2">
      <x v="54"/>
    </i>
    <i r="2">
      <x v="113"/>
    </i>
    <i t="grand">
      <x/>
    </i>
  </rowItems>
  <colFields count="2">
    <field x="4"/>
    <field x="-2"/>
  </colFields>
  <colItems count="3">
    <i>
      <x v="1"/>
      <x/>
    </i>
    <i r="1" i="1">
      <x v="1"/>
    </i>
    <i r="1" i="2">
      <x v="2"/>
    </i>
  </colItems>
  <dataFields count="3">
    <dataField name="Sum" fld="3" baseField="0" baseItem="0"/>
    <dataField name="Sum (%)" fld="3" showDataAs="percentOfCol" baseField="7" baseItem="1" numFmtId="10"/>
    <dataField name="Count" fld="3" subtotal="count" baseField="7" baseItem="1"/>
  </dataFields>
  <conditionalFormats count="4">
    <conditionalFormat priority="37">
      <pivotAreas count="1">
        <pivotArea type="data" collapsedLevelsAreSubtotals="1" fieldPosition="0">
          <references count="5">
            <reference field="4294967294" count="1" selected="0">
              <x v="2"/>
            </reference>
            <reference field="4" count="1" selected="0">
              <x v="1"/>
            </reference>
            <reference field="6" count="1" selected="0">
              <x v="11"/>
            </reference>
            <reference field="7" count="1" selected="0">
              <x v="0"/>
            </reference>
            <reference field="8" count="42">
              <x v="3"/>
              <x v="10"/>
              <x v="17"/>
              <x v="21"/>
              <x v="39"/>
              <x v="45"/>
              <x v="49"/>
              <x v="53"/>
              <x v="54"/>
              <x v="59"/>
              <x v="62"/>
              <x v="66"/>
              <x v="67"/>
              <x v="77"/>
              <x v="79"/>
              <x v="83"/>
              <x v="84"/>
              <x v="88"/>
              <x v="94"/>
              <x v="98"/>
              <x v="102"/>
              <x v="106"/>
              <x v="109"/>
              <x v="110"/>
              <x v="113"/>
              <x v="122"/>
              <x v="131"/>
              <x v="139"/>
              <x v="143"/>
              <x v="144"/>
              <x v="146"/>
              <x v="147"/>
              <x v="149"/>
              <x v="151"/>
              <x v="156"/>
              <x v="162"/>
              <x v="163"/>
              <x v="165"/>
              <x v="167"/>
              <x v="168"/>
              <x v="171"/>
              <x v="175"/>
            </reference>
          </references>
        </pivotArea>
      </pivotAreas>
    </conditionalFormat>
    <conditionalFormat priority="38">
      <pivotAreas count="1">
        <pivotArea type="data" collapsedLevelsAreSubtotals="1" fieldPosition="0">
          <references count="5">
            <reference field="4294967294" count="1" selected="0">
              <x v="0"/>
            </reference>
            <reference field="4" count="1" selected="0">
              <x v="1"/>
            </reference>
            <reference field="6" count="1" selected="0">
              <x v="11"/>
            </reference>
            <reference field="7" count="1" selected="0">
              <x v="0"/>
            </reference>
            <reference field="8" count="42">
              <x v="3"/>
              <x v="10"/>
              <x v="17"/>
              <x v="21"/>
              <x v="39"/>
              <x v="45"/>
              <x v="49"/>
              <x v="53"/>
              <x v="54"/>
              <x v="59"/>
              <x v="62"/>
              <x v="66"/>
              <x v="67"/>
              <x v="77"/>
              <x v="79"/>
              <x v="83"/>
              <x v="84"/>
              <x v="88"/>
              <x v="94"/>
              <x v="98"/>
              <x v="102"/>
              <x v="106"/>
              <x v="109"/>
              <x v="110"/>
              <x v="113"/>
              <x v="122"/>
              <x v="131"/>
              <x v="139"/>
              <x v="143"/>
              <x v="144"/>
              <x v="146"/>
              <x v="147"/>
              <x v="149"/>
              <x v="151"/>
              <x v="156"/>
              <x v="162"/>
              <x v="163"/>
              <x v="165"/>
              <x v="167"/>
              <x v="168"/>
              <x v="171"/>
              <x v="175"/>
            </reference>
          </references>
        </pivotArea>
      </pivotAreas>
    </conditionalFormat>
    <conditionalFormat priority="39">
      <pivotAreas count="1">
        <pivotArea type="data" collapsedLevelsAreSubtotals="1" fieldPosition="0">
          <references count="5">
            <reference field="4294967294" count="1" selected="0">
              <x v="2"/>
            </reference>
            <reference field="4" count="1" selected="0">
              <x v="1"/>
            </reference>
            <reference field="6" count="1" selected="0">
              <x v="11"/>
            </reference>
            <reference field="7" count="1" selected="0">
              <x v="1"/>
            </reference>
            <reference field="8" count="39">
              <x v="1"/>
              <x v="2"/>
              <x v="6"/>
              <x v="7"/>
              <x v="10"/>
              <x v="15"/>
              <x v="16"/>
              <x v="20"/>
              <x v="27"/>
              <x v="29"/>
              <x v="50"/>
              <x v="59"/>
              <x v="63"/>
              <x v="68"/>
              <x v="69"/>
              <x v="77"/>
              <x v="78"/>
              <x v="80"/>
              <x v="82"/>
              <x v="96"/>
              <x v="106"/>
              <x v="109"/>
              <x v="110"/>
              <x v="111"/>
              <x v="113"/>
              <x v="114"/>
              <x v="116"/>
              <x v="123"/>
              <x v="129"/>
              <x v="130"/>
              <x v="132"/>
              <x v="136"/>
              <x v="141"/>
              <x v="143"/>
              <x v="152"/>
              <x v="160"/>
              <x v="162"/>
              <x v="163"/>
              <x v="172"/>
            </reference>
          </references>
        </pivotArea>
      </pivotAreas>
    </conditionalFormat>
    <conditionalFormat priority="40">
      <pivotAreas count="1">
        <pivotArea type="data" collapsedLevelsAreSubtotals="1" fieldPosition="0">
          <references count="5">
            <reference field="4294967294" count="1" selected="0">
              <x v="0"/>
            </reference>
            <reference field="4" count="1" selected="0">
              <x v="1"/>
            </reference>
            <reference field="6" count="1" selected="0">
              <x v="11"/>
            </reference>
            <reference field="7" count="1" selected="0">
              <x v="1"/>
            </reference>
            <reference field="8" count="39">
              <x v="1"/>
              <x v="2"/>
              <x v="6"/>
              <x v="7"/>
              <x v="10"/>
              <x v="15"/>
              <x v="16"/>
              <x v="20"/>
              <x v="27"/>
              <x v="29"/>
              <x v="50"/>
              <x v="59"/>
              <x v="63"/>
              <x v="68"/>
              <x v="69"/>
              <x v="77"/>
              <x v="78"/>
              <x v="80"/>
              <x v="82"/>
              <x v="96"/>
              <x v="106"/>
              <x v="109"/>
              <x v="110"/>
              <x v="111"/>
              <x v="113"/>
              <x v="114"/>
              <x v="116"/>
              <x v="123"/>
              <x v="129"/>
              <x v="130"/>
              <x v="132"/>
              <x v="136"/>
              <x v="141"/>
              <x v="143"/>
              <x v="152"/>
              <x v="160"/>
              <x v="162"/>
              <x v="163"/>
              <x v="17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8D1AC4F-0616-4D0B-A1AD-EC6D72226BDF}" name="PivotTable1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589:C641" firstHeaderRow="1" firstDataRow="3"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Col" showAll="0">
      <items count="5">
        <item h="1" x="2"/>
        <item h="1" x="3"/>
        <item x="0"/>
        <item h="1" x="1"/>
        <item t="default"/>
      </items>
    </pivotField>
    <pivotField showAll="0"/>
    <pivotField showAll="0"/>
    <pivotField showAll="0"/>
    <pivotField axis="axisRow" showAll="0">
      <items count="178">
        <item x="136"/>
        <item x="155"/>
        <item x="100"/>
        <item x="30"/>
        <item x="75"/>
        <item x="148"/>
        <item x="158"/>
        <item x="156"/>
        <item x="126"/>
        <item x="66"/>
        <item x="4"/>
        <item x="149"/>
        <item x="76"/>
        <item x="1"/>
        <item x="77"/>
        <item x="164"/>
        <item x="165"/>
        <item x="34"/>
        <item x="142"/>
        <item x="17"/>
        <item x="170"/>
        <item x="23"/>
        <item x="59"/>
        <item x="60"/>
        <item x="114"/>
        <item x="130"/>
        <item x="91"/>
        <item x="67"/>
        <item x="110"/>
        <item x="154"/>
        <item x="84"/>
        <item x="134"/>
        <item x="141"/>
        <item x="118"/>
        <item x="147"/>
        <item x="106"/>
        <item x="12"/>
        <item x="18"/>
        <item x="123"/>
        <item x="27"/>
        <item x="85"/>
        <item x="62"/>
        <item x="96"/>
        <item x="115"/>
        <item x="145"/>
        <item x="47"/>
        <item x="116"/>
        <item x="73"/>
        <item x="74"/>
        <item x="24"/>
        <item x="104"/>
        <item x="109"/>
        <item x="173"/>
        <item x="31"/>
        <item x="45"/>
        <item x="92"/>
        <item x="102"/>
        <item x="125"/>
        <item x="105"/>
        <item x="3"/>
        <item x="8"/>
        <item x="101"/>
        <item x="21"/>
        <item x="168"/>
        <item x="83"/>
        <item x="112"/>
        <item x="49"/>
        <item x="36"/>
        <item x="166"/>
        <item x="140"/>
        <item x="68"/>
        <item x="19"/>
        <item x="9"/>
        <item x="80"/>
        <item x="135"/>
        <item x="58"/>
        <item x="97"/>
        <item x="22"/>
        <item x="79"/>
        <item x="55"/>
        <item x="161"/>
        <item x="111"/>
        <item x="169"/>
        <item x="54"/>
        <item x="33"/>
        <item x="138"/>
        <item x="89"/>
        <item x="117"/>
        <item x="38"/>
        <item x="16"/>
        <item x="99"/>
        <item x="122"/>
        <item x="139"/>
        <item x="93"/>
        <item x="52"/>
        <item x="103"/>
        <item x="151"/>
        <item x="124"/>
        <item x="15"/>
        <item x="90"/>
        <item x="7"/>
        <item x="172"/>
        <item x="29"/>
        <item x="72"/>
        <item x="131"/>
        <item x="10"/>
        <item x="53"/>
        <item x="176"/>
        <item x="86"/>
        <item x="26"/>
        <item x="25"/>
        <item x="163"/>
        <item x="107"/>
        <item x="42"/>
        <item x="159"/>
        <item x="81"/>
        <item x="64"/>
        <item x="6"/>
        <item x="174"/>
        <item x="69"/>
        <item x="171"/>
        <item x="127"/>
        <item x="51"/>
        <item x="157"/>
        <item x="175"/>
        <item x="70"/>
        <item x="120"/>
        <item x="121"/>
        <item x="108"/>
        <item x="150"/>
        <item x="153"/>
        <item x="48"/>
        <item x="162"/>
        <item x="78"/>
        <item x="143"/>
        <item x="82"/>
        <item x="0"/>
        <item x="133"/>
        <item x="137"/>
        <item x="56"/>
        <item x="98"/>
        <item x="160"/>
        <item x="65"/>
        <item x="57"/>
        <item x="11"/>
        <item x="46"/>
        <item x="35"/>
        <item x="28"/>
        <item x="2"/>
        <item x="41"/>
        <item x="144"/>
        <item x="14"/>
        <item x="128"/>
        <item x="5"/>
        <item x="63"/>
        <item x="13"/>
        <item x="37"/>
        <item x="132"/>
        <item x="88"/>
        <item x="87"/>
        <item x="167"/>
        <item x="71"/>
        <item x="50"/>
        <item x="43"/>
        <item x="61"/>
        <item x="44"/>
        <item x="113"/>
        <item x="40"/>
        <item x="32"/>
        <item x="94"/>
        <item x="95"/>
        <item x="39"/>
        <item x="152"/>
        <item x="119"/>
        <item x="146"/>
        <item x="20"/>
        <item x="129"/>
        <item t="default"/>
      </items>
    </pivotField>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3">
    <field x="11"/>
    <field x="9"/>
    <field x="8"/>
  </rowFields>
  <rowItems count="50">
    <i>
      <x v="1"/>
    </i>
    <i r="1">
      <x v="9"/>
    </i>
    <i r="2">
      <x v="136"/>
    </i>
    <i r="1">
      <x v="10"/>
    </i>
    <i r="2">
      <x v="136"/>
    </i>
    <i r="1">
      <x v="11"/>
    </i>
    <i r="2">
      <x v="71"/>
    </i>
    <i r="2">
      <x v="136"/>
    </i>
    <i r="2">
      <x v="153"/>
    </i>
    <i r="1">
      <x v="12"/>
    </i>
    <i r="2">
      <x v="136"/>
    </i>
    <i r="2">
      <x v="145"/>
    </i>
    <i>
      <x v="2"/>
    </i>
    <i r="1">
      <x v="1"/>
    </i>
    <i r="2">
      <x v="136"/>
    </i>
    <i r="1">
      <x v="2"/>
    </i>
    <i r="2">
      <x v="136"/>
    </i>
    <i r="1">
      <x v="3"/>
    </i>
    <i r="2">
      <x v="136"/>
    </i>
    <i r="1">
      <x v="4"/>
    </i>
    <i r="2">
      <x v="40"/>
    </i>
    <i r="2">
      <x v="136"/>
    </i>
    <i r="1">
      <x v="5"/>
    </i>
    <i r="2">
      <x v="26"/>
    </i>
    <i r="2">
      <x v="136"/>
    </i>
    <i r="1">
      <x v="6"/>
    </i>
    <i r="2">
      <x v="136"/>
    </i>
    <i r="1">
      <x v="7"/>
    </i>
    <i r="2">
      <x v="33"/>
    </i>
    <i r="2">
      <x v="136"/>
    </i>
    <i r="1">
      <x v="8"/>
    </i>
    <i r="2">
      <x v="38"/>
    </i>
    <i r="2">
      <x v="121"/>
    </i>
    <i r="2">
      <x v="136"/>
    </i>
    <i r="1">
      <x v="9"/>
    </i>
    <i r="2">
      <x v="136"/>
    </i>
    <i r="1">
      <x v="10"/>
    </i>
    <i r="2">
      <x/>
    </i>
    <i r="2">
      <x v="136"/>
    </i>
    <i r="1">
      <x v="11"/>
    </i>
    <i r="2">
      <x v="34"/>
    </i>
    <i r="2">
      <x v="136"/>
    </i>
    <i r="2">
      <x v="174"/>
    </i>
    <i r="1">
      <x v="12"/>
    </i>
    <i r="2">
      <x v="1"/>
    </i>
    <i r="2">
      <x v="136"/>
    </i>
    <i>
      <x v="3"/>
    </i>
    <i r="1">
      <x v="1"/>
    </i>
    <i r="2">
      <x v="136"/>
    </i>
    <i t="grand">
      <x/>
    </i>
  </rowItems>
  <colFields count="2">
    <field x="4"/>
    <field x="-2"/>
  </colFields>
  <colItems count="2">
    <i>
      <x v="2"/>
      <x/>
    </i>
    <i r="1" i="1">
      <x v="1"/>
    </i>
  </colItems>
  <dataFields count="2">
    <dataField name="Sum of amount" fld="3" baseField="0" baseItem="0"/>
    <dataField name="Count of amount2" fld="3" subtotal="count" baseField="9"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DB407D3-1A91-41C1-8587-A0C38FD906D8}"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60:L266" firstHeaderRow="0" firstDataRow="1" firstDataCol="1"/>
  <pivotFields count="7">
    <pivotField axis="axisRow" showAll="0" measureFilter="1" sortType="descending">
      <items count="21">
        <item x="14"/>
        <item x="0"/>
        <item x="13"/>
        <item x="3"/>
        <item x="1"/>
        <item x="10"/>
        <item x="15"/>
        <item x="16"/>
        <item x="12"/>
        <item x="19"/>
        <item x="2"/>
        <item x="8"/>
        <item x="6"/>
        <item x="5"/>
        <item x="4"/>
        <item x="18"/>
        <item x="17"/>
        <item x="7"/>
        <item x="11"/>
        <item x="9"/>
        <item t="default"/>
      </items>
      <autoSortScope>
        <pivotArea dataOnly="0" outline="0" fieldPosition="0">
          <references count="1">
            <reference field="4294967294" count="1" selected="0">
              <x v="1"/>
            </reference>
          </references>
        </pivotArea>
      </autoSortScope>
    </pivotField>
    <pivotField dataField="1" showAll="0">
      <items count="7">
        <item x="1"/>
        <item x="5"/>
        <item x="4"/>
        <item x="3"/>
        <item x="2"/>
        <item h="1" x="0"/>
        <item t="default"/>
      </items>
    </pivotField>
    <pivotField dataField="1" showAll="0"/>
    <pivotField showAll="0"/>
    <pivotField showAll="0"/>
    <pivotField dataField="1" showAll="0">
      <items count="21">
        <item x="0"/>
        <item x="1"/>
        <item x="2"/>
        <item x="3"/>
        <item x="4"/>
        <item x="5"/>
        <item x="6"/>
        <item x="7"/>
        <item x="8"/>
        <item x="9"/>
        <item x="10"/>
        <item x="11"/>
        <item x="12"/>
        <item x="13"/>
        <item x="14"/>
        <item x="15"/>
        <item x="16"/>
        <item x="17"/>
        <item x="18"/>
        <item x="19"/>
        <item t="default"/>
      </items>
    </pivotField>
    <pivotField showAll="0"/>
  </pivotFields>
  <rowFields count="1">
    <field x="0"/>
  </rowFields>
  <rowItems count="6">
    <i>
      <x v="17"/>
    </i>
    <i>
      <x v="19"/>
    </i>
    <i>
      <x v="18"/>
    </i>
    <i>
      <x v="15"/>
    </i>
    <i>
      <x v="14"/>
    </i>
    <i t="grand">
      <x/>
    </i>
  </rowItems>
  <colFields count="1">
    <field x="-2"/>
  </colFields>
  <colItems count="3">
    <i>
      <x/>
    </i>
    <i i="1">
      <x v="1"/>
    </i>
    <i i="2">
      <x v="2"/>
    </i>
  </colItems>
  <dataFields count="3">
    <dataField name="Ranking" fld="5" baseField="0" baseItem="0"/>
    <dataField name="Sum of Sum of G-cash Expenses" fld="1" baseField="0" baseItem="0"/>
    <dataField name="Sum of Count of G-cash" fld="2" baseField="0" baseItem="0"/>
  </dataFields>
  <conditionalFormats count="1">
    <conditionalFormat priority="12">
      <pivotAreas count="1">
        <pivotArea type="data" collapsedLevelsAreSubtotals="1" fieldPosition="0">
          <references count="2">
            <reference field="4294967294" count="1" selected="0">
              <x v="1"/>
            </reference>
            <reference field="0" count="5">
              <x v="14"/>
              <x v="15"/>
              <x v="17"/>
              <x v="18"/>
              <x v="19"/>
            </reference>
          </references>
        </pivotArea>
      </pivotAreas>
    </conditionalFormat>
  </conditionalFormats>
  <pivotTableStyleInfo name="PivotStyleLight16" showRowHeaders="1" showColHeaders="1" showRowStripes="0" showColStripes="0" showLastColumn="1"/>
  <filters count="1">
    <filter fld="0" type="valueGreaterThan" evalOrder="-1" id="1" iMeasureFld="1">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C26F739-2577-4DFF-84D4-3D28C2D881A3}"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G521:H531" firstHeaderRow="1" firstDataRow="2"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Col" showAll="0">
      <items count="5">
        <item h="1" x="2"/>
        <item h="1" x="3"/>
        <item x="0"/>
        <item h="1" x="1"/>
        <item t="default"/>
      </items>
    </pivotField>
    <pivotField showAll="0"/>
    <pivotField axis="axisRow" showAll="0">
      <items count="13">
        <item h="1" x="4"/>
        <item h="1" x="5"/>
        <item h="1" x="6"/>
        <item h="1" x="7"/>
        <item h="1" x="8"/>
        <item h="1" x="9"/>
        <item h="1" x="10"/>
        <item h="1" x="11"/>
        <item h="1" x="0"/>
        <item h="1" x="1"/>
        <item x="2"/>
        <item x="3"/>
        <item t="default"/>
      </items>
    </pivotField>
    <pivotField axis="axisRow" showAll="0">
      <items count="4">
        <item x="0"/>
        <item h="1" x="1"/>
        <item h="1" x="2"/>
        <item t="default"/>
      </items>
    </pivotField>
    <pivotField axis="axisRow" showAll="0">
      <items count="178">
        <item x="136"/>
        <item x="155"/>
        <item x="100"/>
        <item x="30"/>
        <item x="75"/>
        <item x="148"/>
        <item x="158"/>
        <item x="156"/>
        <item x="126"/>
        <item x="66"/>
        <item x="4"/>
        <item x="149"/>
        <item x="76"/>
        <item x="1"/>
        <item x="77"/>
        <item x="164"/>
        <item x="165"/>
        <item x="34"/>
        <item x="142"/>
        <item x="17"/>
        <item x="170"/>
        <item x="23"/>
        <item x="59"/>
        <item x="60"/>
        <item x="114"/>
        <item x="130"/>
        <item x="91"/>
        <item x="67"/>
        <item x="110"/>
        <item x="154"/>
        <item x="84"/>
        <item x="134"/>
        <item x="141"/>
        <item x="118"/>
        <item x="147"/>
        <item x="106"/>
        <item x="12"/>
        <item x="18"/>
        <item x="123"/>
        <item x="27"/>
        <item x="85"/>
        <item x="62"/>
        <item x="96"/>
        <item x="115"/>
        <item x="145"/>
        <item x="47"/>
        <item x="116"/>
        <item x="73"/>
        <item x="74"/>
        <item x="24"/>
        <item x="104"/>
        <item x="109"/>
        <item x="173"/>
        <item x="31"/>
        <item x="45"/>
        <item x="92"/>
        <item x="102"/>
        <item x="125"/>
        <item x="105"/>
        <item x="3"/>
        <item x="8"/>
        <item x="101"/>
        <item x="21"/>
        <item x="168"/>
        <item x="83"/>
        <item x="112"/>
        <item x="49"/>
        <item x="36"/>
        <item x="166"/>
        <item x="140"/>
        <item x="68"/>
        <item x="19"/>
        <item x="9"/>
        <item x="80"/>
        <item x="135"/>
        <item x="58"/>
        <item x="97"/>
        <item x="22"/>
        <item x="79"/>
        <item x="55"/>
        <item x="161"/>
        <item x="111"/>
        <item x="169"/>
        <item x="54"/>
        <item x="33"/>
        <item x="138"/>
        <item x="89"/>
        <item x="117"/>
        <item x="38"/>
        <item x="16"/>
        <item x="99"/>
        <item x="122"/>
        <item x="139"/>
        <item x="93"/>
        <item x="52"/>
        <item x="103"/>
        <item x="151"/>
        <item x="124"/>
        <item x="15"/>
        <item x="90"/>
        <item x="7"/>
        <item x="172"/>
        <item x="29"/>
        <item x="72"/>
        <item x="131"/>
        <item x="10"/>
        <item x="53"/>
        <item x="176"/>
        <item x="86"/>
        <item x="26"/>
        <item x="25"/>
        <item x="163"/>
        <item x="107"/>
        <item x="42"/>
        <item x="159"/>
        <item x="81"/>
        <item x="64"/>
        <item x="6"/>
        <item x="174"/>
        <item x="69"/>
        <item x="171"/>
        <item x="127"/>
        <item x="51"/>
        <item x="157"/>
        <item x="175"/>
        <item x="70"/>
        <item x="120"/>
        <item x="121"/>
        <item x="108"/>
        <item x="150"/>
        <item x="153"/>
        <item x="48"/>
        <item x="162"/>
        <item x="78"/>
        <item x="143"/>
        <item x="82"/>
        <item x="0"/>
        <item x="133"/>
        <item x="137"/>
        <item x="56"/>
        <item x="98"/>
        <item x="160"/>
        <item x="65"/>
        <item x="57"/>
        <item x="11"/>
        <item x="46"/>
        <item x="35"/>
        <item x="28"/>
        <item x="2"/>
        <item x="41"/>
        <item x="144"/>
        <item x="14"/>
        <item x="128"/>
        <item x="5"/>
        <item x="63"/>
        <item x="13"/>
        <item x="37"/>
        <item x="132"/>
        <item x="88"/>
        <item x="87"/>
        <item x="167"/>
        <item x="71"/>
        <item x="50"/>
        <item x="43"/>
        <item x="61"/>
        <item x="44"/>
        <item x="113"/>
        <item x="40"/>
        <item x="32"/>
        <item x="94"/>
        <item x="95"/>
        <item x="39"/>
        <item x="152"/>
        <item x="119"/>
        <item x="146"/>
        <item x="20"/>
        <item x="129"/>
        <item t="default"/>
      </items>
    </pivotField>
    <pivotField showAll="0" defaultSubtotal="0"/>
    <pivotField showAll="0" defaultSubtotal="0"/>
    <pivotField showAll="0" defaultSubtotal="0">
      <items count="5">
        <item x="0"/>
        <item x="1"/>
        <item x="2"/>
        <item x="3"/>
        <item x="4"/>
      </items>
    </pivotField>
  </pivotFields>
  <rowFields count="3">
    <field x="7"/>
    <field x="6"/>
    <field x="8"/>
  </rowFields>
  <rowItems count="9">
    <i>
      <x/>
    </i>
    <i r="1">
      <x v="10"/>
    </i>
    <i r="2">
      <x v="71"/>
    </i>
    <i r="2">
      <x v="136"/>
    </i>
    <i r="2">
      <x v="153"/>
    </i>
    <i r="1">
      <x v="11"/>
    </i>
    <i r="2">
      <x v="136"/>
    </i>
    <i r="2">
      <x v="145"/>
    </i>
    <i t="grand">
      <x/>
    </i>
  </rowItems>
  <colFields count="1">
    <field x="4"/>
  </colFields>
  <colItems count="1">
    <i>
      <x v="2"/>
    </i>
  </colItems>
  <dataFields count="1">
    <dataField name="Sum of amount" fld="3" baseField="0" baseItem="0"/>
  </dataFields>
  <chartFormats count="4">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70056FD-5201-4079-B5DC-7BB18DB434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1:D428" firstHeaderRow="0" firstDataRow="1"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showAll="0"/>
    <pivotField showAll="0"/>
    <pivotField showAll="0"/>
    <pivotField showAll="0"/>
    <pivotField axis="axisRow" showAll="0">
      <items count="178">
        <item h="1" x="136"/>
        <item h="1" x="155"/>
        <item h="1" x="100"/>
        <item h="1" x="30"/>
        <item h="1" x="75"/>
        <item h="1" x="148"/>
        <item h="1" x="158"/>
        <item h="1" x="156"/>
        <item h="1" x="126"/>
        <item h="1" x="66"/>
        <item h="1" x="4"/>
        <item h="1" x="149"/>
        <item h="1" x="76"/>
        <item h="1" x="1"/>
        <item h="1" x="77"/>
        <item h="1" x="164"/>
        <item h="1" x="165"/>
        <item h="1" x="34"/>
        <item h="1" x="142"/>
        <item h="1" x="17"/>
        <item h="1" x="170"/>
        <item h="1" x="23"/>
        <item h="1" x="59"/>
        <item h="1" x="60"/>
        <item h="1" x="114"/>
        <item h="1" x="130"/>
        <item h="1" x="91"/>
        <item h="1" x="67"/>
        <item h="1" x="110"/>
        <item h="1" x="154"/>
        <item h="1" x="84"/>
        <item h="1" x="134"/>
        <item h="1" x="141"/>
        <item h="1" x="118"/>
        <item h="1" x="147"/>
        <item h="1" x="106"/>
        <item h="1" x="12"/>
        <item h="1" x="18"/>
        <item h="1" x="123"/>
        <item h="1" x="27"/>
        <item h="1" x="85"/>
        <item h="1" x="62"/>
        <item h="1" x="96"/>
        <item h="1" x="115"/>
        <item h="1" x="145"/>
        <item h="1" x="47"/>
        <item h="1" x="116"/>
        <item h="1" x="73"/>
        <item h="1" x="74"/>
        <item h="1" x="24"/>
        <item h="1" x="104"/>
        <item h="1" x="109"/>
        <item h="1" x="173"/>
        <item h="1" x="31"/>
        <item h="1" x="45"/>
        <item h="1" x="92"/>
        <item h="1" x="102"/>
        <item h="1" x="125"/>
        <item h="1" x="105"/>
        <item h="1" x="3"/>
        <item h="1" x="8"/>
        <item h="1" x="101"/>
        <item h="1" x="21"/>
        <item h="1" x="168"/>
        <item h="1" x="83"/>
        <item h="1" x="112"/>
        <item h="1" x="49"/>
        <item h="1" x="36"/>
        <item h="1" x="166"/>
        <item h="1" x="140"/>
        <item h="1" x="68"/>
        <item h="1" x="19"/>
        <item h="1" x="9"/>
        <item h="1" x="80"/>
        <item h="1" x="135"/>
        <item h="1" x="58"/>
        <item h="1" x="97"/>
        <item h="1" x="22"/>
        <item h="1" x="79"/>
        <item h="1" x="55"/>
        <item h="1" x="161"/>
        <item h="1" x="111"/>
        <item h="1" x="169"/>
        <item h="1" x="54"/>
        <item h="1" x="33"/>
        <item h="1" x="138"/>
        <item h="1" x="89"/>
        <item h="1" x="117"/>
        <item h="1" x="38"/>
        <item h="1" x="16"/>
        <item h="1" x="99"/>
        <item h="1" x="122"/>
        <item h="1" x="139"/>
        <item h="1" x="93"/>
        <item h="1" x="52"/>
        <item h="1" x="103"/>
        <item h="1" x="151"/>
        <item h="1" x="124"/>
        <item h="1" x="15"/>
        <item h="1" x="90"/>
        <item h="1" x="7"/>
        <item h="1" x="172"/>
        <item h="1" x="29"/>
        <item h="1" x="72"/>
        <item h="1" x="131"/>
        <item h="1" x="10"/>
        <item h="1" x="53"/>
        <item h="1" x="176"/>
        <item h="1" x="86"/>
        <item h="1" x="26"/>
        <item h="1" x="25"/>
        <item h="1" x="163"/>
        <item h="1" x="107"/>
        <item h="1" x="42"/>
        <item h="1" x="159"/>
        <item h="1" x="81"/>
        <item h="1" x="64"/>
        <item h="1" x="6"/>
        <item h="1" x="174"/>
        <item h="1" x="69"/>
        <item h="1" x="171"/>
        <item h="1" x="127"/>
        <item h="1" x="51"/>
        <item h="1" x="157"/>
        <item h="1" x="175"/>
        <item h="1" x="70"/>
        <item h="1" x="120"/>
        <item h="1" x="121"/>
        <item h="1" x="108"/>
        <item h="1" x="150"/>
        <item h="1" x="153"/>
        <item h="1" x="48"/>
        <item h="1" x="162"/>
        <item h="1" x="78"/>
        <item h="1" x="143"/>
        <item h="1" x="82"/>
        <item h="1" x="0"/>
        <item h="1" x="133"/>
        <item h="1" x="137"/>
        <item h="1" x="56"/>
        <item h="1" x="98"/>
        <item h="1" x="160"/>
        <item h="1" x="65"/>
        <item h="1" x="57"/>
        <item h="1" x="11"/>
        <item h="1" x="46"/>
        <item h="1" x="35"/>
        <item h="1" x="28"/>
        <item h="1" x="2"/>
        <item h="1" x="41"/>
        <item h="1" x="144"/>
        <item x="14"/>
        <item h="1" x="128"/>
        <item h="1" x="5"/>
        <item h="1" x="63"/>
        <item h="1" x="13"/>
        <item h="1" x="37"/>
        <item h="1" x="132"/>
        <item h="1" x="88"/>
        <item h="1" x="87"/>
        <item h="1" x="167"/>
        <item h="1" x="71"/>
        <item h="1" x="50"/>
        <item h="1" x="43"/>
        <item h="1" x="61"/>
        <item h="1" x="44"/>
        <item h="1" x="113"/>
        <item h="1" x="40"/>
        <item h="1" x="32"/>
        <item h="1" x="94"/>
        <item h="1" x="95"/>
        <item h="1" x="39"/>
        <item h="1" x="152"/>
        <item h="1" x="119"/>
        <item h="1" x="146"/>
        <item h="1" x="20"/>
        <item h="1" x="129"/>
        <item t="default"/>
      </items>
    </pivotField>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3">
    <field x="11"/>
    <field x="9"/>
    <field x="8"/>
  </rowFields>
  <rowItems count="27">
    <i>
      <x v="1"/>
    </i>
    <i r="1">
      <x v="11"/>
    </i>
    <i r="2">
      <x v="151"/>
    </i>
    <i r="1">
      <x v="12"/>
    </i>
    <i r="2">
      <x v="151"/>
    </i>
    <i>
      <x v="2"/>
    </i>
    <i r="1">
      <x v="1"/>
    </i>
    <i r="2">
      <x v="151"/>
    </i>
    <i r="1">
      <x v="2"/>
    </i>
    <i r="2">
      <x v="151"/>
    </i>
    <i r="1">
      <x v="3"/>
    </i>
    <i r="2">
      <x v="151"/>
    </i>
    <i r="1">
      <x v="4"/>
    </i>
    <i r="2">
      <x v="151"/>
    </i>
    <i r="1">
      <x v="5"/>
    </i>
    <i r="2">
      <x v="151"/>
    </i>
    <i r="1">
      <x v="6"/>
    </i>
    <i r="2">
      <x v="151"/>
    </i>
    <i r="1">
      <x v="7"/>
    </i>
    <i r="2">
      <x v="151"/>
    </i>
    <i r="1">
      <x v="8"/>
    </i>
    <i r="2">
      <x v="151"/>
    </i>
    <i r="1">
      <x v="9"/>
    </i>
    <i r="2">
      <x v="151"/>
    </i>
    <i r="1">
      <x v="10"/>
    </i>
    <i r="2">
      <x v="151"/>
    </i>
    <i t="grand">
      <x/>
    </i>
  </rowItems>
  <colFields count="1">
    <field x="-2"/>
  </colFields>
  <colItems count="3">
    <i>
      <x/>
    </i>
    <i i="1">
      <x v="1"/>
    </i>
    <i i="2">
      <x v="2"/>
    </i>
  </colItems>
  <dataFields count="3">
    <dataField name="Sum of amount" fld="3" baseField="0" baseItem="0"/>
    <dataField name="Count of amount2" fld="3" subtotal="count" baseField="11" baseItem="1"/>
    <dataField name="Average of amount2" fld="3" subtotal="average"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CDF1E9A-6FE3-4C7C-91BA-664701350671}"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528:K534" firstHeaderRow="1" firstDataRow="1" firstDataCol="1"/>
  <pivotFields count="5">
    <pivotField numFmtId="17" showAll="0">
      <items count="3">
        <item x="0"/>
        <item m="1" x="1"/>
        <item t="default"/>
      </items>
    </pivotField>
    <pivotField axis="axisRow" showAll="0">
      <items count="7">
        <item x="1"/>
        <item m="1" x="5"/>
        <item x="2"/>
        <item x="3"/>
        <item m="1" x="4"/>
        <item x="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x="0"/>
        <item x="1"/>
        <item x="2"/>
        <item x="3"/>
        <item x="4"/>
        <item x="5"/>
        <item x="6"/>
        <item x="7"/>
        <item x="8"/>
        <item x="9"/>
        <item x="10"/>
        <item x="11"/>
        <item x="12"/>
        <item x="13"/>
        <item t="default"/>
      </items>
    </pivotField>
  </pivotFields>
  <rowFields count="2">
    <field x="4"/>
    <field x="1"/>
  </rowFields>
  <rowItems count="6">
    <i>
      <x v="11"/>
    </i>
    <i r="1">
      <x/>
    </i>
    <i r="1">
      <x v="2"/>
    </i>
    <i r="1">
      <x v="3"/>
    </i>
    <i r="1">
      <x v="5"/>
    </i>
    <i t="grand">
      <x/>
    </i>
  </rowItems>
  <colItems count="1">
    <i/>
  </colItems>
  <dataFields count="1">
    <dataField name="Sum of income" fld="2"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7D04AA9-2A31-44CC-B7DF-4FD201BC284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614:K636" firstHeaderRow="1" firstDataRow="1" firstDataCol="1"/>
  <pivotFields count="7">
    <pivotField axis="axisRow" numFmtId="17" showAll="0">
      <items count="18">
        <item x="0"/>
        <item x="1"/>
        <item x="2"/>
        <item x="3"/>
        <item x="4"/>
        <item x="5"/>
        <item x="6"/>
        <item x="7"/>
        <item x="8"/>
        <item x="9"/>
        <item x="10"/>
        <item x="11"/>
        <item x="12"/>
        <item x="13"/>
        <item x="14"/>
        <item x="15"/>
        <item x="16"/>
        <item t="default"/>
      </items>
    </pivotField>
    <pivotField axis="axisRow" showAll="0">
      <items count="14">
        <item x="9"/>
        <item x="12"/>
        <item x="5"/>
        <item x="6"/>
        <item x="10"/>
        <item x="7"/>
        <item x="4"/>
        <item x="1"/>
        <item x="8"/>
        <item h="1" x="0"/>
        <item x="3"/>
        <item x="2"/>
        <item x="11"/>
        <item t="default"/>
      </items>
    </pivotField>
    <pivotField dataField="1" showAll="0"/>
    <pivotField showAll="0"/>
    <pivotField showAll="0">
      <items count="15">
        <item sd="0" x="0"/>
        <item sd="0" x="1"/>
        <item sd="0" x="2"/>
        <item sd="0" x="3"/>
        <item sd="0" x="4"/>
        <item sd="0" x="5"/>
        <item sd="0" x="6"/>
        <item sd="0" x="7"/>
        <item sd="0" x="8"/>
        <item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2">
    <field x="0"/>
    <field x="1"/>
  </rowFields>
  <rowItems count="22">
    <i>
      <x v="2"/>
    </i>
    <i r="1">
      <x v="7"/>
    </i>
    <i r="1">
      <x v="11"/>
    </i>
    <i>
      <x v="3"/>
    </i>
    <i r="1">
      <x v="10"/>
    </i>
    <i>
      <x v="7"/>
    </i>
    <i r="1">
      <x v="6"/>
    </i>
    <i>
      <x v="8"/>
    </i>
    <i r="1">
      <x v="2"/>
    </i>
    <i>
      <x v="10"/>
    </i>
    <i r="1">
      <x v="3"/>
    </i>
    <i>
      <x v="11"/>
    </i>
    <i r="1">
      <x v="5"/>
    </i>
    <i r="1">
      <x v="8"/>
    </i>
    <i>
      <x v="13"/>
    </i>
    <i r="1">
      <x/>
    </i>
    <i>
      <x v="14"/>
    </i>
    <i r="1">
      <x v="4"/>
    </i>
    <i r="1">
      <x v="12"/>
    </i>
    <i>
      <x v="15"/>
    </i>
    <i r="1">
      <x v="1"/>
    </i>
    <i t="grand">
      <x/>
    </i>
  </rowItems>
  <colItems count="1">
    <i/>
  </colItems>
  <dataFields count="1">
    <dataField name="Sum of income" fld="2" baseField="0" baseItem="0"/>
  </dataFields>
  <conditionalFormats count="2">
    <conditionalFormat priority="20">
      <pivotAreas count="9">
        <pivotArea type="data" collapsedLevelsAreSubtotals="1" fieldPosition="0">
          <references count="3">
            <reference field="4294967294" count="1" selected="0">
              <x v="0"/>
            </reference>
            <reference field="0" count="1" selected="0">
              <x v="2"/>
            </reference>
            <reference field="1" count="2">
              <x v="7"/>
              <x v="11"/>
            </reference>
          </references>
        </pivotArea>
        <pivotArea type="data" collapsedLevelsAreSubtotals="1" fieldPosition="0">
          <references count="3">
            <reference field="4294967294" count="1" selected="0">
              <x v="0"/>
            </reference>
            <reference field="0" count="1" selected="0">
              <x v="3"/>
            </reference>
            <reference field="1" count="1">
              <x v="10"/>
            </reference>
          </references>
        </pivotArea>
        <pivotArea type="data" collapsedLevelsAreSubtotals="1" fieldPosition="0">
          <references count="3">
            <reference field="4294967294" count="1" selected="0">
              <x v="0"/>
            </reference>
            <reference field="0" count="1" selected="0">
              <x v="7"/>
            </reference>
            <reference field="1" count="1">
              <x v="6"/>
            </reference>
          </references>
        </pivotArea>
        <pivotArea type="data" collapsedLevelsAreSubtotals="1" fieldPosition="0">
          <references count="3">
            <reference field="4294967294" count="1" selected="0">
              <x v="0"/>
            </reference>
            <reference field="0" count="1" selected="0">
              <x v="8"/>
            </reference>
            <reference field="1" count="1">
              <x v="2"/>
            </reference>
          </references>
        </pivotArea>
        <pivotArea type="data" collapsedLevelsAreSubtotals="1" fieldPosition="0">
          <references count="3">
            <reference field="4294967294" count="1" selected="0">
              <x v="0"/>
            </reference>
            <reference field="0" count="1" selected="0">
              <x v="10"/>
            </reference>
            <reference field="1" count="1">
              <x v="3"/>
            </reference>
          </references>
        </pivotArea>
        <pivotArea type="data" collapsedLevelsAreSubtotals="1" fieldPosition="0">
          <references count="3">
            <reference field="4294967294" count="1" selected="0">
              <x v="0"/>
            </reference>
            <reference field="0" count="1" selected="0">
              <x v="11"/>
            </reference>
            <reference field="1" count="2">
              <x v="5"/>
              <x v="8"/>
            </reference>
          </references>
        </pivotArea>
        <pivotArea type="data" collapsedLevelsAreSubtotals="1" fieldPosition="0">
          <references count="3">
            <reference field="4294967294" count="1" selected="0">
              <x v="0"/>
            </reference>
            <reference field="0" count="1" selected="0">
              <x v="13"/>
            </reference>
            <reference field="1" count="1">
              <x v="0"/>
            </reference>
          </references>
        </pivotArea>
        <pivotArea type="data" collapsedLevelsAreSubtotals="1" fieldPosition="0">
          <references count="3">
            <reference field="4294967294" count="1" selected="0">
              <x v="0"/>
            </reference>
            <reference field="0" count="1" selected="0">
              <x v="14"/>
            </reference>
            <reference field="1" count="2">
              <x v="4"/>
              <x v="12"/>
            </reference>
          </references>
        </pivotArea>
        <pivotArea type="data" collapsedLevelsAreSubtotals="1" fieldPosition="0">
          <references count="3">
            <reference field="4294967294" count="1" selected="0">
              <x v="0"/>
            </reference>
            <reference field="0" count="1" selected="0">
              <x v="15"/>
            </reference>
            <reference field="1" count="1">
              <x v="1"/>
            </reference>
          </references>
        </pivotArea>
      </pivotAreas>
    </conditionalFormat>
    <conditionalFormat priority="21">
      <pivotAreas count="9">
        <pivotArea type="data" collapsedLevelsAreSubtotals="1" fieldPosition="0">
          <references count="2">
            <reference field="4294967294" count="1" selected="0">
              <x v="0"/>
            </reference>
            <reference field="0" count="1">
              <x v="2"/>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2">
            <reference field="4294967294" count="1" selected="0">
              <x v="0"/>
            </reference>
            <reference field="0" count="1">
              <x v="7"/>
            </reference>
          </references>
        </pivotArea>
        <pivotArea type="data" collapsedLevelsAreSubtotals="1" fieldPosition="0">
          <references count="2">
            <reference field="4294967294" count="1" selected="0">
              <x v="0"/>
            </reference>
            <reference field="0" count="1">
              <x v="8"/>
            </reference>
          </references>
        </pivotArea>
        <pivotArea type="data" collapsedLevelsAreSubtotals="1" fieldPosition="0">
          <references count="2">
            <reference field="4294967294" count="1" selected="0">
              <x v="0"/>
            </reference>
            <reference field="0" count="1">
              <x v="10"/>
            </reference>
          </references>
        </pivotArea>
        <pivotArea type="data" collapsedLevelsAreSubtotals="1" fieldPosition="0">
          <references count="2">
            <reference field="4294967294" count="1" selected="0">
              <x v="0"/>
            </reference>
            <reference field="0" count="1">
              <x v="11"/>
            </reference>
          </references>
        </pivotArea>
        <pivotArea type="data" collapsedLevelsAreSubtotals="1" fieldPosition="0">
          <references count="2">
            <reference field="4294967294" count="1" selected="0">
              <x v="0"/>
            </reference>
            <reference field="0" count="1">
              <x v="13"/>
            </reference>
          </references>
        </pivotArea>
        <pivotArea type="data" collapsedLevelsAreSubtotals="1" fieldPosition="0">
          <references count="2">
            <reference field="4294967294" count="1" selected="0">
              <x v="0"/>
            </reference>
            <reference field="0" count="1">
              <x v="14"/>
            </reference>
          </references>
        </pivotArea>
        <pivotArea type="data" collapsedLevelsAreSubtotals="1" fieldPosition="0">
          <references count="2">
            <reference field="4294967294" count="1" selected="0">
              <x v="0"/>
            </reference>
            <reference field="0" count="1">
              <x v="15"/>
            </reference>
          </references>
        </pivotArea>
      </pivotAreas>
    </conditionalFormat>
  </conditionalFormats>
  <chartFormats count="2">
    <chartFormat chart="1"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0B05A68-C777-4121-9A57-6A444866629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89:L610" firstHeaderRow="0" firstDataRow="1" firstDataCol="1" rowPageCount="1" colPageCount="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Page" multipleItemSelectionAllowed="1" showAll="0">
      <items count="5">
        <item h="1" x="2"/>
        <item h="1" x="3"/>
        <item x="0"/>
        <item h="1" x="1"/>
        <item t="default"/>
      </items>
    </pivotField>
    <pivotField showAll="0"/>
    <pivotField showAll="0"/>
    <pivotField showAll="0"/>
    <pivotField multipleItemSelectionAllowed="1" showAll="0">
      <items count="178">
        <item h="1" x="136"/>
        <item h="1" x="155"/>
        <item h="1" x="100"/>
        <item h="1" x="30"/>
        <item h="1" x="75"/>
        <item h="1" x="148"/>
        <item h="1" x="158"/>
        <item h="1" x="156"/>
        <item h="1" x="126"/>
        <item h="1" x="66"/>
        <item h="1" x="4"/>
        <item h="1" x="149"/>
        <item h="1" x="76"/>
        <item h="1" x="1"/>
        <item h="1" x="77"/>
        <item h="1" x="164"/>
        <item h="1" x="165"/>
        <item h="1" x="34"/>
        <item h="1" x="142"/>
        <item h="1" x="17"/>
        <item h="1" x="170"/>
        <item h="1" x="23"/>
        <item h="1" x="59"/>
        <item h="1" x="60"/>
        <item h="1" x="114"/>
        <item h="1" x="130"/>
        <item h="1" x="91"/>
        <item h="1" x="67"/>
        <item h="1" x="110"/>
        <item h="1" x="154"/>
        <item h="1" x="84"/>
        <item h="1" x="134"/>
        <item h="1" x="141"/>
        <item h="1" x="118"/>
        <item h="1" x="147"/>
        <item h="1" x="106"/>
        <item h="1" x="12"/>
        <item h="1" x="18"/>
        <item h="1" x="123"/>
        <item h="1" x="27"/>
        <item h="1" x="85"/>
        <item h="1" x="62"/>
        <item h="1" x="96"/>
        <item h="1" x="115"/>
        <item h="1" x="145"/>
        <item h="1" x="47"/>
        <item h="1" x="116"/>
        <item h="1" x="73"/>
        <item h="1" x="74"/>
        <item h="1" x="24"/>
        <item h="1" x="104"/>
        <item h="1" x="109"/>
        <item h="1" x="173"/>
        <item h="1" x="31"/>
        <item h="1" x="45"/>
        <item h="1" x="92"/>
        <item h="1" x="102"/>
        <item h="1" x="125"/>
        <item h="1" x="105"/>
        <item h="1" x="3"/>
        <item h="1" x="8"/>
        <item h="1" x="101"/>
        <item h="1" x="21"/>
        <item h="1" x="168"/>
        <item h="1" x="83"/>
        <item h="1" x="112"/>
        <item h="1" x="49"/>
        <item h="1" x="36"/>
        <item h="1" x="166"/>
        <item h="1" x="140"/>
        <item h="1" x="68"/>
        <item h="1" x="19"/>
        <item h="1" x="9"/>
        <item h="1" x="80"/>
        <item h="1" x="135"/>
        <item h="1" x="58"/>
        <item h="1" x="97"/>
        <item h="1" x="22"/>
        <item h="1" x="79"/>
        <item h="1" x="55"/>
        <item h="1" x="161"/>
        <item h="1" x="111"/>
        <item h="1" x="169"/>
        <item h="1" x="54"/>
        <item h="1" x="33"/>
        <item h="1" x="138"/>
        <item h="1" x="89"/>
        <item h="1" x="117"/>
        <item h="1" x="38"/>
        <item h="1" x="16"/>
        <item h="1" x="99"/>
        <item h="1" x="122"/>
        <item h="1" x="139"/>
        <item h="1" x="93"/>
        <item h="1" x="52"/>
        <item h="1" x="103"/>
        <item h="1" x="151"/>
        <item h="1" x="124"/>
        <item h="1" x="15"/>
        <item h="1" x="90"/>
        <item h="1" x="7"/>
        <item h="1" x="172"/>
        <item h="1" x="29"/>
        <item h="1" x="72"/>
        <item h="1" x="131"/>
        <item h="1" x="10"/>
        <item h="1" x="53"/>
        <item h="1" x="176"/>
        <item h="1" x="86"/>
        <item h="1" x="26"/>
        <item h="1" x="25"/>
        <item h="1" x="163"/>
        <item h="1" x="107"/>
        <item h="1" x="42"/>
        <item h="1" x="159"/>
        <item h="1" x="81"/>
        <item h="1" x="64"/>
        <item h="1" x="6"/>
        <item h="1" x="174"/>
        <item h="1" x="69"/>
        <item h="1" x="171"/>
        <item h="1" x="127"/>
        <item h="1" x="51"/>
        <item h="1" x="157"/>
        <item h="1" x="175"/>
        <item h="1" x="70"/>
        <item h="1" x="120"/>
        <item h="1" x="121"/>
        <item h="1" x="108"/>
        <item h="1" x="150"/>
        <item h="1" x="153"/>
        <item h="1" x="48"/>
        <item h="1" x="162"/>
        <item h="1" x="78"/>
        <item h="1" x="143"/>
        <item h="1" x="82"/>
        <item x="0"/>
        <item h="1" x="133"/>
        <item h="1" x="137"/>
        <item h="1" x="56"/>
        <item h="1" x="98"/>
        <item h="1" x="160"/>
        <item h="1" x="65"/>
        <item h="1" x="57"/>
        <item h="1" x="11"/>
        <item h="1" x="46"/>
        <item h="1" x="35"/>
        <item h="1" x="28"/>
        <item h="1" x="2"/>
        <item h="1" x="41"/>
        <item h="1" x="144"/>
        <item h="1" x="14"/>
        <item h="1" x="128"/>
        <item h="1" x="5"/>
        <item h="1" x="63"/>
        <item h="1" x="13"/>
        <item h="1" x="37"/>
        <item h="1" x="132"/>
        <item h="1" x="88"/>
        <item h="1" x="87"/>
        <item h="1" x="167"/>
        <item h="1" x="71"/>
        <item h="1" x="50"/>
        <item h="1" x="43"/>
        <item h="1" x="61"/>
        <item h="1" x="44"/>
        <item h="1" x="113"/>
        <item h="1" x="40"/>
        <item h="1" x="32"/>
        <item h="1" x="94"/>
        <item h="1" x="95"/>
        <item h="1" x="39"/>
        <item h="1" x="152"/>
        <item h="1" x="119"/>
        <item h="1" x="146"/>
        <item h="1" x="20"/>
        <item h="1" x="129"/>
        <item t="default"/>
      </items>
    </pivotField>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2">
    <field x="11"/>
    <field x="9"/>
  </rowFields>
  <rowItems count="21">
    <i>
      <x v="1"/>
    </i>
    <i r="1">
      <x v="9"/>
    </i>
    <i r="1">
      <x v="10"/>
    </i>
    <i r="1">
      <x v="11"/>
    </i>
    <i r="1">
      <x v="12"/>
    </i>
    <i>
      <x v="2"/>
    </i>
    <i r="1">
      <x v="1"/>
    </i>
    <i r="1">
      <x v="2"/>
    </i>
    <i r="1">
      <x v="3"/>
    </i>
    <i r="1">
      <x v="4"/>
    </i>
    <i r="1">
      <x v="5"/>
    </i>
    <i r="1">
      <x v="6"/>
    </i>
    <i r="1">
      <x v="7"/>
    </i>
    <i r="1">
      <x v="8"/>
    </i>
    <i r="1">
      <x v="9"/>
    </i>
    <i r="1">
      <x v="10"/>
    </i>
    <i r="1">
      <x v="11"/>
    </i>
    <i r="1">
      <x v="12"/>
    </i>
    <i>
      <x v="3"/>
    </i>
    <i r="1">
      <x v="1"/>
    </i>
    <i t="grand">
      <x/>
    </i>
  </rowItems>
  <colFields count="1">
    <field x="-2"/>
  </colFields>
  <colItems count="2">
    <i>
      <x/>
    </i>
    <i i="1">
      <x v="1"/>
    </i>
  </colItems>
  <pageFields count="1">
    <pageField fld="4" hier="-1"/>
  </pageFields>
  <dataFields count="2">
    <dataField name="Sum of amount" fld="3" baseField="0" baseItem="0"/>
    <dataField name="Count of amount2" fld="3" subtotal="count" baseField="11" baseItem="1"/>
  </dataFields>
  <conditionalFormats count="2">
    <conditionalFormat priority="29">
      <pivotAreas count="5">
        <pivotArea type="data" collapsedLevelsAreSubtotals="1" fieldPosition="0">
          <references count="3">
            <reference field="4294967294" count="1" selected="0">
              <x v="1"/>
            </reference>
            <reference field="9" count="4">
              <x v="9"/>
              <x v="10"/>
              <x v="11"/>
              <x v="12"/>
            </reference>
            <reference field="11" count="1" selected="0">
              <x v="1"/>
            </reference>
          </references>
        </pivotArea>
        <pivotArea type="data" collapsedLevelsAreSubtotals="1" fieldPosition="0">
          <references count="2">
            <reference field="4294967294" count="1" selected="0">
              <x v="1"/>
            </reference>
            <reference field="11" count="1">
              <x v="2"/>
            </reference>
          </references>
        </pivotArea>
        <pivotArea type="data" collapsedLevelsAreSubtotals="1" fieldPosition="0">
          <references count="3">
            <reference field="4294967294" count="1" selected="0">
              <x v="1"/>
            </reference>
            <reference field="9" count="12">
              <x v="1"/>
              <x v="2"/>
              <x v="3"/>
              <x v="4"/>
              <x v="5"/>
              <x v="6"/>
              <x v="7"/>
              <x v="8"/>
              <x v="9"/>
              <x v="10"/>
              <x v="11"/>
              <x v="12"/>
            </reference>
            <reference field="11" count="1" selected="0">
              <x v="2"/>
            </reference>
          </references>
        </pivotArea>
        <pivotArea type="data" collapsedLevelsAreSubtotals="1" fieldPosition="0">
          <references count="2">
            <reference field="4294967294" count="1" selected="0">
              <x v="1"/>
            </reference>
            <reference field="11" count="1">
              <x v="3"/>
            </reference>
          </references>
        </pivotArea>
        <pivotArea type="data" collapsedLevelsAreSubtotals="1" fieldPosition="0">
          <references count="3">
            <reference field="4294967294" count="1" selected="0">
              <x v="1"/>
            </reference>
            <reference field="9" count="1">
              <x v="1"/>
            </reference>
            <reference field="11" count="1" selected="0">
              <x v="3"/>
            </reference>
          </references>
        </pivotArea>
      </pivotAreas>
    </conditionalFormat>
    <conditionalFormat priority="30">
      <pivotAreas count="5">
        <pivotArea type="data" collapsedLevelsAreSubtotals="1" fieldPosition="0">
          <references count="3">
            <reference field="4294967294" count="1" selected="0">
              <x v="0"/>
            </reference>
            <reference field="9" count="4">
              <x v="9"/>
              <x v="10"/>
              <x v="11"/>
              <x v="12"/>
            </reference>
            <reference field="11" count="1" selected="0">
              <x v="1"/>
            </reference>
          </references>
        </pivotArea>
        <pivotArea type="data" collapsedLevelsAreSubtotals="1" fieldPosition="0">
          <references count="2">
            <reference field="4294967294" count="1" selected="0">
              <x v="0"/>
            </reference>
            <reference field="11" count="1">
              <x v="2"/>
            </reference>
          </references>
        </pivotArea>
        <pivotArea type="data" collapsedLevelsAreSubtotals="1" fieldPosition="0">
          <references count="3">
            <reference field="4294967294" count="1" selected="0">
              <x v="0"/>
            </reference>
            <reference field="9" count="12">
              <x v="1"/>
              <x v="2"/>
              <x v="3"/>
              <x v="4"/>
              <x v="5"/>
              <x v="6"/>
              <x v="7"/>
              <x v="8"/>
              <x v="9"/>
              <x v="10"/>
              <x v="11"/>
              <x v="12"/>
            </reference>
            <reference field="11" count="1" selected="0">
              <x v="2"/>
            </reference>
          </references>
        </pivotArea>
        <pivotArea type="data" collapsedLevelsAreSubtotals="1" fieldPosition="0">
          <references count="2">
            <reference field="4294967294" count="1" selected="0">
              <x v="0"/>
            </reference>
            <reference field="11" count="1">
              <x v="3"/>
            </reference>
          </references>
        </pivotArea>
        <pivotArea type="data" collapsedLevelsAreSubtotals="1" fieldPosition="0">
          <references count="3">
            <reference field="4294967294" count="1" selected="0">
              <x v="0"/>
            </reference>
            <reference field="9" count="1">
              <x v="1"/>
            </reference>
            <reference field="11"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136B7D2-70B2-478B-8A06-BA0CA16FE2D3}"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
  <location ref="D11:E29" firstHeaderRow="1" firstDataRow="2" firstDataCol="1"/>
  <pivotFields count="12">
    <pivotField showAll="0"/>
    <pivotField numFmtId="14" showAl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showAll="0"/>
    <pivotField dataField="1" showAll="0"/>
    <pivotField axis="axisCol" showAll="0">
      <items count="5">
        <item h="1" x="2"/>
        <item h="1" x="3"/>
        <item x="0"/>
        <item h="1" x="1"/>
        <item t="default"/>
      </items>
    </pivotField>
    <pivotField showAll="0"/>
    <pivotField axis="axisRow" showAll="0">
      <items count="13">
        <item x="4"/>
        <item h="1" x="5"/>
        <item h="1" x="6"/>
        <item h="1" x="7"/>
        <item h="1" x="8"/>
        <item h="1" x="9"/>
        <item h="1" x="10"/>
        <item h="1" x="11"/>
        <item h="1" x="0"/>
        <item x="1"/>
        <item x="2"/>
        <item x="3"/>
        <item t="default"/>
      </items>
    </pivotField>
    <pivotField axis="axisRow" showAll="0">
      <items count="4">
        <item h="1" x="0"/>
        <item x="1"/>
        <item x="2"/>
        <item t="default"/>
      </items>
    </pivotField>
    <pivotField axis="axisRow" showAll="0">
      <items count="178">
        <item x="136"/>
        <item x="155"/>
        <item x="100"/>
        <item x="30"/>
        <item x="75"/>
        <item x="148"/>
        <item x="158"/>
        <item x="156"/>
        <item x="126"/>
        <item x="66"/>
        <item x="4"/>
        <item x="149"/>
        <item x="76"/>
        <item x="1"/>
        <item x="77"/>
        <item x="164"/>
        <item x="165"/>
        <item x="34"/>
        <item x="142"/>
        <item x="17"/>
        <item x="170"/>
        <item x="23"/>
        <item x="59"/>
        <item x="60"/>
        <item x="114"/>
        <item x="130"/>
        <item x="91"/>
        <item x="67"/>
        <item x="110"/>
        <item x="154"/>
        <item x="84"/>
        <item x="134"/>
        <item x="141"/>
        <item x="118"/>
        <item x="147"/>
        <item x="106"/>
        <item x="12"/>
        <item x="18"/>
        <item x="123"/>
        <item x="27"/>
        <item x="85"/>
        <item x="62"/>
        <item x="96"/>
        <item x="115"/>
        <item x="145"/>
        <item x="47"/>
        <item x="116"/>
        <item x="73"/>
        <item x="74"/>
        <item x="24"/>
        <item x="104"/>
        <item x="109"/>
        <item x="173"/>
        <item x="31"/>
        <item x="45"/>
        <item x="92"/>
        <item x="102"/>
        <item x="125"/>
        <item x="105"/>
        <item x="3"/>
        <item x="8"/>
        <item x="101"/>
        <item x="21"/>
        <item x="168"/>
        <item x="83"/>
        <item x="112"/>
        <item x="49"/>
        <item x="36"/>
        <item x="166"/>
        <item x="140"/>
        <item x="68"/>
        <item x="19"/>
        <item x="9"/>
        <item x="80"/>
        <item x="135"/>
        <item x="58"/>
        <item x="97"/>
        <item x="22"/>
        <item x="79"/>
        <item x="55"/>
        <item x="161"/>
        <item x="111"/>
        <item x="169"/>
        <item x="54"/>
        <item x="33"/>
        <item x="138"/>
        <item x="89"/>
        <item x="117"/>
        <item x="38"/>
        <item x="16"/>
        <item x="99"/>
        <item x="122"/>
        <item x="139"/>
        <item x="93"/>
        <item x="52"/>
        <item x="103"/>
        <item x="151"/>
        <item x="124"/>
        <item x="15"/>
        <item x="90"/>
        <item x="7"/>
        <item x="172"/>
        <item x="29"/>
        <item x="72"/>
        <item x="131"/>
        <item x="10"/>
        <item x="53"/>
        <item x="176"/>
        <item x="86"/>
        <item x="26"/>
        <item x="25"/>
        <item x="163"/>
        <item x="107"/>
        <item x="42"/>
        <item x="159"/>
        <item x="81"/>
        <item x="64"/>
        <item x="6"/>
        <item x="174"/>
        <item x="69"/>
        <item x="171"/>
        <item x="127"/>
        <item x="51"/>
        <item x="157"/>
        <item x="175"/>
        <item x="70"/>
        <item x="120"/>
        <item x="121"/>
        <item x="108"/>
        <item x="150"/>
        <item x="153"/>
        <item x="48"/>
        <item x="162"/>
        <item x="78"/>
        <item x="143"/>
        <item x="82"/>
        <item x="0"/>
        <item x="133"/>
        <item x="137"/>
        <item x="56"/>
        <item x="98"/>
        <item x="160"/>
        <item x="65"/>
        <item x="57"/>
        <item x="11"/>
        <item x="46"/>
        <item x="35"/>
        <item x="28"/>
        <item x="2"/>
        <item x="41"/>
        <item x="144"/>
        <item x="14"/>
        <item x="128"/>
        <item x="5"/>
        <item x="63"/>
        <item x="13"/>
        <item x="37"/>
        <item x="132"/>
        <item x="88"/>
        <item x="87"/>
        <item x="167"/>
        <item x="71"/>
        <item x="50"/>
        <item x="43"/>
        <item x="61"/>
        <item x="44"/>
        <item x="113"/>
        <item x="40"/>
        <item x="32"/>
        <item x="94"/>
        <item x="95"/>
        <item x="39"/>
        <item x="152"/>
        <item x="119"/>
        <item x="146"/>
        <item x="20"/>
        <item x="129"/>
        <item t="default"/>
      </items>
    </pivotField>
    <pivotField showAll="0" defaultSubtotal="0">
      <items count="14">
        <item sd="0" x="0"/>
        <item sd="0" x="1"/>
        <item sd="0" x="2"/>
        <item sd="0" x="3"/>
        <item sd="0" x="4"/>
        <item sd="0" x="5"/>
        <item sd="0" x="6"/>
        <item sd="0" x="7"/>
        <item sd="0" x="8"/>
        <item sd="0" x="9"/>
        <item sd="0" x="10"/>
        <item x="11"/>
        <item sd="0" x="12"/>
        <item sd="0" x="13"/>
      </items>
    </pivotField>
    <pivotField showAll="0" defaultSubtotal="0">
      <items count="6">
        <item sd="0" x="0"/>
        <item sd="0" x="1"/>
        <item sd="0" x="2"/>
        <item sd="0" x="3"/>
        <item sd="0" x="4"/>
        <item sd="0" x="5"/>
      </items>
    </pivotField>
    <pivotField showAll="0" defaultSubtotal="0">
      <items count="5">
        <item sd="0" x="0"/>
        <item sd="0" x="1"/>
        <item x="2"/>
        <item sd="0" x="3"/>
        <item sd="0" x="4"/>
      </items>
    </pivotField>
  </pivotFields>
  <rowFields count="3">
    <field x="7"/>
    <field x="6"/>
    <field x="8"/>
  </rowFields>
  <rowItems count="17">
    <i>
      <x v="1"/>
    </i>
    <i r="1">
      <x/>
    </i>
    <i r="2">
      <x v="136"/>
    </i>
    <i r="1">
      <x v="9"/>
    </i>
    <i r="2">
      <x/>
    </i>
    <i r="2">
      <x v="136"/>
    </i>
    <i r="1">
      <x v="10"/>
    </i>
    <i r="2">
      <x v="34"/>
    </i>
    <i r="2">
      <x v="136"/>
    </i>
    <i r="2">
      <x v="174"/>
    </i>
    <i r="1">
      <x v="11"/>
    </i>
    <i r="2">
      <x v="1"/>
    </i>
    <i r="2">
      <x v="136"/>
    </i>
    <i>
      <x v="2"/>
    </i>
    <i r="1">
      <x/>
    </i>
    <i r="2">
      <x v="136"/>
    </i>
    <i t="grand">
      <x/>
    </i>
  </rowItems>
  <colFields count="1">
    <field x="4"/>
  </colFields>
  <colItems count="1">
    <i>
      <x v="2"/>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850E79C8-F917-456C-B867-2ADBEA1E6CF7}" autoFormatId="16" applyNumberFormats="0" applyBorderFormats="0" applyFontFormats="0" applyPatternFormats="0" applyAlignmentFormats="0" applyWidthHeightFormats="0">
  <queryTableRefresh nextId="7">
    <queryTableFields count="6">
      <queryTableField id="1" name="trans_no" tableColumnId="1"/>
      <queryTableField id="2" name="date" tableColumnId="2"/>
      <queryTableField id="3" name="details" tableColumnId="3"/>
      <queryTableField id="4" name="amount" tableColumnId="4"/>
      <queryTableField id="5" name="transaction" tableColumnId="5"/>
      <queryTableField id="6" name="transaction_mod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1" xr10:uid="{24EDB114-689C-49F1-A438-8D79B0A48DD6}" sourceName="transaction">
  <pivotTables>
    <pivotTable tabId="4" name="monthly_expenses_and_income"/>
  </pivotTables>
  <data>
    <tabular pivotCacheId="1526145927">
      <items count="4">
        <i x="2"/>
        <i x="3" s="1"/>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 xr10:uid="{4557B2C9-66C3-45CE-A6FD-942EF1B04180}" sourceName="transaction">
  <pivotTables>
    <pivotTable tabId="4" name="total_expenses_income_per_details"/>
  </pivotTables>
  <data>
    <tabular pivotCacheId="1526145927">
      <items count="4">
        <i x="2"/>
        <i x="3" s="1"/>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2" xr10:uid="{D02307A4-0ED6-41C8-8700-7BD53E664E5A}" sourceName="transaction">
  <pivotTables>
    <pivotTable tabId="4" name="PivotTable5"/>
  </pivotTables>
  <data>
    <tabular pivotCacheId="1526145927">
      <items count="4">
        <i x="2"/>
        <i x="3" s="1"/>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3" xr10:uid="{00ED8F05-2E9C-4434-B119-60493CFC606E}" sourceName="transaction">
  <pivotTables>
    <pivotTable tabId="18" name="PivotTable11"/>
    <pivotTable tabId="20" name="PivotTable1"/>
  </pivotTables>
  <data>
    <tabular pivotCacheId="1526145927">
      <items count="4">
        <i x="2"/>
        <i x="3"/>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BF7D855-5A57-4C11-9308-2997971797E2}" sourceName="month">
  <pivotTables>
    <pivotTable tabId="18" name="PivotTable11"/>
    <pivotTable tabId="20" name="PivotTable1"/>
  </pivotTables>
  <data>
    <tabular pivotCacheId="1526145927">
      <items count="12">
        <i x="4" s="1"/>
        <i x="5"/>
        <i x="6"/>
        <i x="7"/>
        <i x="8"/>
        <i x="9"/>
        <i x="10"/>
        <i x="11"/>
        <i x="0"/>
        <i x="1"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71B24E8-4B1A-4262-9D64-36E1F24A385B}" sourceName="year">
  <pivotTables>
    <pivotTable tabId="18" name="PivotTable11"/>
    <pivotTable tabId="20" name="PivotTable1"/>
  </pivotTables>
  <data>
    <tabular pivotCacheId="1526145927">
      <items count="3">
        <i x="0"/>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4" xr10:uid="{248D66FD-DC22-41CD-AFF1-750C2B7909D2}" sourceName="transaction">
  <pivotTables>
    <pivotTable tabId="4" name="PivotTable1"/>
  </pivotTables>
  <data>
    <tabular pivotCacheId="1526145927">
      <items count="4">
        <i x="2"/>
        <i x="3"/>
        <i x="0" s="1"/>
        <i x="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4A7195EB-B95C-4A85-86FB-C03E1544E5A0}" sourceName="month">
  <pivotTables>
    <pivotTable tabId="4" name="PivotTable1"/>
  </pivotTables>
  <data>
    <tabular pivotCacheId="1526145927">
      <items count="12">
        <i x="4"/>
        <i x="5"/>
        <i x="6"/>
        <i x="7"/>
        <i x="8"/>
        <i x="9"/>
        <i x="10"/>
        <i x="11"/>
        <i x="0"/>
        <i x="1"/>
        <i x="2" s="1"/>
        <i x="3"/>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B49D894C-730B-4E1E-8BF1-A8B53046FB9E}" sourceName="year">
  <pivotTables>
    <pivotTable tabId="4" name="PivotTable1"/>
  </pivotTables>
  <data>
    <tabular pivotCacheId="1526145927">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1" xr10:uid="{DA3E03CB-F57A-4209-8321-F3001851CBF8}" cache="Slicer_transaction1" caption="transaction" rowHeight="247650"/>
  <slicer name="transaction" xr10:uid="{1B3AEA34-CE52-4A75-A3DE-C490A25E9528}" cache="Slicer_transaction" caption="transaction" rowHeight="247650"/>
  <slicer name="transaction 2" xr10:uid="{15E77F55-D7D7-4A52-A5DF-7825F9FF87CE}" cache="Slicer_transaction2" caption="transaction" rowHeight="247650"/>
  <slicer name="transaction 4" xr10:uid="{78DE0FEC-02DA-405F-8564-00F5FBF7C324}" cache="Slicer_transaction4" caption="transaction" rowHeight="247650"/>
  <slicer name="month 1" xr10:uid="{39B07D17-CA18-4D26-8195-0187C41A58FE}" cache="Slicer_month1" caption="month" startItem="4" rowHeight="247650"/>
  <slicer name="year 1" xr10:uid="{27A5769C-EC20-436A-9AE4-458401DED469}" cache="Slicer_year1"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3" xr10:uid="{5C00B74A-FF89-4BE0-A264-B51DDF9F3EF7}" cache="Slicer_transaction3" caption="transaction" rowHeight="247650"/>
  <slicer name="month" xr10:uid="{8F0A4DB3-8E24-4B14-8CAD-584298677D6A}" cache="Slicer_month" caption="month" startItem="6" rowHeight="247650"/>
  <slicer name="year" xr10:uid="{81679328-B4A1-46B1-9291-72926A043C64}" cache="Slicer_year" caption="year" rowHeight="247650"/>
</slicers>
</file>

<file path=xl/tables/_rels/table3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5C7907-C516-440F-96CB-3CB9206E54AC}" name="expen_income_netincome" displayName="expen_income_netincome" ref="H3:L18" totalsRowShown="0">
  <autoFilter ref="H3:L18" xr:uid="{3B5C7907-C516-440F-96CB-3CB9206E54AC}"/>
  <tableColumns count="5">
    <tableColumn id="1" xr3:uid="{0794A96C-B98C-4B52-AFE1-2FD2FFBCC579}" name="month_year" dataDxfId="89"/>
    <tableColumn id="2" xr3:uid="{B9C84689-62D1-4876-8C98-4EC9960A3359}" name="Expenses" dataDxfId="88"/>
    <tableColumn id="3" xr3:uid="{D42396CD-A4A3-43B3-9233-659175199D5F}" name="Income" dataDxfId="87"/>
    <tableColumn id="4" xr3:uid="{9BC2E410-A73E-49C6-93CD-1BFC229AE193}" name="Net Income" dataDxfId="86">
      <calculatedColumnFormula>expen_income_netincome[[#This Row],[Income]] - expen_income_netincome[[#This Row],[Expenses]]</calculatedColumnFormula>
    </tableColumn>
    <tableColumn id="5" xr3:uid="{7999A089-8FC1-49C3-9B8F-5443105C555E}" name="Income Growth Rate" dataDxfId="85">
      <calculatedColumnFormula>IFERROR(ROUND((expen_income_netincome[[#This Row],[Income]] - J3) /J3 * 100, 2),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150E44-664A-43B1-874C-7AA92976E963}" name="statsummary_expen_income_netincome" displayName="statsummary_expen_income_netincome" ref="N3:Q11" totalsRowShown="0">
  <autoFilter ref="N3:Q11" xr:uid="{23150E44-664A-43B1-874C-7AA92976E963}"/>
  <tableColumns count="4">
    <tableColumn id="1" xr3:uid="{FE748C33-9D88-4261-A2EA-0FF4BB80FC17}" name="stat"/>
    <tableColumn id="2" xr3:uid="{75AB8BB7-E3F3-41AA-85E1-ECA85A2806E0}" name="Expenses"/>
    <tableColumn id="3" xr3:uid="{ABA5B97B-1818-4D35-A6DA-11ADA87FFE64}" name="Income"/>
    <tableColumn id="4" xr3:uid="{74E65EBA-EB75-446E-A92A-4DF9A1E285C2}" name="Net Inco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0C89FC7-0859-4985-88BF-396F151CC512}" name="Table710" displayName="Table710" ref="P35:Q43" totalsRowShown="0">
  <autoFilter ref="P35:Q43" xr:uid="{60C89FC7-0859-4985-88BF-396F151CC512}"/>
  <tableColumns count="2">
    <tableColumn id="1" xr3:uid="{653AE523-207A-4D79-B5D9-058F4E34A215}" name="stat"/>
    <tableColumn id="2" xr3:uid="{35F47CA6-420F-4196-B7EB-C58D4A6E6DCB}" name="Expens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F91BEB3-65C5-4C99-AC7A-394C0DB5F5D8}" name="Table10" displayName="Table10" ref="T36:U85" totalsRowShown="0">
  <autoFilter ref="T36:U85" xr:uid="{5F91BEB3-65C5-4C99-AC7A-394C0DB5F5D8}"/>
  <tableColumns count="2">
    <tableColumn id="1" xr3:uid="{6982C806-B3AC-4533-8A8E-B769D80BE66D}" name="date" dataDxfId="84"/>
    <tableColumn id="2" xr3:uid="{B4429CC2-903F-4E64-9A6A-B96ADCD8AF6F}" name="supa_expenses" dataDxfId="8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2BDE0EC-7BF6-4FE4-83E1-15A8FDC56158}" name="Table11" displayName="Table11" ref="AB6:AD19" totalsRowShown="0">
  <autoFilter ref="AB6:AD19" xr:uid="{E2BDE0EC-7BF6-4FE4-83E1-15A8FDC56158}"/>
  <tableColumns count="3">
    <tableColumn id="1" xr3:uid="{231A54F3-CCA5-402E-9E2B-78777B9D4FF9}" name="Gcash Transactions" dataDxfId="82"/>
    <tableColumn id="2" xr3:uid="{8CD78EBE-EA9A-4EBE-B2F1-AF11715C84F9}" name="Sum"/>
    <tableColumn id="3" xr3:uid="{0F96C558-44B8-4337-B46B-62BC9C3278EB}" name="Cou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81C628-4CBD-4EE7-8D9D-C48E52224CEE}" name="Table12" displayName="Table12" ref="AF6:AL19" totalsRowShown="0">
  <autoFilter ref="AF6:AL19" xr:uid="{1081C628-4CBD-4EE7-8D9D-C48E52224CEE}"/>
  <tableColumns count="7">
    <tableColumn id="1" xr3:uid="{37C9D24A-4E23-4988-8398-16C665FF64FF}" name="month" dataDxfId="81">
      <calculatedColumnFormula>'Pivot &amp; derived tables'!H6</calculatedColumnFormula>
    </tableColumn>
    <tableColumn id="5" xr3:uid="{29A82D06-1C02-4B3C-82D8-781857DE4249}" name="expenses" dataDxfId="80"/>
    <tableColumn id="2" xr3:uid="{8C4CF5BC-5107-48E9-A6B2-21E17444C3B4}" name="expenses_mov_ave" dataDxfId="79">
      <calculatedColumnFormula>ROUND(AVERAGE('Pivot &amp; derived tables'!I4:I6), 2)</calculatedColumnFormula>
    </tableColumn>
    <tableColumn id="6" xr3:uid="{E69E3DD2-D703-43A4-82E6-39C89F53795C}" name="income"/>
    <tableColumn id="3" xr3:uid="{DEEE6338-BB85-4A2A-B477-91EBF9EF54DD}" name="income_mov_ave" dataDxfId="78">
      <calculatedColumnFormula>ROUND(AVERAGE('Pivot &amp; derived tables'!J4:J6), 2)</calculatedColumnFormula>
    </tableColumn>
    <tableColumn id="7" xr3:uid="{2BBC65D6-2F40-4125-9186-FEF6717C110A}" name="net income" dataDxfId="77">
      <calculatedColumnFormula>J6 - I6</calculatedColumnFormula>
    </tableColumn>
    <tableColumn id="4" xr3:uid="{1AEEC665-3CB9-4A68-B83C-AFFFBDE15411}" name="net_income_mov_ave" dataDxfId="76">
      <calculatedColumnFormula>ROUND(AVERAGE('Pivot &amp; derived tables'!K4:K6), 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850920C-3E5F-4AEC-9058-46417662F770}" name="Table23" displayName="Table23" ref="X32:AB47" totalsRowShown="0">
  <autoFilter ref="X32:AB47" xr:uid="{A850920C-3E5F-4AEC-9058-46417662F770}"/>
  <tableColumns count="5">
    <tableColumn id="1" xr3:uid="{53F025AC-7B8E-4E7C-91CC-4A22886AA6F8}" name="details"/>
    <tableColumn id="2" xr3:uid="{CB5FFCEC-BD37-4F0F-A1D1-1E32E8CEA853}" name="amount"/>
    <tableColumn id="3" xr3:uid="{91692946-D604-4CFE-ACDF-9324E356EA4E}" name="count"/>
    <tableColumn id="4" xr3:uid="{830566F9-E6DE-42BA-A1DB-75B250C330C7}" name="average"/>
    <tableColumn id="6" xr3:uid="{CC338683-35F2-4483-BD2A-01DC0AE7529D}" name="percentage" dataDxfId="75">
      <calculatedColumnFormula>ROUND(Table23[[#This Row],[amount]] / SUM(Table23[amount]) * 100, 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2685C22-63F8-4FB6-AF65-8D1ECFD35B12}" name="Table414" displayName="Table414" ref="A3:F6" totalsRowShown="0" dataDxfId="68" dataCellStyle="Currency">
  <autoFilter ref="A3:F6" xr:uid="{F2685C22-63F8-4FB6-AF65-8D1ECFD35B12}"/>
  <tableColumns count="6">
    <tableColumn id="1" xr3:uid="{9B1D00B9-CDFD-44D9-AE14-FC06EEC36C7E}" name="KPI" dataDxfId="67"/>
    <tableColumn id="2" xr3:uid="{C221102C-6AB4-4D65-8A04-E0CB9ABB8016}" name="Total" dataDxfId="66" dataCellStyle="Currency"/>
    <tableColumn id="3" xr3:uid="{0094CC7A-98EF-49C6-9D17-B4BC8CF02785}" name="Monthly Average" dataDxfId="65" dataCellStyle="Currency"/>
    <tableColumn id="4" xr3:uid="{C310440B-C221-4A79-B953-240D487B3A5E}" name="Monthly Median" dataDxfId="64" dataCellStyle="Currency"/>
    <tableColumn id="5" xr3:uid="{92AC8999-CAD4-4D6B-AA69-E77B268F81A9}" name="Growth Rate" dataDxfId="63" dataCellStyle="Currency">
      <calculatedColumnFormula>('Pivot &amp; derived tables'!I17 - 'Pivot &amp; derived tables'!I18) / 'Pivot &amp; derived tables'!I17</calculatedColumnFormula>
    </tableColumn>
    <tableColumn id="6" xr3:uid="{552A4288-456F-4556-933D-5D87DFFCA9F5}" name="Latest Month Record" dataDxfId="62" dataCellStyle="Currency">
      <calculatedColumnFormula>'Pivot &amp; derived tables'!I18</calculatedColumnFormula>
    </tableColumn>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F403D88-85F9-44DF-B542-9BFEB80EF646}" name="Table17" displayName="Table17" ref="H11:L15" totalsRowShown="0">
  <autoFilter ref="H11:L15" xr:uid="{BF403D88-85F9-44DF-B542-9BFEB80EF646}"/>
  <tableColumns count="5">
    <tableColumn id="1" xr3:uid="{858E7E19-B192-49C2-9040-9987AC3AFF96}" name="Month (in 2025)" dataDxfId="61"/>
    <tableColumn id="2" xr3:uid="{A0CB97D2-EDB9-4F06-980F-982F2BB5D73F}" name="Expenses" dataDxfId="60"/>
    <tableColumn id="3" xr3:uid="{60B68BFD-CF2C-42AE-B6A3-893CECD221AB}" name="Income" dataDxfId="59"/>
    <tableColumn id="4" xr3:uid="{660774F6-C21B-4DF5-91FE-3B30D0CFE077}" name="Net Income" dataDxfId="58">
      <calculatedColumnFormula>Table17[[#This Row],[Income]] - Table17[[#This Row],[Expenses]]</calculatedColumnFormula>
    </tableColumn>
    <tableColumn id="5" xr3:uid="{2BB21BDB-B368-4709-99F3-B8B05ABA49D3}" name="Net Income Growth %" dataDxfId="57">
      <calculatedColumnFormula>IFERROR(ROUND((Table17[[#This Row],[Net Income]] - K11) / K11 * 100, 2), "")</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24BBA0A-87DA-4F3B-B188-A6C15BC06B8E}" name="Table16" displayName="Table16" ref="F72:J114" totalsRowShown="0">
  <autoFilter ref="F72:J114" xr:uid="{724BBA0A-87DA-4F3B-B188-A6C15BC06B8E}"/>
  <tableColumns count="5">
    <tableColumn id="1" xr3:uid="{C9E41931-DAB3-4444-8F13-9A7D5886E1BC}" name="transaction_detail" dataDxfId="56"/>
    <tableColumn id="2" xr3:uid="{7BD4C2D3-C650-460B-AF6F-84FC05B8E761}" name="expenses" dataDxfId="55"/>
    <tableColumn id="3" xr3:uid="{8C0905EB-364D-4316-8219-3A43C144A896}" name="expense_prcnt" dataDxfId="54"/>
    <tableColumn id="4" xr3:uid="{08CE1A54-67FB-4671-85DB-ABD55FE671AF}" name="count" dataDxfId="53"/>
    <tableColumn id="5" xr3:uid="{A1B8CA28-BCC4-4853-B612-1BA31669DDEB}" name="category"/>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FF7A96E-A489-4510-8274-7C0DD86202EB}" name="Table22" displayName="Table22" ref="G120:L128" totalsRowShown="0">
  <autoFilter ref="G120:L128" xr:uid="{7FF7A96E-A489-4510-8274-7C0DD86202EB}"/>
  <tableColumns count="6">
    <tableColumn id="1" xr3:uid="{F810404D-365F-4360-B77B-D0B098953FD6}" name="category"/>
    <tableColumn id="2" xr3:uid="{2790DD05-CE52-416C-8326-E9F144AA88A2}" name="expense"/>
    <tableColumn id="3" xr3:uid="{46E3A758-1B93-4BA5-86C8-01B775218237}" name="expense_propxn"/>
    <tableColumn id="5" xr3:uid="{F713659A-DB5A-457D-8A85-F04023F8F199}" name="expense_prcnt" dataDxfId="52">
      <calculatedColumnFormula>ROUND(Table22[[#This Row],[expense_propxn]] * 100, 2)</calculatedColumnFormula>
    </tableColumn>
    <tableColumn id="4" xr3:uid="{317DC996-9EDE-4E95-B5AC-0834C92C1DBF}" name="count"/>
    <tableColumn id="6" xr3:uid="{F18CC9B6-0E84-45DE-8D3D-63C18F5FC6B1}" name="average_rounded" dataDxfId="51">
      <calculatedColumnFormula>ROUND(Table22[[#This Row],[expense]]/Table22[[#This Row],[count]], 2)</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42B860-403C-410D-A932-4244162BD8C5}" name="Table4" displayName="Table4" ref="I3:K5" totalsRowShown="0">
  <autoFilter ref="I3:K5" xr:uid="{7C42B860-403C-410D-A932-4244162BD8C5}"/>
  <tableColumns count="3">
    <tableColumn id="1" xr3:uid="{198A056F-ACCA-46FA-8D90-D9BB5C029F3B}" name="Income scope"/>
    <tableColumn id="2" xr3:uid="{BA20FB6D-4882-481A-A791-FBF44EFC7A72}" name="Expeneses">
      <calculatedColumnFormula>ROUND(F5/Table414[[#This Row],[Latest Month Record]] * 100, 2)</calculatedColumnFormula>
    </tableColumn>
    <tableColumn id="3" xr3:uid="{2D1C0450-52D7-4731-8285-CAF486C48A50}" name="Net Income" dataDxfId="50">
      <calculatedColumnFormula>ROUND(F6/F5 * 100, 2)</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D9557A1-837D-4E1D-BCA1-9FA73399A731}" name="Table21" displayName="Table21" ref="J521:L525" totalsRowShown="0">
  <autoFilter ref="J521:L525" xr:uid="{0D9557A1-837D-4E1D-BCA1-9FA73399A731}"/>
  <tableColumns count="3">
    <tableColumn id="1" xr3:uid="{D54CBEBC-E7C3-4A08-9531-9F209E018522}" name="date" dataDxfId="49"/>
    <tableColumn id="2" xr3:uid="{51B1335A-C125-4B73-9ED0-C9478358AB5F}" name="detail" dataDxfId="48"/>
    <tableColumn id="3" xr3:uid="{02C1DF11-F0BB-45B9-95D2-35974FF53FCA}" name="income" dataDxfId="4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610C3C2-0C5B-4F80-83AE-3ECEE89640A5}" name="Table24" displayName="Table24" ref="E590:H619" totalsRowShown="0">
  <autoFilter ref="E590:H619" xr:uid="{B610C3C2-0C5B-4F80-83AE-3ECEE89640A5}"/>
  <tableColumns count="4">
    <tableColumn id="1" xr3:uid="{213A7486-2200-4718-A3D0-843A70109D93}" name="date" dataDxfId="46"/>
    <tableColumn id="2" xr3:uid="{E789BDDC-C97E-42F0-AE5C-6D86C8481B9B}" name="detail"/>
    <tableColumn id="3" xr3:uid="{C2BB6D48-3CFC-4C2B-B1B7-5CAFC4324F50}" name="sum income"/>
    <tableColumn id="4" xr3:uid="{8E1FA6B1-8D62-48FA-A10A-07F92E554E49}" name="count of transactio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297D93D-5E4B-4880-B69A-9BFD1E33CF3D}" name="Table15" displayName="Table15" ref="F401:I413" totalsRowShown="0">
  <autoFilter ref="F401:I413" xr:uid="{5297D93D-5E4B-4880-B69A-9BFD1E33CF3D}"/>
  <tableColumns count="4">
    <tableColumn id="1" xr3:uid="{8368B4CF-D181-4F61-AF60-D6F0E8E9E5D6}" name="Date" dataDxfId="45"/>
    <tableColumn id="2" xr3:uid="{F9BD990F-4EC7-4C81-8CC6-1EFF5CFB51E0}" name="Monthly Expenses"/>
    <tableColumn id="3" xr3:uid="{1B2D73B8-4025-48CE-AC49-867FDC62E590}" name="Purchase Count"/>
    <tableColumn id="4" xr3:uid="{B9964C90-32E8-42C7-892A-52E62BFF9592}" name="per Purchase Averag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060300D-F7C1-4517-8FAB-6FEC10A730A2}" name="Table19" displayName="Table19" ref="N260:Q265" totalsRowShown="0">
  <autoFilter ref="N260:Q265" xr:uid="{2060300D-F7C1-4517-8FAB-6FEC10A730A2}"/>
  <tableColumns count="4">
    <tableColumn id="1" xr3:uid="{ED62ABD0-0322-4BA0-9ABC-898F3AFEAA32}" name="Detail"/>
    <tableColumn id="2" xr3:uid="{9B75C9DA-8A37-4A2E-B196-1CBA5D67523D}" name="Rank"/>
    <tableColumn id="3" xr3:uid="{8F8AF29A-8893-4A1D-957C-DAEF9790292E}" name="Sum"/>
    <tableColumn id="4" xr3:uid="{98304544-98E8-4FBD-A8F9-F4C7F8C433F0}" name="Count" dataDxfId="4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25A83D8-346B-42FF-B500-78AEE8613E43}" name="Table20" displayName="Table20" ref="I236:P256" totalsRowShown="0">
  <autoFilter ref="I236:P256" xr:uid="{525A83D8-346B-42FF-B500-78AEE8613E43}"/>
  <tableColumns count="8">
    <tableColumn id="1" xr3:uid="{4D284220-9931-4ADC-96B2-1B783A0A7EE0}" name="Detail"/>
    <tableColumn id="2" xr3:uid="{F17F7709-1666-41CB-A980-120C93528820}" name="Sum of G-cash Expenses"/>
    <tableColumn id="3" xr3:uid="{187FF379-2B22-4A10-94C3-80596A1B15EE}" name="Count of G-cash"/>
    <tableColumn id="4" xr3:uid="{7C23E1E2-9710-4A70-B844-F65AC43DC67C}" name="Total Expenses"/>
    <tableColumn id="5" xr3:uid="{20EC9820-11B4-4C81-97D9-FFD2F491CE5C}" name="Total Count"/>
    <tableColumn id="6" xr3:uid="{B09356B8-A609-44BD-A9D4-DDF2A3EDB3AA}" name="Rank"/>
    <tableColumn id="7" xr3:uid="{25B75B9C-6821-4E93-8489-9D4AF31D348B}" name="G-cash Percentage" dataDxfId="43">
      <calculatedColumnFormula>ROUND(Table20[[#This Row],[Sum of G-cash Expenses]]/Table20[[#This Row],[Total Expenses]] * 100, 2)</calculatedColumnFormula>
    </tableColumn>
    <tableColumn id="8" xr3:uid="{17469AC0-9680-4A15-9F3D-3948CF478B76}" name="Total Percentage" dataDxfId="42">
      <calculatedColumnFormula>ROUND(Table20[[#This Row],[Total Expenses]] / $B$4 * 100, 2)</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24BF997-79B8-4FBD-8245-E2478DAEF954}" name="Table26" displayName="Table26" ref="R236:S238" totalsRowShown="0">
  <autoFilter ref="R236:S238" xr:uid="{224BF997-79B8-4FBD-8245-E2478DAEF954}"/>
  <tableColumns count="2">
    <tableColumn id="1" xr3:uid="{0EEC6189-60FC-45DC-A1FD-978EB4E8AEA7}" name="statistic" dataDxfId="41"/>
    <tableColumn id="2" xr3:uid="{5D15E260-B26D-457B-8EF6-EBCA4F340E82}" name="value">
      <calculatedColumnFormula>ROUND(S236 / B3 * 100, 2)</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7119C50-D8EB-4381-8945-B816660C5D55}" name="Table27" displayName="Table27" ref="K401:L410" totalsRowShown="0">
  <autoFilter ref="K401:L410" xr:uid="{07119C50-D8EB-4381-8945-B816660C5D55}"/>
  <tableColumns count="2">
    <tableColumn id="1" xr3:uid="{2A49631B-FD59-4D41-B2F1-AACAC555B1B7}" name="details" dataDxfId="40"/>
    <tableColumn id="2" xr3:uid="{7B1F5C96-1E74-43D5-BADE-F320B7469135}" name="valu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2E4A738-6C17-4DE6-A019-FA6B1E3A191E}" name="Table28" displayName="Table28" ref="F417:G426" totalsRowShown="0">
  <autoFilter ref="F417:G426" xr:uid="{62E4A738-6C17-4DE6-A019-FA6B1E3A191E}"/>
  <tableColumns count="2">
    <tableColumn id="1" xr3:uid="{547DC59C-1739-4F93-96A0-D1D3134399A4}" name="detail" dataDxfId="39"/>
    <tableColumn id="2" xr3:uid="{61002916-6588-4A20-8FCF-8ADA6078F67F}" name="valu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58EFA4D-8C58-48F8-8E4C-646347B4EFA0}" name="Table30" displayName="Table30" ref="O401:P413" totalsRowShown="0">
  <autoFilter ref="O401:P413" xr:uid="{258EFA4D-8C58-48F8-8E4C-646347B4EFA0}"/>
  <tableColumns count="2">
    <tableColumn id="1" xr3:uid="{C1AF826B-24B8-419B-900F-815CF078CF30}" name="Monthly Expenses">
      <calculatedColumnFormula>ABS(Table15[[#This Row],[Monthly Expenses]] - $L$404)</calculatedColumnFormula>
    </tableColumn>
    <tableColumn id="2" xr3:uid="{D20BCBBD-5F9E-4D9D-80F5-D84E2BEC736B}" name="Purchase Count">
      <calculatedColumnFormula>ABS(Table15[[#This Row],[Purchase Count]] - $G$420)</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90E3417-EF1F-403A-9842-0D9E9BE8244B}" name="Table2826" displayName="Table2826" ref="M420:N429" totalsRowShown="0">
  <autoFilter ref="M420:N429" xr:uid="{990E3417-EF1F-403A-9842-0D9E9BE8244B}"/>
  <tableColumns count="2">
    <tableColumn id="1" xr3:uid="{762F320B-ABA1-4CDD-99C7-F3CD085B530E}" name="detail" dataDxfId="38"/>
    <tableColumn id="2" xr3:uid="{84E48816-A332-4858-9C3D-ADD07CE54687}" name="valu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C9C54C2-C89D-423D-BC65-9A3DE8E33D16}" name="Table31" displayName="Table31" ref="I417:K427" totalsRowShown="0">
  <autoFilter ref="I417:K427" xr:uid="{9C9C54C2-C89D-423D-BC65-9A3DE8E33D16}"/>
  <tableColumns count="3">
    <tableColumn id="1" xr3:uid="{1BD60634-AC7F-4080-93A9-7F4F70A4AF00}" name="Date" dataDxfId="37"/>
    <tableColumn id="2" xr3:uid="{0F0AF609-C4FF-438F-AF01-F9D7FBDCAD0E}" name="Expenses2"/>
    <tableColumn id="3" xr3:uid="{5D651DC1-DF04-44CC-A891-8D043547CB74}" name="3-month Average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C0CE522-952A-4403-AABB-4F0420BFBB40}" name="Table32" displayName="Table32" ref="K444:N448" totalsRowShown="0">
  <autoFilter ref="K444:N448" xr:uid="{DC0CE522-952A-4403-AABB-4F0420BFBB40}"/>
  <tableColumns count="4">
    <tableColumn id="1" xr3:uid="{A3192078-4C98-482D-8B00-B45627B817C3}" name="Supa type" dataDxfId="36"/>
    <tableColumn id="2" xr3:uid="{3433D1D9-5CA5-48FA-A29F-865BB9008F81}" name="Count"/>
    <tableColumn id="3" xr3:uid="{AC7B4E97-56AE-4AA7-996F-D3FE8A85CD0F}" name="Sum"/>
    <tableColumn id="4" xr3:uid="{44657CAF-4DDB-4D53-8030-8084CB9B3D75}" name="Percentag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1E2E9E8-DCA4-4C27-9077-E035EDE77F59}" name="cleaned_personal_finance_data15" displayName="cleaned_personal_finance_data15" ref="A1:I672" totalsRowShown="0">
  <autoFilter ref="A1:I672" xr:uid="{31E2E9E8-DCA4-4C27-9077-E035EDE77F59}">
    <filterColumn colId="6">
      <filters>
        <filter val="11"/>
        <filter val="12"/>
      </filters>
    </filterColumn>
    <filterColumn colId="7">
      <filters>
        <filter val="2024"/>
      </filters>
    </filterColumn>
  </autoFilter>
  <tableColumns count="9">
    <tableColumn id="1" xr3:uid="{FACEA8EC-AD67-454B-83DC-B6674D2095D9}" name="trans_no"/>
    <tableColumn id="2" xr3:uid="{20DFA7B1-EBFD-4F6D-AC75-6D6BE5F2C442}" name="date" dataDxfId="35"/>
    <tableColumn id="3" xr3:uid="{B2FA8988-E4E3-4CF9-80FA-93EFD1589B7D}" name="details" dataDxfId="34"/>
    <tableColumn id="4" xr3:uid="{F617A32F-1A42-4C7B-8B83-A40337721AD9}" name="amount"/>
    <tableColumn id="5" xr3:uid="{021852EF-C689-4E6B-842A-E40C8D783886}" name="transaction" dataDxfId="33"/>
    <tableColumn id="6" xr3:uid="{13AE5444-8E36-4564-90ED-6D29E91CA159}" name="transaction_mode" dataDxfId="32"/>
    <tableColumn id="7" xr3:uid="{3236A8B7-6383-4D29-889D-CE7046B0BABE}" name="month" dataDxfId="31">
      <calculatedColumnFormula>MONTH(cleaned_personal_finance_data15[[#This Row],[date]])</calculatedColumnFormula>
    </tableColumn>
    <tableColumn id="8" xr3:uid="{F2241E56-7ECA-430D-AE39-73ED87EECC26}" name="year" dataDxfId="30">
      <calculatedColumnFormula>YEAR(cleaned_personal_finance_data15[[#This Row],[date]])</calculatedColumnFormula>
    </tableColumn>
    <tableColumn id="9" xr3:uid="{C68E0406-F687-4BDA-84E6-35B80DA0E0B9}" name="cleaned_detail" dataDxfId="29"/>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1331FF-CBEB-4454-84C7-40E5228581A4}" name="cleaned_personal_finance_data3" displayName="cleaned_personal_finance_data3" ref="A1:I672" totalsRowShown="0">
  <autoFilter ref="A1:I672" xr:uid="{8D1331FF-CBEB-4454-84C7-40E5228581A4}">
    <filterColumn colId="4">
      <filters>
        <filter val="Expenses"/>
      </filters>
    </filterColumn>
  </autoFilter>
  <tableColumns count="9">
    <tableColumn id="1" xr3:uid="{0988930B-FCA7-4EA8-9323-54EB7CF7944D}" name="trans_no"/>
    <tableColumn id="2" xr3:uid="{7748F827-E886-4DAB-9C4D-0A0BC85CB4F6}" name="date" dataDxfId="28"/>
    <tableColumn id="3" xr3:uid="{9E289E97-8B97-4EAE-86F8-5EAFE4C16551}" name="details" dataDxfId="27"/>
    <tableColumn id="4" xr3:uid="{92860175-6681-42EF-912B-9FE07B24AAB8}" name="amount"/>
    <tableColumn id="5" xr3:uid="{BD67421A-B64D-4A0E-8F64-9D88031F030C}" name="transaction" dataDxfId="26"/>
    <tableColumn id="6" xr3:uid="{EA9A4DAE-FE3F-48FE-9FBD-9691208E2FB8}" name="transaction_mode" dataDxfId="25"/>
    <tableColumn id="7" xr3:uid="{72893D79-0B8B-4A05-8766-0756553B7AF0}" name="month" dataDxfId="24">
      <calculatedColumnFormula>MONTH(cleaned_personal_finance_data3[[#This Row],[date]])</calculatedColumnFormula>
    </tableColumn>
    <tableColumn id="8" xr3:uid="{56991005-0F34-4D0B-BEBD-CA3BC1B7530F}" name="year" dataDxfId="23">
      <calculatedColumnFormula>YEAR(cleaned_personal_finance_data3[[#This Row],[date]])</calculatedColumnFormula>
    </tableColumn>
    <tableColumn id="9" xr3:uid="{C84F6FA2-623E-4B58-9E52-04E453A7C6A5}" name="cleaned_detail" dataDxfId="22"/>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3B1A3F-24A5-4797-8951-D0DD05AC4D80}" name="cleaned_personal_finance_data4" displayName="cleaned_personal_finance_data4" ref="A1:I672" totalsRowShown="0">
  <autoFilter ref="A1:I672" xr:uid="{143B1A3F-24A5-4797-8951-D0DD05AC4D80}">
    <filterColumn colId="4">
      <filters>
        <filter val="Income"/>
      </filters>
    </filterColumn>
  </autoFilter>
  <tableColumns count="9">
    <tableColumn id="1" xr3:uid="{D87D6B95-0C9E-4479-B255-FCC63FC30763}" name="trans_no"/>
    <tableColumn id="2" xr3:uid="{4E4A841C-3049-42EA-BEFC-87BA7A07EC33}" name="date" dataDxfId="21"/>
    <tableColumn id="3" xr3:uid="{34C4A21E-338B-4038-ACE3-24D22A63DD7C}" name="details" dataDxfId="20"/>
    <tableColumn id="4" xr3:uid="{CEED1DE1-F604-470B-8E13-CFAC5A862C89}" name="amount"/>
    <tableColumn id="5" xr3:uid="{5FEAC1A9-3800-4014-94C5-A14DD604ACF7}" name="transaction" dataDxfId="19"/>
    <tableColumn id="6" xr3:uid="{D2EAB166-E2AF-4EDE-B920-FF17F2B07473}" name="transaction_mode" dataDxfId="18"/>
    <tableColumn id="7" xr3:uid="{888ACD05-1313-45E9-9EAC-FF64EFC5FEB2}" name="month" dataDxfId="17">
      <calculatedColumnFormula>MONTH(cleaned_personal_finance_data4[[#This Row],[date]])</calculatedColumnFormula>
    </tableColumn>
    <tableColumn id="8" xr3:uid="{1390A570-73E4-480F-BF1D-725DAE423D66}" name="year" dataDxfId="16">
      <calculatedColumnFormula>YEAR(cleaned_personal_finance_data4[[#This Row],[date]])</calculatedColumnFormula>
    </tableColumn>
    <tableColumn id="9" xr3:uid="{343949DA-F351-4A44-97CE-3D8887CC355C}" name="cleaned_detail" dataDxfId="15"/>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D7A63B1-1FE9-48B4-A594-30BFE5EF8F65}" name="Table8" displayName="Table8" ref="A1:I139" totalsRowShown="0" headerRowDxfId="14">
  <autoFilter ref="A1:I139" xr:uid="{1D7A63B1-1FE9-48B4-A594-30BFE5EF8F65}"/>
  <tableColumns count="9">
    <tableColumn id="1" xr3:uid="{493376A6-C94F-48E4-AB51-23D240D4B036}" name="trans_no"/>
    <tableColumn id="2" xr3:uid="{27C86E33-D43D-400E-8B02-6F35D7089FFB}" name="date"/>
    <tableColumn id="3" xr3:uid="{2048EF79-FCBB-4F6D-97F2-92CD534C0B24}" name="detail"/>
    <tableColumn id="4" xr3:uid="{0033D172-A12B-48EC-AFAC-63A609CFE3BA}" name="amount"/>
    <tableColumn id="5" xr3:uid="{07CA2456-77F7-4675-AD14-82ABC076EFC1}" name="transaction"/>
    <tableColumn id="6" xr3:uid="{A26F3CB2-8015-4DB8-844A-9F071448CEC6}" name="transaction_mode"/>
    <tableColumn id="7" xr3:uid="{8340555B-DDE7-4E83-BE57-D60EE97E4AC1}" name="day"/>
    <tableColumn id="8" xr3:uid="{4518DC93-39BA-4E14-8B13-B06D100EBEC5}" name="year"/>
    <tableColumn id="9" xr3:uid="{8256D9C1-CE1E-4EE2-BB12-2D6B28727F55}" name="cleaned_detail"/>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7A7B1F4-37E9-4345-961B-70215A436A43}" name="Table18" displayName="Table18" ref="A1:I67" totalsRowShown="0">
  <autoFilter ref="A1:I67" xr:uid="{E7A7B1F4-37E9-4345-961B-70215A436A43}"/>
  <tableColumns count="9">
    <tableColumn id="1" xr3:uid="{67C09A60-5FB4-4BE9-9F7E-0E4959FA9A43}" name="trans_no"/>
    <tableColumn id="2" xr3:uid="{69CAB2F2-8C02-40B0-A419-105429715122}" name="date"/>
    <tableColumn id="3" xr3:uid="{1E369C07-6913-467B-81AF-B44D4B541BEC}" name="details"/>
    <tableColumn id="4" xr3:uid="{34EFD57B-25B7-4328-9F81-9D87569A4D4F}" name="amount"/>
    <tableColumn id="5" xr3:uid="{2E9EBD25-6B05-48DD-9B36-00DF7A2C1D96}" name="transaction"/>
    <tableColumn id="6" xr3:uid="{ABC6FF7D-7D5B-4914-AED3-4227B63A10BD}" name="transaction_mode"/>
    <tableColumn id="7" xr3:uid="{8B802925-85F1-4ADA-9F62-DD0099F186E6}" name="month"/>
    <tableColumn id="8" xr3:uid="{09827CE4-CBE7-4EA4-8738-07392B066C36}" name="year"/>
    <tableColumn id="9" xr3:uid="{4D7824FD-5831-46B4-8ACE-CE3B02EFFFBE}" name="cleaned_detail"/>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87D29AE-3331-4EC5-8919-35856B3A4D5D}" name="Table29" displayName="Table29" ref="N1:N67" totalsRowShown="0">
  <autoFilter ref="N1:N67" xr:uid="{C87D29AE-3331-4EC5-8919-35856B3A4D5D}"/>
  <tableColumns count="1">
    <tableColumn id="1" xr3:uid="{EB68A762-A8FA-42A0-A123-DE1CE89A8F19}" name="amount"/>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6C5D75-269B-41BD-8E86-C274D3F3C91D}" name="cleaned_personal_finance_data" displayName="cleaned_personal_finance_data" ref="A2:I673" totalsRowShown="0">
  <autoFilter ref="A2:I673" xr:uid="{5B6C5D75-269B-41BD-8E86-C274D3F3C91D}"/>
  <tableColumns count="9">
    <tableColumn id="1" xr3:uid="{F1A0D426-168E-4F1E-A597-56A04D57B408}" name="trans_no"/>
    <tableColumn id="2" xr3:uid="{AE70CDC9-C597-4BB8-8FFB-4595AB3F0C02}" name="date" dataDxfId="13"/>
    <tableColumn id="3" xr3:uid="{A7983EA6-CDE1-47E0-A2E0-B75CDEC600C3}" name="details" dataDxfId="12"/>
    <tableColumn id="4" xr3:uid="{781FA2BB-B100-4C5E-BF5B-F1C40C209F6C}" name="amount"/>
    <tableColumn id="5" xr3:uid="{ACBFE823-4FE6-4E8C-8E91-7FB76571EA16}" name="transaction" dataDxfId="11"/>
    <tableColumn id="6" xr3:uid="{662AF40B-2244-4BB9-9013-0CA97E476C61}" name="transaction_mode" dataDxfId="10"/>
    <tableColumn id="7" xr3:uid="{AFE6E78B-E181-4720-86C0-3E70190DD759}" name="month" dataDxfId="9">
      <calculatedColumnFormula>MONTH(cleaned_personal_finance_data[[#This Row],[date]])</calculatedColumnFormula>
    </tableColumn>
    <tableColumn id="8" xr3:uid="{F09DDF57-1216-4F20-B30B-CA80BC37FB3D}" name="year" dataDxfId="8">
      <calculatedColumnFormula>YEAR(cleaned_personal_finance_data[[#This Row],[date]])</calculatedColumnFormula>
    </tableColumn>
    <tableColumn id="9" xr3:uid="{934B9B5B-A7A6-4ECC-8B04-8223A5F77E5E}" name="cleaned_detail" dataDxfId="7"/>
  </tableColumns>
  <tableStyleInfo name="TableStyleMedium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C5E88B-B291-4396-A03C-79CA8FD56942}" name="personal_finance_data__2" displayName="personal_finance_data__2" ref="A2:F673" tableType="queryTable" totalsRowShown="0">
  <autoFilter ref="A2:F673" xr:uid="{CEC5E88B-B291-4396-A03C-79CA8FD56942}"/>
  <tableColumns count="6">
    <tableColumn id="1" xr3:uid="{1C5FFD67-6613-4975-809C-831A75979143}" uniqueName="1" name="trans_no" queryTableFieldId="1"/>
    <tableColumn id="2" xr3:uid="{C600F110-AD13-49EF-9262-1F4D271D9443}" uniqueName="2" name="date" queryTableFieldId="2" dataDxfId="6"/>
    <tableColumn id="3" xr3:uid="{399D3E42-99D1-4B33-9061-F22C81C6C761}" uniqueName="3" name="details" queryTableFieldId="3" dataDxfId="5"/>
    <tableColumn id="4" xr3:uid="{3A8BE5B2-A7FF-4B32-BF6B-6E2A9E9727DD}" uniqueName="4" name="amount" queryTableFieldId="4"/>
    <tableColumn id="5" xr3:uid="{B1CE0AC7-C447-4816-9792-FCD6B587FD4F}" uniqueName="5" name="transaction" queryTableFieldId="5" dataDxfId="4"/>
    <tableColumn id="6" xr3:uid="{82E74CD9-647B-4954-8ADF-BFC339CCF29E}" uniqueName="6" name="transaction_mode" queryTableFieldId="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table" Target="../tables/table2.xml"/><Relationship Id="rId18" Type="http://schemas.openxmlformats.org/officeDocument/2006/relationships/table" Target="../tables/table7.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table" Target="../tables/table1.xml"/><Relationship Id="rId17" Type="http://schemas.openxmlformats.org/officeDocument/2006/relationships/table" Target="../tables/table6.xml"/><Relationship Id="rId2" Type="http://schemas.openxmlformats.org/officeDocument/2006/relationships/pivotTable" Target="../pivotTables/pivotTable3.xml"/><Relationship Id="rId16" Type="http://schemas.openxmlformats.org/officeDocument/2006/relationships/table" Target="../tables/table5.xml"/><Relationship Id="rId20" Type="http://schemas.openxmlformats.org/officeDocument/2006/relationships/comments" Target="../comments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vmlDrawing" Target="../drawings/vmlDrawing1.vml"/><Relationship Id="rId5" Type="http://schemas.openxmlformats.org/officeDocument/2006/relationships/pivotTable" Target="../pivotTables/pivotTable6.xml"/><Relationship Id="rId15" Type="http://schemas.openxmlformats.org/officeDocument/2006/relationships/table" Target="../tables/table4.xml"/><Relationship Id="rId10" Type="http://schemas.openxmlformats.org/officeDocument/2006/relationships/drawing" Target="../drawings/drawing6.xml"/><Relationship Id="rId19" Type="http://schemas.microsoft.com/office/2007/relationships/slicer" Target="../slicers/slicer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3" Type="http://schemas.openxmlformats.org/officeDocument/2006/relationships/pivotTable" Target="../pivotTables/pivotTable23.xml"/><Relationship Id="rId18" Type="http://schemas.openxmlformats.org/officeDocument/2006/relationships/table" Target="../tables/table10.xml"/><Relationship Id="rId26" Type="http://schemas.openxmlformats.org/officeDocument/2006/relationships/table" Target="../tables/table18.xml"/><Relationship Id="rId3" Type="http://schemas.openxmlformats.org/officeDocument/2006/relationships/pivotTable" Target="../pivotTables/pivotTable13.xml"/><Relationship Id="rId21" Type="http://schemas.openxmlformats.org/officeDocument/2006/relationships/table" Target="../tables/table13.xml"/><Relationship Id="rId34" Type="http://schemas.openxmlformats.org/officeDocument/2006/relationships/comments" Target="../comments2.xml"/><Relationship Id="rId7" Type="http://schemas.openxmlformats.org/officeDocument/2006/relationships/pivotTable" Target="../pivotTables/pivotTable17.xml"/><Relationship Id="rId12" Type="http://schemas.openxmlformats.org/officeDocument/2006/relationships/pivotTable" Target="../pivotTables/pivotTable22.xml"/><Relationship Id="rId17" Type="http://schemas.openxmlformats.org/officeDocument/2006/relationships/table" Target="../tables/table9.xml"/><Relationship Id="rId25" Type="http://schemas.openxmlformats.org/officeDocument/2006/relationships/table" Target="../tables/table17.xml"/><Relationship Id="rId33" Type="http://schemas.microsoft.com/office/2007/relationships/slicer" Target="../slicers/slicer2.xml"/><Relationship Id="rId2" Type="http://schemas.openxmlformats.org/officeDocument/2006/relationships/pivotTable" Target="../pivotTables/pivotTable12.xml"/><Relationship Id="rId16" Type="http://schemas.openxmlformats.org/officeDocument/2006/relationships/table" Target="../tables/table8.xml"/><Relationship Id="rId20" Type="http://schemas.openxmlformats.org/officeDocument/2006/relationships/table" Target="../tables/table12.xml"/><Relationship Id="rId29" Type="http://schemas.openxmlformats.org/officeDocument/2006/relationships/table" Target="../tables/table21.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24" Type="http://schemas.openxmlformats.org/officeDocument/2006/relationships/table" Target="../tables/table16.xml"/><Relationship Id="rId32" Type="http://schemas.openxmlformats.org/officeDocument/2006/relationships/table" Target="../tables/table24.xml"/><Relationship Id="rId5" Type="http://schemas.openxmlformats.org/officeDocument/2006/relationships/pivotTable" Target="../pivotTables/pivotTable15.xml"/><Relationship Id="rId15" Type="http://schemas.openxmlformats.org/officeDocument/2006/relationships/vmlDrawing" Target="../drawings/vmlDrawing2.vml"/><Relationship Id="rId23" Type="http://schemas.openxmlformats.org/officeDocument/2006/relationships/table" Target="../tables/table15.xml"/><Relationship Id="rId28" Type="http://schemas.openxmlformats.org/officeDocument/2006/relationships/table" Target="../tables/table20.xml"/><Relationship Id="rId10" Type="http://schemas.openxmlformats.org/officeDocument/2006/relationships/pivotTable" Target="../pivotTables/pivotTable20.xml"/><Relationship Id="rId19" Type="http://schemas.openxmlformats.org/officeDocument/2006/relationships/table" Target="../tables/table11.xml"/><Relationship Id="rId31" Type="http://schemas.openxmlformats.org/officeDocument/2006/relationships/table" Target="../tables/table23.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drawing" Target="../drawings/drawing7.xml"/><Relationship Id="rId22" Type="http://schemas.openxmlformats.org/officeDocument/2006/relationships/table" Target="../tables/table14.xml"/><Relationship Id="rId27" Type="http://schemas.openxmlformats.org/officeDocument/2006/relationships/table" Target="../tables/table19.xml"/><Relationship Id="rId30" Type="http://schemas.openxmlformats.org/officeDocument/2006/relationships/table" Target="../tables/table22.xml"/><Relationship Id="rId8" Type="http://schemas.openxmlformats.org/officeDocument/2006/relationships/pivotTable" Target="../pivotTables/pivotTable1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2.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5AC4E-C9CD-4ABD-9E79-F58A2D0CCB36}">
  <dimension ref="A1:AA147"/>
  <sheetViews>
    <sheetView tabSelected="1" zoomScaleNormal="100" workbookViewId="0">
      <pane ySplit="1" topLeftCell="A2" activePane="bottomLeft" state="frozen"/>
      <selection pane="bottomLeft" activeCell="Q11" sqref="Q11"/>
    </sheetView>
  </sheetViews>
  <sheetFormatPr defaultRowHeight="15" x14ac:dyDescent="0.25"/>
  <cols>
    <col min="1" max="1" width="26.140625" customWidth="1"/>
    <col min="2" max="2" width="13.7109375" customWidth="1"/>
    <col min="3" max="3" width="16.7109375" customWidth="1"/>
    <col min="4" max="4" width="20.42578125" customWidth="1"/>
    <col min="5" max="5" width="13.28515625" customWidth="1"/>
    <col min="6" max="6" width="22.85546875" customWidth="1"/>
    <col min="7" max="7" width="16.7109375" customWidth="1"/>
    <col min="8" max="8" width="13.140625" customWidth="1"/>
    <col min="16" max="16" width="11.85546875" customWidth="1"/>
  </cols>
  <sheetData>
    <row r="1" spans="1:27" s="38" customFormat="1" ht="37.5" customHeight="1" x14ac:dyDescent="0.25">
      <c r="A1" s="39" t="s">
        <v>431</v>
      </c>
      <c r="B1" s="36" t="s">
        <v>432</v>
      </c>
      <c r="C1" s="36" t="s">
        <v>433</v>
      </c>
      <c r="D1" s="36" t="s">
        <v>434</v>
      </c>
      <c r="E1" s="36" t="s">
        <v>435</v>
      </c>
      <c r="F1" s="36" t="s">
        <v>436</v>
      </c>
      <c r="G1" s="36" t="s">
        <v>437</v>
      </c>
      <c r="H1" s="36" t="s">
        <v>438</v>
      </c>
      <c r="I1" s="37"/>
    </row>
    <row r="2" spans="1:27" s="19" customFormat="1" ht="34.15" customHeight="1" x14ac:dyDescent="0.4">
      <c r="A2" s="24" t="s">
        <v>499</v>
      </c>
    </row>
    <row r="3" spans="1:27" ht="22.9" customHeight="1" x14ac:dyDescent="0.25"/>
    <row r="4" spans="1:27" ht="34.9" customHeight="1" x14ac:dyDescent="0.25">
      <c r="A4" t="str">
        <f>_xlfn.CONCAT(ROUND(Table414[[#This Row],[Growth Rate]]* 100, 2), "%")</f>
        <v>-4.21%</v>
      </c>
      <c r="B4" s="15"/>
      <c r="C4" s="15" t="str">
        <f>_xlfn.CONCAT(ROUND('Analysis &amp; Diagnostics'!E5* 100, 2), "%")</f>
        <v>-48.71%</v>
      </c>
      <c r="D4" s="15"/>
      <c r="E4" s="16"/>
      <c r="F4" s="15" t="str">
        <f>_xlfn.CONCAT(ROUND('Analysis &amp; Diagnostics'!E6* 100, 2), "%")</f>
        <v>-78.16%</v>
      </c>
      <c r="P4" s="40"/>
      <c r="AA4" s="35"/>
    </row>
    <row r="5" spans="1:27" ht="25.15" customHeight="1" x14ac:dyDescent="0.25">
      <c r="A5" t="str">
        <f>_xlfn.CONCAT("₱ ", TEXT(ROUND('Analysis &amp; Diagnostics'!C4, 2), "###,###.##"))</f>
        <v>₱ 17,122.6</v>
      </c>
      <c r="B5" s="15"/>
      <c r="C5" s="15" t="str">
        <f>_xlfn.CONCAT("₱ ", TEXT(ROUND(Table414[[#This Row],[Monthly Average]], 2), "###,###.##"))</f>
        <v>₱ 36,427.47</v>
      </c>
      <c r="D5" s="15"/>
      <c r="E5" s="16"/>
      <c r="F5" s="15" t="str">
        <f>_xlfn.CONCAT("₱ ", TEXT(ROUND('Analysis &amp; Diagnostics'!C6, 2), "###,###.##"))</f>
        <v>₱ 21,273.87</v>
      </c>
      <c r="P5" s="41"/>
    </row>
    <row r="6" spans="1:27" ht="24.6" customHeight="1" x14ac:dyDescent="0.25">
      <c r="A6" t="str">
        <f>_xlfn.CONCAT("₱ ", TEXT(ROUND('Analysis &amp; Diagnostics'!D4, 2), "###,###"))</f>
        <v>₱ 17,583</v>
      </c>
      <c r="B6" s="15"/>
      <c r="C6" s="15" t="str">
        <f>_xlfn.CONCAT("₱ ", TEXT(ROUND('Analysis &amp; Diagnostics'!D5, 2), "###,###"))</f>
        <v>₱ 30,278</v>
      </c>
      <c r="D6" s="15"/>
      <c r="E6" s="16"/>
      <c r="F6" s="15" t="str">
        <f>_xlfn.CONCAT("₱ ", TEXT(ROUND('Analysis &amp; Diagnostics'!D6, 2), "###,###"))</f>
        <v>₱ 15,819</v>
      </c>
    </row>
    <row r="7" spans="1:27" ht="17.45" customHeight="1" x14ac:dyDescent="0.25">
      <c r="A7" t="str">
        <f>_xlfn.CONCAT("₱ ",TEXT(ROUND('Analysis &amp; Diagnostics'!B4,2),"###,###"))</f>
        <v>₱ 256,839</v>
      </c>
      <c r="C7" s="15" t="str">
        <f>_xlfn.CONCAT("₱ ",TEXT(ROUND('Analysis &amp; Diagnostics'!B5,2),"###,###"))</f>
        <v>₱ 619,267</v>
      </c>
      <c r="F7" s="15" t="str">
        <f>_xlfn.CONCAT("₱ ",TEXT(ROUND('Analysis &amp; Diagnostics'!B6,2),"###,###"))</f>
        <v>₱ 362,428</v>
      </c>
    </row>
    <row r="8" spans="1:27" x14ac:dyDescent="0.25">
      <c r="A8" t="str">
        <f>_xlfn.CONCAT("₱ ",TEXT(ROUND('Analysis &amp; Diagnostics'!F4,2),"###,###"))</f>
        <v>₱ 19,636</v>
      </c>
      <c r="C8" t="str">
        <f>_xlfn.CONCAT("₱ ",TEXT(ROUND('Analysis &amp; Diagnostics'!F5,2),"###,###"))</f>
        <v>₱ 26,403</v>
      </c>
      <c r="F8" s="21" t="str">
        <f>_xlfn.CONCAT("₱ ",TEXT(ROUND('Analysis &amp; Diagnostics'!F6,2),"###,###"))</f>
        <v>₱ 6,767</v>
      </c>
    </row>
    <row r="24" spans="1:1" ht="18.75" x14ac:dyDescent="0.3">
      <c r="A24" s="14"/>
    </row>
    <row r="25" spans="1:1" x14ac:dyDescent="0.25">
      <c r="A25" s="20"/>
    </row>
    <row r="26" spans="1:1" x14ac:dyDescent="0.25">
      <c r="A26" s="20"/>
    </row>
    <row r="54" spans="1:15" ht="26.25" x14ac:dyDescent="0.4">
      <c r="A54" s="24" t="s">
        <v>379</v>
      </c>
      <c r="B54" s="19"/>
      <c r="C54" s="19"/>
      <c r="D54" s="19"/>
      <c r="E54" s="19"/>
      <c r="F54" s="19"/>
      <c r="G54" s="19"/>
      <c r="H54" s="19"/>
      <c r="I54" s="19"/>
      <c r="J54" s="19"/>
      <c r="K54" s="19"/>
      <c r="L54" s="19"/>
      <c r="M54" s="19"/>
      <c r="N54" s="19"/>
      <c r="O54" s="19"/>
    </row>
    <row r="119" spans="1:15" ht="26.25" x14ac:dyDescent="0.4">
      <c r="A119" s="24" t="s">
        <v>381</v>
      </c>
      <c r="B119" s="19"/>
      <c r="C119" s="19"/>
      <c r="D119" s="19"/>
      <c r="E119" s="19"/>
      <c r="F119" s="19"/>
      <c r="G119" s="19"/>
      <c r="H119" s="19"/>
      <c r="I119" s="19"/>
      <c r="J119" s="19"/>
      <c r="K119" s="19"/>
      <c r="L119" s="19"/>
      <c r="M119" s="19"/>
      <c r="N119" s="19"/>
      <c r="O119" s="19"/>
    </row>
    <row r="147" spans="1:15" ht="26.25" x14ac:dyDescent="0.4">
      <c r="A147" s="24" t="s">
        <v>345</v>
      </c>
      <c r="B147" s="19"/>
      <c r="C147" s="19"/>
      <c r="D147" s="19"/>
      <c r="E147" s="19"/>
      <c r="F147" s="19"/>
      <c r="G147" s="19"/>
      <c r="H147" s="19"/>
      <c r="I147" s="19"/>
      <c r="J147" s="19"/>
      <c r="K147" s="19"/>
      <c r="L147" s="19"/>
      <c r="M147" s="19"/>
      <c r="N147" s="19"/>
      <c r="O147" s="19"/>
    </row>
  </sheetData>
  <hyperlinks>
    <hyperlink ref="B1" location="Dashboard!A1" display="Dashboard" xr:uid="{83245144-E4E3-4A24-B517-31BDE8FEDD85}"/>
    <hyperlink ref="C1" location="Findings!A1" display="Findings" xr:uid="{4B13D67B-AC69-4A59-BD43-B891ED1A7F74}"/>
    <hyperlink ref="D1" location="'Pivot &amp; derived tables'!A1" display="Pivot &amp; Derived Tables" xr:uid="{0F99EB63-4A24-4E3F-87CE-13DF3B28DFE1}"/>
    <hyperlink ref="E1" location="'Analysis &amp; Diagnostics'!A1" display="Analysis &amp; Diagnosis" xr:uid="{93A98B91-627D-4D05-9B06-CCD9530F7F16}"/>
    <hyperlink ref="F1" location="data_visualization!A1" display="Data Visualization" xr:uid="{FB473320-C1CA-4707-9609-7C39F1C2BF87}"/>
    <hyperlink ref="G1" location="cleaned_source_dataset!A1" display="Cleaned Data" xr:uid="{7E5E261D-D42B-4D6B-9FFC-64F5E6473C62}"/>
    <hyperlink ref="H1" location="personal_finance_data!A1" display="Raw Data Source" xr:uid="{BE978580-3CB5-4E52-A6FE-59F30B4FD2BD}"/>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0EB84-36E8-4A8D-BAAB-0A754229F4B4}">
  <dimension ref="A1:O366"/>
  <sheetViews>
    <sheetView zoomScale="85" zoomScaleNormal="85" workbookViewId="0">
      <pane ySplit="1" topLeftCell="A39" activePane="bottomLeft" state="frozen"/>
      <selection pane="bottomLeft" activeCell="L298" sqref="L298"/>
    </sheetView>
  </sheetViews>
  <sheetFormatPr defaultRowHeight="15" x14ac:dyDescent="0.25"/>
  <cols>
    <col min="1" max="1" width="14.7109375" customWidth="1"/>
    <col min="2" max="2" width="15.85546875" customWidth="1"/>
    <col min="3" max="3" width="12.7109375" customWidth="1"/>
    <col min="4" max="4" width="18" customWidth="1"/>
    <col min="5" max="5" width="14.85546875" customWidth="1"/>
    <col min="6" max="6" width="17.42578125" customWidth="1"/>
    <col min="7" max="7" width="19" customWidth="1"/>
    <col min="8" max="8" width="14.5703125" customWidth="1"/>
  </cols>
  <sheetData>
    <row r="1" spans="1:15" s="38" customFormat="1" ht="37.5" customHeight="1" x14ac:dyDescent="0.25">
      <c r="A1" s="39" t="s">
        <v>431</v>
      </c>
      <c r="B1" s="36" t="s">
        <v>432</v>
      </c>
      <c r="C1" s="36" t="s">
        <v>433</v>
      </c>
      <c r="D1" s="36" t="s">
        <v>434</v>
      </c>
      <c r="E1" s="36" t="s">
        <v>435</v>
      </c>
      <c r="F1" s="36" t="s">
        <v>436</v>
      </c>
      <c r="G1" s="36" t="s">
        <v>437</v>
      </c>
      <c r="H1" s="36" t="s">
        <v>438</v>
      </c>
      <c r="I1" s="37"/>
    </row>
    <row r="2" spans="1:15" ht="26.25" x14ac:dyDescent="0.4">
      <c r="A2" s="24" t="s">
        <v>414</v>
      </c>
      <c r="B2" s="19"/>
      <c r="C2" s="19"/>
      <c r="D2" s="19"/>
      <c r="E2" s="19"/>
      <c r="F2" s="19"/>
      <c r="G2" s="19"/>
      <c r="H2" s="19"/>
      <c r="I2" s="19"/>
      <c r="J2" s="19"/>
      <c r="K2" s="19"/>
      <c r="L2" s="19"/>
      <c r="M2" s="19"/>
      <c r="N2" s="19"/>
      <c r="O2" s="19"/>
    </row>
    <row r="20" spans="1:15" ht="26.25" x14ac:dyDescent="0.4">
      <c r="A20" s="24" t="s">
        <v>413</v>
      </c>
      <c r="B20" s="19"/>
      <c r="C20" s="19"/>
      <c r="D20" s="19"/>
      <c r="E20" s="19"/>
      <c r="F20" s="19"/>
      <c r="G20" s="19"/>
      <c r="H20" s="19"/>
      <c r="I20" s="19"/>
      <c r="J20" s="19"/>
      <c r="K20" s="19"/>
      <c r="L20" s="19"/>
      <c r="M20" s="19"/>
      <c r="N20" s="19"/>
      <c r="O20" s="19"/>
    </row>
    <row r="36" spans="1:2" x14ac:dyDescent="0.25">
      <c r="A36" s="2" t="s">
        <v>299</v>
      </c>
      <c r="B36" s="2" t="s">
        <v>300</v>
      </c>
    </row>
    <row r="37" spans="1:2" x14ac:dyDescent="0.25">
      <c r="A37" s="2" t="s">
        <v>294</v>
      </c>
      <c r="B37" t="s">
        <v>7</v>
      </c>
    </row>
    <row r="38" spans="1:2" x14ac:dyDescent="0.25">
      <c r="A38" s="3">
        <v>2024</v>
      </c>
      <c r="B38">
        <v>164441</v>
      </c>
    </row>
    <row r="39" spans="1:2" x14ac:dyDescent="0.25">
      <c r="A39" s="4">
        <v>1</v>
      </c>
      <c r="B39">
        <v>25466</v>
      </c>
    </row>
    <row r="40" spans="1:2" x14ac:dyDescent="0.25">
      <c r="A40" s="22" t="s">
        <v>318</v>
      </c>
      <c r="B40">
        <v>25466</v>
      </c>
    </row>
    <row r="41" spans="1:2" x14ac:dyDescent="0.25">
      <c r="A41" s="4">
        <v>10</v>
      </c>
      <c r="B41">
        <v>27502</v>
      </c>
    </row>
    <row r="42" spans="1:2" x14ac:dyDescent="0.25">
      <c r="A42" s="22" t="s">
        <v>231</v>
      </c>
      <c r="B42">
        <v>1021</v>
      </c>
    </row>
    <row r="43" spans="1:2" x14ac:dyDescent="0.25">
      <c r="A43" s="22" t="s">
        <v>318</v>
      </c>
      <c r="B43">
        <v>26481</v>
      </c>
    </row>
    <row r="44" spans="1:2" x14ac:dyDescent="0.25">
      <c r="A44" s="4">
        <v>11</v>
      </c>
      <c r="B44">
        <v>59992</v>
      </c>
    </row>
    <row r="45" spans="1:2" x14ac:dyDescent="0.25">
      <c r="A45" s="22" t="s">
        <v>249</v>
      </c>
      <c r="B45">
        <v>5000</v>
      </c>
    </row>
    <row r="46" spans="1:2" x14ac:dyDescent="0.25">
      <c r="A46" s="22" t="s">
        <v>318</v>
      </c>
      <c r="B46">
        <v>27992</v>
      </c>
    </row>
    <row r="47" spans="1:2" x14ac:dyDescent="0.25">
      <c r="A47" s="22" t="s">
        <v>327</v>
      </c>
      <c r="B47">
        <v>27000</v>
      </c>
    </row>
    <row r="48" spans="1:2" x14ac:dyDescent="0.25">
      <c r="A48" s="4">
        <v>12</v>
      </c>
      <c r="B48">
        <v>51481</v>
      </c>
    </row>
    <row r="49" spans="1:15" x14ac:dyDescent="0.25">
      <c r="A49" s="22" t="s">
        <v>326</v>
      </c>
      <c r="B49">
        <v>25000</v>
      </c>
    </row>
    <row r="50" spans="1:15" x14ac:dyDescent="0.25">
      <c r="A50" s="22" t="s">
        <v>318</v>
      </c>
      <c r="B50">
        <v>26481</v>
      </c>
    </row>
    <row r="51" spans="1:15" x14ac:dyDescent="0.25">
      <c r="A51" s="3">
        <v>2025</v>
      </c>
      <c r="B51">
        <v>26403</v>
      </c>
    </row>
    <row r="52" spans="1:15" x14ac:dyDescent="0.25">
      <c r="A52" s="4">
        <v>1</v>
      </c>
      <c r="B52">
        <v>26403</v>
      </c>
    </row>
    <row r="53" spans="1:15" x14ac:dyDescent="0.25">
      <c r="A53" s="22" t="s">
        <v>318</v>
      </c>
      <c r="B53">
        <v>26403</v>
      </c>
    </row>
    <row r="54" spans="1:15" x14ac:dyDescent="0.25">
      <c r="A54" s="3" t="s">
        <v>295</v>
      </c>
      <c r="B54">
        <v>190844</v>
      </c>
    </row>
    <row r="59" spans="1:15" ht="26.25" x14ac:dyDescent="0.4">
      <c r="A59" s="24" t="s">
        <v>491</v>
      </c>
      <c r="B59" s="19"/>
      <c r="C59" s="19"/>
      <c r="D59" s="19"/>
      <c r="E59" s="19"/>
      <c r="F59" s="19"/>
      <c r="G59" s="19"/>
      <c r="H59" s="19"/>
      <c r="I59" s="19"/>
      <c r="J59" s="19"/>
      <c r="K59" s="19"/>
      <c r="L59" s="19"/>
      <c r="M59" s="19"/>
      <c r="N59" s="19"/>
      <c r="O59" s="19"/>
    </row>
    <row r="76" spans="1:1" ht="26.25" x14ac:dyDescent="0.4">
      <c r="A76" s="30"/>
    </row>
    <row r="108" spans="1:15" ht="26.25" x14ac:dyDescent="0.4">
      <c r="A108" s="24" t="s">
        <v>494</v>
      </c>
      <c r="B108" s="19"/>
      <c r="C108" s="19"/>
      <c r="D108" s="19"/>
      <c r="E108" s="19"/>
      <c r="F108" s="19"/>
      <c r="G108" s="19"/>
      <c r="H108" s="19"/>
      <c r="I108" s="19"/>
      <c r="J108" s="19"/>
      <c r="K108" s="19"/>
      <c r="L108" s="19"/>
      <c r="M108" s="19"/>
      <c r="N108" s="19"/>
      <c r="O108" s="19"/>
    </row>
    <row r="160" spans="1:1" ht="26.25" x14ac:dyDescent="0.4">
      <c r="A160" s="31" t="s">
        <v>492</v>
      </c>
    </row>
    <row r="219" spans="1:1" ht="26.25" x14ac:dyDescent="0.4">
      <c r="A219" s="31" t="s">
        <v>493</v>
      </c>
    </row>
    <row r="274" spans="1:1" ht="26.25" x14ac:dyDescent="0.4">
      <c r="A274" s="31" t="s">
        <v>495</v>
      </c>
    </row>
    <row r="309" spans="1:1" ht="26.25" x14ac:dyDescent="0.4">
      <c r="A309" s="31" t="s">
        <v>496</v>
      </c>
    </row>
    <row r="329" spans="1:8" ht="26.25" x14ac:dyDescent="0.4">
      <c r="A329" s="24" t="s">
        <v>497</v>
      </c>
      <c r="B329" s="29"/>
      <c r="C329" s="29"/>
      <c r="D329" s="29"/>
      <c r="E329" s="29"/>
      <c r="F329" s="29"/>
      <c r="G329" s="29"/>
      <c r="H329" s="29"/>
    </row>
    <row r="366" spans="1:8" ht="33.6" customHeight="1" x14ac:dyDescent="0.4">
      <c r="A366" s="24" t="s">
        <v>498</v>
      </c>
      <c r="B366" s="29"/>
      <c r="C366" s="29"/>
      <c r="D366" s="29"/>
      <c r="E366" s="29"/>
      <c r="F366" s="29"/>
      <c r="G366" s="29"/>
      <c r="H366" s="29"/>
    </row>
  </sheetData>
  <conditionalFormatting pivot="1" sqref="B41 B39 B44 B48 B52">
    <cfRule type="dataBar" priority="3">
      <dataBar>
        <cfvo type="min"/>
        <cfvo type="max"/>
        <color rgb="FFFF555A"/>
      </dataBar>
      <extLst>
        <ext xmlns:x14="http://schemas.microsoft.com/office/spreadsheetml/2009/9/main" uri="{B025F937-C7B1-47D3-B67F-A62EFF666E3E}">
          <x14:id>{E865B442-0C8D-407D-840E-50AD9A52999E}</x14:id>
        </ext>
      </extLst>
    </cfRule>
  </conditionalFormatting>
  <conditionalFormatting sqref="B78:B85">
    <cfRule type="dataBar" priority="2">
      <dataBar>
        <cfvo type="min"/>
        <cfvo type="max"/>
        <color rgb="FF638EC6"/>
      </dataBar>
      <extLst>
        <ext xmlns:x14="http://schemas.microsoft.com/office/spreadsheetml/2009/9/main" uri="{B025F937-C7B1-47D3-B67F-A62EFF666E3E}">
          <x14:id>{F81BEB54-CEB0-4B34-AC2B-FB7A4563C136}</x14:id>
        </ext>
      </extLst>
    </cfRule>
  </conditionalFormatting>
  <conditionalFormatting sqref="D78:D85">
    <cfRule type="dataBar" priority="1">
      <dataBar>
        <cfvo type="min"/>
        <cfvo type="max"/>
        <color rgb="FF638EC6"/>
      </dataBar>
      <extLst>
        <ext xmlns:x14="http://schemas.microsoft.com/office/spreadsheetml/2009/9/main" uri="{B025F937-C7B1-47D3-B67F-A62EFF666E3E}">
          <x14:id>{8FC748D8-F941-427A-B29A-399A1F346F5B}</x14:id>
        </ext>
      </extLst>
    </cfRule>
  </conditionalFormatting>
  <hyperlinks>
    <hyperlink ref="B1" location="Dashboard!A1" display="Dashboard" xr:uid="{9023B4CB-283C-4700-A035-9EF6E5004B7C}"/>
    <hyperlink ref="C1" location="Findings!A1" display="Findings" xr:uid="{A4838618-6571-4D03-AED2-09ADF072DB14}"/>
    <hyperlink ref="D1" location="'Pivot &amp; derived tables'!A1" display="Pivot &amp; Derived Tables" xr:uid="{FD626328-9CC2-4A55-92EB-E3936ED8A58E}"/>
    <hyperlink ref="E1" location="'Analysis &amp; Diagnostics'!A1" display="Analysis &amp; Diagnosis" xr:uid="{32A88A52-CF3C-41D4-9FE8-DEA55855DB68}"/>
    <hyperlink ref="F1" location="data_visualization!A1" display="Data Visualization" xr:uid="{58F1861B-19EF-47A5-9AB4-A625ECA1BC5D}"/>
    <hyperlink ref="G1" location="cleaned_source_dataset!A1" display="Cleaned Data" xr:uid="{433556B8-F1FC-454F-AC9E-E11CD2A35C59}"/>
    <hyperlink ref="H1" location="personal_finance_data!A1" display="Raw Data Source" xr:uid="{C1A4412C-3C28-4561-87BE-0F01F1D71D34}"/>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865B442-0C8D-407D-840E-50AD9A52999E}">
            <x14:dataBar minLength="0" maxLength="100" gradient="0">
              <x14:cfvo type="autoMin"/>
              <x14:cfvo type="autoMax"/>
              <x14:negativeFillColor rgb="FFFF0000"/>
              <x14:axisColor rgb="FF000000"/>
            </x14:dataBar>
          </x14:cfRule>
          <xm:sqref>B41 B39 B44 B48 B52</xm:sqref>
        </x14:conditionalFormatting>
        <x14:conditionalFormatting xmlns:xm="http://schemas.microsoft.com/office/excel/2006/main">
          <x14:cfRule type="dataBar" id="{F81BEB54-CEB0-4B34-AC2B-FB7A4563C136}">
            <x14:dataBar minLength="0" maxLength="100" gradient="0">
              <x14:cfvo type="autoMin"/>
              <x14:cfvo type="autoMax"/>
              <x14:negativeFillColor rgb="FFFF0000"/>
              <x14:axisColor rgb="FF000000"/>
            </x14:dataBar>
          </x14:cfRule>
          <xm:sqref>B78:B85</xm:sqref>
        </x14:conditionalFormatting>
        <x14:conditionalFormatting xmlns:xm="http://schemas.microsoft.com/office/excel/2006/main">
          <x14:cfRule type="dataBar" id="{8FC748D8-F941-427A-B29A-399A1F346F5B}">
            <x14:dataBar minLength="0" maxLength="100" gradient="0">
              <x14:cfvo type="autoMin"/>
              <x14:cfvo type="autoMax"/>
              <x14:negativeFillColor rgb="FFFF0000"/>
              <x14:axisColor rgb="FF000000"/>
            </x14:dataBar>
          </x14:cfRule>
          <xm:sqref>D78:D85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B414C-80C8-4897-A0DF-AA0DFCF3177E}">
  <dimension ref="A1:AL281"/>
  <sheetViews>
    <sheetView topLeftCell="R1" zoomScaleNormal="100" workbookViewId="0">
      <pane ySplit="1" topLeftCell="A25" activePane="bottomLeft" state="frozen"/>
      <selection pane="bottomLeft" activeCell="X34" sqref="X34"/>
    </sheetView>
  </sheetViews>
  <sheetFormatPr defaultRowHeight="15" x14ac:dyDescent="0.25"/>
  <cols>
    <col min="1" max="1" width="24.7109375" bestFit="1" customWidth="1"/>
    <col min="2" max="2" width="16.28515625" bestFit="1" customWidth="1"/>
    <col min="3" max="3" width="12.42578125" customWidth="1"/>
    <col min="4" max="4" width="18.7109375" customWidth="1"/>
    <col min="5" max="5" width="17" customWidth="1"/>
    <col min="6" max="6" width="15.85546875" bestFit="1" customWidth="1"/>
    <col min="7" max="7" width="16.5703125" customWidth="1"/>
    <col min="8" max="8" width="21.5703125" customWidth="1"/>
    <col min="9" max="9" width="17.140625" bestFit="1" customWidth="1"/>
    <col min="10" max="10" width="16.42578125" bestFit="1" customWidth="1"/>
    <col min="11" max="12" width="24.7109375" bestFit="1" customWidth="1"/>
    <col min="13" max="13" width="22.28515625" bestFit="1" customWidth="1"/>
    <col min="14" max="14" width="20.28515625" bestFit="1" customWidth="1"/>
    <col min="15" max="15" width="23.140625" bestFit="1" customWidth="1"/>
    <col min="16" max="16" width="13.42578125" bestFit="1" customWidth="1"/>
    <col min="17" max="17" width="14.5703125" bestFit="1" customWidth="1"/>
    <col min="18" max="18" width="16.28515625" bestFit="1" customWidth="1"/>
    <col min="19" max="19" width="25" bestFit="1" customWidth="1"/>
    <col min="20" max="20" width="28.42578125" bestFit="1" customWidth="1"/>
    <col min="21" max="21" width="25" bestFit="1" customWidth="1"/>
    <col min="22" max="22" width="28.42578125" bestFit="1" customWidth="1"/>
    <col min="23" max="23" width="2.7109375" style="27" customWidth="1"/>
    <col min="24" max="24" width="22.7109375" bestFit="1" customWidth="1"/>
    <col min="25" max="25" width="15.5703125" bestFit="1" customWidth="1"/>
    <col min="26" max="27" width="14.85546875" bestFit="1" customWidth="1"/>
    <col min="28" max="28" width="11.7109375" bestFit="1" customWidth="1"/>
    <col min="29" max="29" width="14.85546875" bestFit="1" customWidth="1"/>
    <col min="33" max="33" width="16" customWidth="1"/>
    <col min="34" max="34" width="24" customWidth="1"/>
    <col min="35" max="35" width="13.28515625" customWidth="1"/>
    <col min="36" max="36" width="16.28515625" customWidth="1"/>
    <col min="37" max="37" width="13.7109375" customWidth="1"/>
    <col min="38" max="38" width="14.28515625" customWidth="1"/>
  </cols>
  <sheetData>
    <row r="1" spans="1:38" s="38" customFormat="1" ht="37.5" customHeight="1" x14ac:dyDescent="0.25">
      <c r="A1" s="39" t="s">
        <v>431</v>
      </c>
      <c r="B1" s="36" t="s">
        <v>432</v>
      </c>
      <c r="C1" s="36" t="s">
        <v>433</v>
      </c>
      <c r="D1" s="36" t="s">
        <v>434</v>
      </c>
      <c r="E1" s="36" t="s">
        <v>435</v>
      </c>
      <c r="F1" s="36" t="s">
        <v>436</v>
      </c>
      <c r="G1" s="36" t="s">
        <v>437</v>
      </c>
      <c r="H1" s="36" t="s">
        <v>438</v>
      </c>
      <c r="I1" s="37"/>
    </row>
    <row r="2" spans="1:38" ht="24" x14ac:dyDescent="0.4">
      <c r="A2" s="6" t="s">
        <v>316</v>
      </c>
      <c r="H2" s="6" t="s">
        <v>315</v>
      </c>
      <c r="N2" s="6" t="s">
        <v>338</v>
      </c>
      <c r="X2" s="26" t="s">
        <v>378</v>
      </c>
    </row>
    <row r="3" spans="1:38" x14ac:dyDescent="0.25">
      <c r="A3" s="2" t="s">
        <v>299</v>
      </c>
      <c r="B3" s="2" t="s">
        <v>300</v>
      </c>
      <c r="H3" s="5" t="s">
        <v>313</v>
      </c>
      <c r="I3" t="s">
        <v>15</v>
      </c>
      <c r="J3" t="s">
        <v>7</v>
      </c>
      <c r="K3" t="s">
        <v>314</v>
      </c>
      <c r="L3" t="s">
        <v>369</v>
      </c>
      <c r="N3" t="s">
        <v>337</v>
      </c>
      <c r="O3" t="s">
        <v>15</v>
      </c>
      <c r="P3" t="s">
        <v>7</v>
      </c>
      <c r="Q3" t="s">
        <v>314</v>
      </c>
    </row>
    <row r="4" spans="1:38" x14ac:dyDescent="0.25">
      <c r="A4" s="2" t="s">
        <v>294</v>
      </c>
      <c r="B4" t="s">
        <v>15</v>
      </c>
      <c r="C4" t="s">
        <v>7</v>
      </c>
      <c r="H4" s="5">
        <v>45231</v>
      </c>
      <c r="I4">
        <v>10181</v>
      </c>
      <c r="J4">
        <v>70026</v>
      </c>
      <c r="K4">
        <f>expen_income_netincome[[#This Row],[Income]] - expen_income_netincome[[#This Row],[Expenses]]</f>
        <v>59845</v>
      </c>
      <c r="L4" s="23">
        <f>IFERROR(ROUND((expen_income_netincome[[#This Row],[Income]] - J3) /J3 * 100, 2), 0)</f>
        <v>0</v>
      </c>
      <c r="N4" t="s">
        <v>331</v>
      </c>
      <c r="O4">
        <f>ROUND(SKEW(expen_income_netincome[Expenses]), 3)</f>
        <v>0.71899999999999997</v>
      </c>
      <c r="P4">
        <f>ROUND(SKEW(expen_income_netincome[Income]), 3)</f>
        <v>0.92600000000000005</v>
      </c>
      <c r="Q4">
        <f>ROUND(SKEW(expen_income_netincome[Net Income]), 3)</f>
        <v>0.96199999999999997</v>
      </c>
    </row>
    <row r="5" spans="1:38" ht="21" x14ac:dyDescent="0.35">
      <c r="A5" s="3" t="s">
        <v>296</v>
      </c>
      <c r="B5">
        <v>42204</v>
      </c>
      <c r="C5">
        <v>156811</v>
      </c>
      <c r="H5" s="5">
        <v>45261</v>
      </c>
      <c r="I5">
        <v>32023</v>
      </c>
      <c r="J5">
        <v>43465</v>
      </c>
      <c r="K5">
        <f>expen_income_netincome[[#This Row],[Income]] - expen_income_netincome[[#This Row],[Expenses]]</f>
        <v>11442</v>
      </c>
      <c r="L5" s="23">
        <f>IFERROR(ROUND((expen_income_netincome[[#This Row],[Income]] - J4) /J4 * 100, 2), 0)</f>
        <v>-37.93</v>
      </c>
      <c r="N5" t="s">
        <v>332</v>
      </c>
      <c r="O5">
        <f>ROUND(KURT(expen_income_netincome[Expenses]), 3)</f>
        <v>0.26300000000000001</v>
      </c>
      <c r="P5">
        <f>ROUND(KURT(expen_income_netincome[Income]), 3)</f>
        <v>-0.14099999999999999</v>
      </c>
      <c r="Q5">
        <f>ROUND(KURT(expen_income_netincome[Net Income]), 3)</f>
        <v>-8.4000000000000005E-2</v>
      </c>
      <c r="X5" s="6" t="s">
        <v>316</v>
      </c>
      <c r="AB5" s="6" t="s">
        <v>359</v>
      </c>
      <c r="AF5" s="6" t="s">
        <v>377</v>
      </c>
    </row>
    <row r="6" spans="1:38" x14ac:dyDescent="0.25">
      <c r="A6" s="4" t="s">
        <v>311</v>
      </c>
      <c r="C6">
        <v>17732</v>
      </c>
      <c r="H6" s="5">
        <v>45292</v>
      </c>
      <c r="I6">
        <v>9647</v>
      </c>
      <c r="J6">
        <v>25466</v>
      </c>
      <c r="K6">
        <f>expen_income_netincome[[#This Row],[Income]] - expen_income_netincome[[#This Row],[Expenses]]</f>
        <v>15819</v>
      </c>
      <c r="L6" s="23">
        <f>IFERROR(ROUND((expen_income_netincome[[#This Row],[Income]] - J5) /J5 * 100, 2), 0)</f>
        <v>-41.41</v>
      </c>
      <c r="N6" t="s">
        <v>333</v>
      </c>
      <c r="O6">
        <f>ROUND(AVERAGE(expen_income_netincome[Expenses]), 2)</f>
        <v>17122.599999999999</v>
      </c>
      <c r="P6">
        <f>ROUND(AVERAGE(expen_income_netincome[Income]), 2)</f>
        <v>38396.47</v>
      </c>
      <c r="Q6">
        <f>ROUND(AVERAGE(expen_income_netincome[Net Income]), 2)</f>
        <v>21273.87</v>
      </c>
      <c r="X6" s="2" t="s">
        <v>299</v>
      </c>
      <c r="Y6" s="2" t="s">
        <v>300</v>
      </c>
      <c r="AB6" t="s">
        <v>370</v>
      </c>
      <c r="AC6" t="s">
        <v>342</v>
      </c>
      <c r="AD6" t="s">
        <v>341</v>
      </c>
      <c r="AF6" t="s">
        <v>292</v>
      </c>
      <c r="AG6" t="s">
        <v>371</v>
      </c>
      <c r="AH6" t="s">
        <v>374</v>
      </c>
      <c r="AI6" t="s">
        <v>372</v>
      </c>
      <c r="AJ6" t="s">
        <v>375</v>
      </c>
      <c r="AK6" t="s">
        <v>373</v>
      </c>
      <c r="AL6" t="s">
        <v>376</v>
      </c>
    </row>
    <row r="7" spans="1:38" x14ac:dyDescent="0.25">
      <c r="A7" s="4" t="s">
        <v>312</v>
      </c>
      <c r="C7">
        <v>25588</v>
      </c>
      <c r="H7" s="5">
        <v>45323</v>
      </c>
      <c r="I7">
        <v>17583</v>
      </c>
      <c r="J7">
        <v>25195</v>
      </c>
      <c r="K7">
        <f>expen_income_netincome[[#This Row],[Income]] - expen_income_netincome[[#This Row],[Expenses]]</f>
        <v>7612</v>
      </c>
      <c r="L7" s="23">
        <f>IFERROR(ROUND((expen_income_netincome[[#This Row],[Income]] - J6) /J6 * 100, 2), 0)</f>
        <v>-1.06</v>
      </c>
      <c r="N7" t="s">
        <v>334</v>
      </c>
      <c r="O7">
        <f>ROUND(_xlfn.STDEV.S(expen_income_netincome[Expenses]), 2)</f>
        <v>6503.81</v>
      </c>
      <c r="P7">
        <f>ROUND(_xlfn.STDEV.S(expen_income_netincome[Income]), 2)</f>
        <v>14463.22</v>
      </c>
      <c r="Q7">
        <f>ROUND(_xlfn.STDEV.S(expen_income_netincome[Net Income]), 2)</f>
        <v>17890.349999999999</v>
      </c>
      <c r="X7" s="2" t="s">
        <v>294</v>
      </c>
      <c r="Y7" t="s">
        <v>15</v>
      </c>
      <c r="Z7" t="s">
        <v>7</v>
      </c>
      <c r="AB7" s="3" t="s">
        <v>231</v>
      </c>
      <c r="AC7">
        <v>1021</v>
      </c>
      <c r="AD7">
        <v>1</v>
      </c>
      <c r="AF7" s="25">
        <f>'Pivot &amp; derived tables'!H6</f>
        <v>45292</v>
      </c>
      <c r="AG7">
        <v>9647</v>
      </c>
      <c r="AH7">
        <f>ROUND(AVERAGE('Pivot &amp; derived tables'!I4:I6), 2)</f>
        <v>17283.669999999998</v>
      </c>
      <c r="AI7">
        <v>25466</v>
      </c>
      <c r="AJ7">
        <f>ROUND(AVERAGE('Pivot &amp; derived tables'!J4:J6), 2)</f>
        <v>46319</v>
      </c>
      <c r="AK7">
        <f t="shared" ref="AK7:AK19" si="0">J6 - I6</f>
        <v>15819</v>
      </c>
      <c r="AL7">
        <f>ROUND(AVERAGE('Pivot &amp; derived tables'!K4:K6), 2)</f>
        <v>29035.33</v>
      </c>
    </row>
    <row r="8" spans="1:38" x14ac:dyDescent="0.25">
      <c r="A8" s="4" t="s">
        <v>301</v>
      </c>
      <c r="B8">
        <v>10181</v>
      </c>
      <c r="C8">
        <v>70026</v>
      </c>
      <c r="H8" s="5">
        <v>45352</v>
      </c>
      <c r="I8">
        <v>18789</v>
      </c>
      <c r="J8">
        <v>25195</v>
      </c>
      <c r="K8">
        <f>expen_income_netincome[[#This Row],[Income]] - expen_income_netincome[[#This Row],[Expenses]]</f>
        <v>6406</v>
      </c>
      <c r="L8" s="23">
        <f>IFERROR(ROUND((expen_income_netincome[[#This Row],[Income]] - J7) /J7 * 100, 2), 0)</f>
        <v>0</v>
      </c>
      <c r="N8" t="s">
        <v>335</v>
      </c>
      <c r="O8">
        <f>MEDIAN(expen_income_netincome[Expenses])</f>
        <v>17583</v>
      </c>
      <c r="P8">
        <f>MEDIAN(expen_income_netincome[Income])</f>
        <v>32231</v>
      </c>
      <c r="Q8">
        <f>MEDIAN(expen_income_netincome[Net Income])</f>
        <v>15819</v>
      </c>
      <c r="X8" s="3" t="s">
        <v>296</v>
      </c>
      <c r="AB8" s="3" t="s">
        <v>326</v>
      </c>
      <c r="AC8">
        <v>25000</v>
      </c>
      <c r="AD8">
        <v>1</v>
      </c>
      <c r="AF8" s="25">
        <f>'Pivot &amp; derived tables'!H7</f>
        <v>45323</v>
      </c>
      <c r="AG8">
        <v>17583</v>
      </c>
      <c r="AH8">
        <f>ROUND(AVERAGE('Pivot &amp; derived tables'!I5:I7), 2)</f>
        <v>19751</v>
      </c>
      <c r="AI8">
        <v>25195</v>
      </c>
      <c r="AJ8">
        <f>ROUND(AVERAGE('Pivot &amp; derived tables'!J5:J7), 2)</f>
        <v>31375.33</v>
      </c>
      <c r="AK8">
        <f t="shared" si="0"/>
        <v>7612</v>
      </c>
      <c r="AL8">
        <f>ROUND(AVERAGE('Pivot &amp; derived tables'!K5:K7), 2)</f>
        <v>11624.33</v>
      </c>
    </row>
    <row r="9" spans="1:38" x14ac:dyDescent="0.25">
      <c r="A9" s="4" t="s">
        <v>302</v>
      </c>
      <c r="B9">
        <v>32023</v>
      </c>
      <c r="C9">
        <v>43465</v>
      </c>
      <c r="H9" s="5">
        <v>45383</v>
      </c>
      <c r="I9">
        <v>16059</v>
      </c>
      <c r="J9">
        <v>32231</v>
      </c>
      <c r="K9">
        <f>expen_income_netincome[[#This Row],[Income]] - expen_income_netincome[[#This Row],[Expenses]]</f>
        <v>16172</v>
      </c>
      <c r="L9" s="23">
        <f>IFERROR(ROUND((expen_income_netincome[[#This Row],[Income]] - J8) /J8 * 100, 2), 0)</f>
        <v>27.93</v>
      </c>
      <c r="N9" t="s">
        <v>336</v>
      </c>
      <c r="O9" cm="1">
        <f t="array" ref="O9">ROUND(SUM(ABS(expen_income_netincome[Expenses] - O8)) / COUNT(expen_income_netincome[Expenses]), 2)</f>
        <v>5193.47</v>
      </c>
      <c r="P9" cm="1">
        <f t="array" ref="P9">ROUND(SUM(ABS(expen_income_netincome[Income] - P8)) / COUNT(expen_income_netincome[Income]), 2)</f>
        <v>11545.07</v>
      </c>
      <c r="Q9" cm="1">
        <f t="array" ref="Q9">ROUND(SUM(ABS(expen_income_netincome[Net Income] - Q8)) / COUNT(expen_income_netincome[Net Income]), 2)</f>
        <v>13871.8</v>
      </c>
      <c r="X9" s="4" t="s">
        <v>311</v>
      </c>
      <c r="Z9">
        <v>17732</v>
      </c>
      <c r="AB9" s="3" t="s">
        <v>330</v>
      </c>
      <c r="AC9">
        <v>27000</v>
      </c>
      <c r="AD9">
        <v>1</v>
      </c>
      <c r="AF9" s="25">
        <f>'Pivot &amp; derived tables'!H8</f>
        <v>45352</v>
      </c>
      <c r="AG9">
        <v>18789</v>
      </c>
      <c r="AH9">
        <f>ROUND(AVERAGE('Pivot &amp; derived tables'!I6:I8), 2)</f>
        <v>15339.67</v>
      </c>
      <c r="AI9">
        <v>25195</v>
      </c>
      <c r="AJ9">
        <f>ROUND(AVERAGE('Pivot &amp; derived tables'!J6:J8), 2)</f>
        <v>25285.33</v>
      </c>
      <c r="AK9">
        <f t="shared" si="0"/>
        <v>6406</v>
      </c>
      <c r="AL9">
        <f>ROUND(AVERAGE('Pivot &amp; derived tables'!K6:K8), 2)</f>
        <v>9945.67</v>
      </c>
    </row>
    <row r="10" spans="1:38" x14ac:dyDescent="0.25">
      <c r="A10" s="3" t="s">
        <v>297</v>
      </c>
      <c r="B10">
        <v>194999</v>
      </c>
      <c r="C10">
        <v>436053</v>
      </c>
      <c r="H10" s="5">
        <v>45413</v>
      </c>
      <c r="I10">
        <v>12242</v>
      </c>
      <c r="J10">
        <v>52230</v>
      </c>
      <c r="K10">
        <f>expen_income_netincome[[#This Row],[Income]] - expen_income_netincome[[#This Row],[Expenses]]</f>
        <v>39988</v>
      </c>
      <c r="L10" s="23">
        <f>IFERROR(ROUND((expen_income_netincome[[#This Row],[Income]] - J9) /J9 * 100, 2), 0)</f>
        <v>62.05</v>
      </c>
      <c r="N10" s="9">
        <v>0.25</v>
      </c>
      <c r="O10">
        <f>_xlfn.PERCENTILE.EXC(expen_income_netincome[Expenses], 0.25)</f>
        <v>11107</v>
      </c>
      <c r="P10">
        <f>_xlfn.PERCENTILE.EXC(expen_income_netincome[Income], 0.25)</f>
        <v>25466</v>
      </c>
      <c r="Q10">
        <f>_xlfn.PERCENTILE.EXC(expen_income_netincome[Net Income], 0.25)</f>
        <v>6767</v>
      </c>
      <c r="X10" s="4" t="s">
        <v>312</v>
      </c>
      <c r="Z10">
        <v>25588</v>
      </c>
      <c r="AB10" s="3" t="s">
        <v>200</v>
      </c>
      <c r="AC10">
        <v>5000</v>
      </c>
      <c r="AD10">
        <v>1</v>
      </c>
      <c r="AF10" s="25">
        <f>'Pivot &amp; derived tables'!H9</f>
        <v>45383</v>
      </c>
      <c r="AG10">
        <v>16059</v>
      </c>
      <c r="AH10">
        <f>ROUND(AVERAGE('Pivot &amp; derived tables'!I7:I9), 2)</f>
        <v>17477</v>
      </c>
      <c r="AI10">
        <v>32231</v>
      </c>
      <c r="AJ10">
        <f>ROUND(AVERAGE('Pivot &amp; derived tables'!J7:J9), 2)</f>
        <v>27540.33</v>
      </c>
      <c r="AK10">
        <f t="shared" si="0"/>
        <v>16172</v>
      </c>
      <c r="AL10">
        <f>ROUND(AVERAGE('Pivot &amp; derived tables'!K7:K9), 2)</f>
        <v>10063.33</v>
      </c>
    </row>
    <row r="11" spans="1:38" x14ac:dyDescent="0.25">
      <c r="A11" s="4" t="s">
        <v>303</v>
      </c>
      <c r="B11">
        <v>9647</v>
      </c>
      <c r="C11">
        <v>25466</v>
      </c>
      <c r="H11" s="5">
        <v>45444</v>
      </c>
      <c r="I11">
        <v>20411</v>
      </c>
      <c r="J11">
        <v>25231</v>
      </c>
      <c r="K11">
        <f>expen_income_netincome[[#This Row],[Income]] - expen_income_netincome[[#This Row],[Expenses]]</f>
        <v>4820</v>
      </c>
      <c r="L11" s="23">
        <f>IFERROR(ROUND((expen_income_netincome[[#This Row],[Income]] - J10) /J10 * 100, 2), 0)</f>
        <v>-51.69</v>
      </c>
      <c r="N11" s="9">
        <v>0.75</v>
      </c>
      <c r="O11">
        <f>_xlfn.PERCENTILE.INC(expen_income_netincome[Expenses], 0.75)</f>
        <v>20455</v>
      </c>
      <c r="P11">
        <f>_xlfn.PERCENTILE.INC(expen_income_netincome[Income], 0.75)</f>
        <v>47473</v>
      </c>
      <c r="Q11">
        <f>_xlfn.PERCENTILE.INC(expen_income_netincome[Net Income], 0.75)</f>
        <v>31253.5</v>
      </c>
      <c r="X11" s="4" t="s">
        <v>301</v>
      </c>
      <c r="Y11">
        <v>10181</v>
      </c>
      <c r="Z11">
        <v>70026</v>
      </c>
      <c r="AB11" s="3" t="s">
        <v>249</v>
      </c>
      <c r="AC11">
        <v>5000</v>
      </c>
      <c r="AD11">
        <v>1</v>
      </c>
      <c r="AF11" s="25">
        <f>'Pivot &amp; derived tables'!H10</f>
        <v>45413</v>
      </c>
      <c r="AG11">
        <v>12242</v>
      </c>
      <c r="AH11">
        <f>ROUND(AVERAGE('Pivot &amp; derived tables'!I8:I10), 2)</f>
        <v>15696.67</v>
      </c>
      <c r="AI11">
        <v>52230</v>
      </c>
      <c r="AJ11">
        <f>ROUND(AVERAGE('Pivot &amp; derived tables'!J8:J10), 2)</f>
        <v>36552</v>
      </c>
      <c r="AK11">
        <f t="shared" si="0"/>
        <v>39988</v>
      </c>
      <c r="AL11">
        <f>ROUND(AVERAGE('Pivot &amp; derived tables'!K8:K10), 2)</f>
        <v>20855.330000000002</v>
      </c>
    </row>
    <row r="12" spans="1:38" x14ac:dyDescent="0.25">
      <c r="A12" s="4" t="s">
        <v>304</v>
      </c>
      <c r="B12">
        <v>17583</v>
      </c>
      <c r="C12">
        <v>25195</v>
      </c>
      <c r="H12" s="5">
        <v>45474</v>
      </c>
      <c r="I12">
        <v>21985</v>
      </c>
      <c r="J12">
        <v>30278</v>
      </c>
      <c r="K12">
        <f>expen_income_netincome[[#This Row],[Income]] - expen_income_netincome[[#This Row],[Expenses]]</f>
        <v>8293</v>
      </c>
      <c r="L12" s="23">
        <f>IFERROR(ROUND((expen_income_netincome[[#This Row],[Income]] - J11) /J11 * 100, 2), 0)</f>
        <v>20</v>
      </c>
      <c r="X12" s="4" t="s">
        <v>302</v>
      </c>
      <c r="Y12">
        <v>32023</v>
      </c>
      <c r="Z12">
        <v>43465</v>
      </c>
      <c r="AB12" s="3" t="s">
        <v>210</v>
      </c>
      <c r="AC12">
        <v>5000</v>
      </c>
      <c r="AD12">
        <v>1</v>
      </c>
      <c r="AF12" s="25">
        <f>'Pivot &amp; derived tables'!H11</f>
        <v>45444</v>
      </c>
      <c r="AG12">
        <v>20411</v>
      </c>
      <c r="AH12">
        <f>ROUND(AVERAGE('Pivot &amp; derived tables'!I9:I11), 2)</f>
        <v>16237.33</v>
      </c>
      <c r="AI12">
        <v>25231</v>
      </c>
      <c r="AJ12">
        <f>ROUND(AVERAGE('Pivot &amp; derived tables'!J9:J11), 2)</f>
        <v>36564</v>
      </c>
      <c r="AK12">
        <f t="shared" si="0"/>
        <v>4820</v>
      </c>
      <c r="AL12">
        <f>ROUND(AVERAGE('Pivot &amp; derived tables'!K9:K11), 2)</f>
        <v>20326.669999999998</v>
      </c>
    </row>
    <row r="13" spans="1:38" x14ac:dyDescent="0.25">
      <c r="A13" s="4" t="s">
        <v>305</v>
      </c>
      <c r="B13">
        <v>18789</v>
      </c>
      <c r="C13">
        <v>25195</v>
      </c>
      <c r="H13" s="5">
        <v>45505</v>
      </c>
      <c r="I13">
        <v>11107</v>
      </c>
      <c r="J13">
        <v>42632</v>
      </c>
      <c r="K13">
        <f>expen_income_netincome[[#This Row],[Income]] - expen_income_netincome[[#This Row],[Expenses]]</f>
        <v>31525</v>
      </c>
      <c r="L13" s="23">
        <f>IFERROR(ROUND((expen_income_netincome[[#This Row],[Income]] - J12) /J12 * 100, 2), 0)</f>
        <v>40.799999999999997</v>
      </c>
      <c r="X13" s="3" t="s">
        <v>297</v>
      </c>
      <c r="AB13" s="3" t="s">
        <v>147</v>
      </c>
      <c r="AC13">
        <v>6000</v>
      </c>
      <c r="AD13">
        <v>1</v>
      </c>
      <c r="AF13" s="25">
        <f>'Pivot &amp; derived tables'!H12</f>
        <v>45474</v>
      </c>
      <c r="AG13">
        <v>21985</v>
      </c>
      <c r="AH13">
        <f>ROUND(AVERAGE('Pivot &amp; derived tables'!I10:I12), 2)</f>
        <v>18212.669999999998</v>
      </c>
      <c r="AI13">
        <v>30278</v>
      </c>
      <c r="AJ13">
        <f>ROUND(AVERAGE('Pivot &amp; derived tables'!J10:J12), 2)</f>
        <v>35913</v>
      </c>
      <c r="AK13">
        <f t="shared" si="0"/>
        <v>8293</v>
      </c>
      <c r="AL13">
        <f>ROUND(AVERAGE('Pivot &amp; derived tables'!K10:K12), 2)</f>
        <v>17700.330000000002</v>
      </c>
    </row>
    <row r="14" spans="1:38" ht="21" x14ac:dyDescent="0.35">
      <c r="A14" s="4" t="s">
        <v>306</v>
      </c>
      <c r="B14">
        <v>16059</v>
      </c>
      <c r="C14">
        <v>32231</v>
      </c>
      <c r="H14" s="5">
        <v>45536</v>
      </c>
      <c r="I14">
        <v>11720</v>
      </c>
      <c r="J14">
        <v>38620</v>
      </c>
      <c r="K14">
        <f>expen_income_netincome[[#This Row],[Income]] - expen_income_netincome[[#This Row],[Expenses]]</f>
        <v>26900</v>
      </c>
      <c r="L14" s="23">
        <f>IFERROR(ROUND((expen_income_netincome[[#This Row],[Income]] - J13) /J13 * 100, 2), 0)</f>
        <v>-9.41</v>
      </c>
      <c r="P14" s="6" t="s">
        <v>359</v>
      </c>
      <c r="X14" s="4" t="s">
        <v>303</v>
      </c>
      <c r="Y14">
        <v>9647</v>
      </c>
      <c r="Z14">
        <v>25466</v>
      </c>
      <c r="AB14" s="3" t="s">
        <v>33</v>
      </c>
      <c r="AC14">
        <v>44732</v>
      </c>
      <c r="AD14">
        <v>1</v>
      </c>
      <c r="AF14" s="25">
        <f>'Pivot &amp; derived tables'!H13</f>
        <v>45505</v>
      </c>
      <c r="AG14">
        <v>11107</v>
      </c>
      <c r="AH14">
        <f>ROUND(AVERAGE('Pivot &amp; derived tables'!I11:I13), 2)</f>
        <v>17834.330000000002</v>
      </c>
      <c r="AI14">
        <v>42632</v>
      </c>
      <c r="AJ14">
        <f>ROUND(AVERAGE('Pivot &amp; derived tables'!J11:J13), 2)</f>
        <v>32713.67</v>
      </c>
      <c r="AK14">
        <f t="shared" si="0"/>
        <v>31525</v>
      </c>
      <c r="AL14">
        <f>ROUND(AVERAGE('Pivot &amp; derived tables'!K11:K13), 2)</f>
        <v>14879.33</v>
      </c>
    </row>
    <row r="15" spans="1:38" x14ac:dyDescent="0.25">
      <c r="A15" s="4" t="s">
        <v>307</v>
      </c>
      <c r="B15">
        <v>12242</v>
      </c>
      <c r="C15">
        <v>52230</v>
      </c>
      <c r="H15" s="5">
        <v>45566</v>
      </c>
      <c r="I15">
        <v>25236</v>
      </c>
      <c r="J15">
        <v>27502</v>
      </c>
      <c r="K15">
        <f>expen_income_netincome[[#This Row],[Income]] - expen_income_netincome[[#This Row],[Expenses]]</f>
        <v>2266</v>
      </c>
      <c r="L15" s="23">
        <f>IFERROR(ROUND((expen_income_netincome[[#This Row],[Income]] - J14) /J14 * 100, 2), 0)</f>
        <v>-28.79</v>
      </c>
      <c r="Q15" s="2" t="s">
        <v>300</v>
      </c>
      <c r="X15" s="4" t="s">
        <v>304</v>
      </c>
      <c r="Y15">
        <v>17583</v>
      </c>
      <c r="Z15">
        <v>25195</v>
      </c>
      <c r="AB15" s="3" t="s">
        <v>325</v>
      </c>
      <c r="AC15">
        <v>12400</v>
      </c>
      <c r="AD15">
        <v>1</v>
      </c>
      <c r="AF15" s="25">
        <f>'Pivot &amp; derived tables'!H14</f>
        <v>45536</v>
      </c>
      <c r="AG15">
        <v>11720</v>
      </c>
      <c r="AH15">
        <f>ROUND(AVERAGE('Pivot &amp; derived tables'!I12:I14), 2)</f>
        <v>14937.33</v>
      </c>
      <c r="AI15">
        <v>38620</v>
      </c>
      <c r="AJ15">
        <f>ROUND(AVERAGE('Pivot &amp; derived tables'!J12:J14), 2)</f>
        <v>37176.67</v>
      </c>
      <c r="AK15">
        <f t="shared" si="0"/>
        <v>26900</v>
      </c>
      <c r="AL15">
        <f>ROUND(AVERAGE('Pivot &amp; derived tables'!K12:K14), 2)</f>
        <v>22239.33</v>
      </c>
    </row>
    <row r="16" spans="1:38" x14ac:dyDescent="0.25">
      <c r="A16" s="4" t="s">
        <v>308</v>
      </c>
      <c r="B16">
        <v>20411</v>
      </c>
      <c r="C16">
        <v>25231</v>
      </c>
      <c r="H16" s="5">
        <v>45597</v>
      </c>
      <c r="I16">
        <v>9721</v>
      </c>
      <c r="J16">
        <v>59992</v>
      </c>
      <c r="K16">
        <f>expen_income_netincome[[#This Row],[Income]] - expen_income_netincome[[#This Row],[Expenses]]</f>
        <v>50271</v>
      </c>
      <c r="L16" s="23">
        <f>IFERROR(ROUND((expen_income_netincome[[#This Row],[Income]] - J15) /J15 * 100, 2), 0)</f>
        <v>118.14</v>
      </c>
      <c r="Q16" t="s">
        <v>7</v>
      </c>
      <c r="X16" s="4" t="s">
        <v>305</v>
      </c>
      <c r="Y16">
        <v>18789</v>
      </c>
      <c r="Z16">
        <v>25195</v>
      </c>
      <c r="AB16" s="3" t="s">
        <v>318</v>
      </c>
      <c r="AC16">
        <v>430554</v>
      </c>
      <c r="AD16">
        <v>32</v>
      </c>
      <c r="AF16" s="25">
        <f>'Pivot &amp; derived tables'!H15</f>
        <v>45566</v>
      </c>
      <c r="AG16">
        <v>25236</v>
      </c>
      <c r="AH16">
        <f>ROUND(AVERAGE('Pivot &amp; derived tables'!I13:I15), 2)</f>
        <v>16021</v>
      </c>
      <c r="AI16">
        <v>27502</v>
      </c>
      <c r="AJ16">
        <f>ROUND(AVERAGE('Pivot &amp; derived tables'!J13:J15), 2)</f>
        <v>36251.33</v>
      </c>
      <c r="AK16">
        <f t="shared" si="0"/>
        <v>2266</v>
      </c>
      <c r="AL16">
        <f>ROUND(AVERAGE('Pivot &amp; derived tables'!K13:K15), 2)</f>
        <v>20230.330000000002</v>
      </c>
    </row>
    <row r="17" spans="1:38" x14ac:dyDescent="0.25">
      <c r="A17" s="4" t="s">
        <v>309</v>
      </c>
      <c r="B17">
        <v>21985</v>
      </c>
      <c r="C17">
        <v>30278</v>
      </c>
      <c r="H17" s="5">
        <v>45627</v>
      </c>
      <c r="I17">
        <v>20499</v>
      </c>
      <c r="J17">
        <v>51481</v>
      </c>
      <c r="K17">
        <f>expen_income_netincome[[#This Row],[Income]] - expen_income_netincome[[#This Row],[Expenses]]</f>
        <v>30982</v>
      </c>
      <c r="L17" s="23">
        <f>IFERROR(ROUND((expen_income_netincome[[#This Row],[Income]] - J16) /J16 * 100, 2), 0)</f>
        <v>-14.19</v>
      </c>
      <c r="P17" s="2" t="s">
        <v>294</v>
      </c>
      <c r="Q17" t="s">
        <v>342</v>
      </c>
      <c r="R17" t="s">
        <v>341</v>
      </c>
      <c r="S17" t="s">
        <v>360</v>
      </c>
      <c r="X17" s="4" t="s">
        <v>306</v>
      </c>
      <c r="Y17">
        <v>16059</v>
      </c>
      <c r="Z17">
        <v>32231</v>
      </c>
      <c r="AB17" s="3" t="s">
        <v>71</v>
      </c>
      <c r="AC17">
        <v>18000</v>
      </c>
      <c r="AD17">
        <v>1</v>
      </c>
      <c r="AF17" s="25">
        <f>'Pivot &amp; derived tables'!H16</f>
        <v>45597</v>
      </c>
      <c r="AG17">
        <v>9721</v>
      </c>
      <c r="AH17">
        <f>ROUND(AVERAGE('Pivot &amp; derived tables'!I14:I16), 2)</f>
        <v>15559</v>
      </c>
      <c r="AI17">
        <v>59992</v>
      </c>
      <c r="AJ17">
        <f>ROUND(AVERAGE('Pivot &amp; derived tables'!J14:J16), 2)</f>
        <v>42038</v>
      </c>
      <c r="AK17">
        <f t="shared" si="0"/>
        <v>50271</v>
      </c>
      <c r="AL17">
        <f>ROUND(AVERAGE('Pivot &amp; derived tables'!K14:K16), 2)</f>
        <v>26479</v>
      </c>
    </row>
    <row r="18" spans="1:38" x14ac:dyDescent="0.25">
      <c r="A18" s="4" t="s">
        <v>310</v>
      </c>
      <c r="B18">
        <v>11107</v>
      </c>
      <c r="C18">
        <v>42632</v>
      </c>
      <c r="H18" s="5">
        <v>45658</v>
      </c>
      <c r="I18">
        <v>19636</v>
      </c>
      <c r="J18">
        <v>26403</v>
      </c>
      <c r="K18">
        <f>expen_income_netincome[[#This Row],[Income]] - expen_income_netincome[[#This Row],[Expenses]]</f>
        <v>6767</v>
      </c>
      <c r="L18" s="23">
        <f>IFERROR(ROUND((expen_income_netincome[[#This Row],[Income]] - J17) /J17 * 100, 2), 0)</f>
        <v>-48.71</v>
      </c>
      <c r="P18" s="3" t="s">
        <v>231</v>
      </c>
      <c r="Q18">
        <v>1021</v>
      </c>
      <c r="R18">
        <v>1</v>
      </c>
      <c r="S18" s="17">
        <v>1.6487234100961297E-3</v>
      </c>
      <c r="X18" s="4" t="s">
        <v>307</v>
      </c>
      <c r="Y18">
        <v>12242</v>
      </c>
      <c r="Z18">
        <v>52230</v>
      </c>
      <c r="AB18" s="3" t="s">
        <v>17</v>
      </c>
      <c r="AC18">
        <v>12560</v>
      </c>
      <c r="AD18">
        <v>1</v>
      </c>
      <c r="AF18" s="25">
        <f>'Pivot &amp; derived tables'!H17</f>
        <v>45627</v>
      </c>
      <c r="AG18">
        <v>20499</v>
      </c>
      <c r="AH18">
        <f>ROUND(AVERAGE('Pivot &amp; derived tables'!I15:I17), 2)</f>
        <v>18485.330000000002</v>
      </c>
      <c r="AI18">
        <v>51481</v>
      </c>
      <c r="AJ18">
        <f>ROUND(AVERAGE('Pivot &amp; derived tables'!J15:J17), 2)</f>
        <v>46325</v>
      </c>
      <c r="AK18">
        <f t="shared" si="0"/>
        <v>30982</v>
      </c>
      <c r="AL18">
        <f>ROUND(AVERAGE('Pivot &amp; derived tables'!K15:K17), 2)</f>
        <v>27839.67</v>
      </c>
    </row>
    <row r="19" spans="1:38" x14ac:dyDescent="0.25">
      <c r="A19" s="4" t="s">
        <v>311</v>
      </c>
      <c r="B19">
        <v>11720</v>
      </c>
      <c r="C19">
        <v>38620</v>
      </c>
      <c r="P19" s="3" t="s">
        <v>326</v>
      </c>
      <c r="Q19">
        <v>25000</v>
      </c>
      <c r="R19">
        <v>1</v>
      </c>
      <c r="S19" s="17">
        <v>4.037030876826958E-2</v>
      </c>
      <c r="X19" s="4" t="s">
        <v>308</v>
      </c>
      <c r="Y19">
        <v>20411</v>
      </c>
      <c r="Z19">
        <v>25231</v>
      </c>
      <c r="AB19" s="3" t="s">
        <v>327</v>
      </c>
      <c r="AC19">
        <v>27000</v>
      </c>
      <c r="AD19">
        <v>1</v>
      </c>
      <c r="AF19" s="25">
        <f>'Pivot &amp; derived tables'!H18</f>
        <v>45658</v>
      </c>
      <c r="AG19">
        <v>19636</v>
      </c>
      <c r="AH19">
        <f>ROUND(AVERAGE('Pivot &amp; derived tables'!I16:I18), 2)</f>
        <v>16618.669999999998</v>
      </c>
      <c r="AI19">
        <v>26403</v>
      </c>
      <c r="AJ19">
        <f>ROUND(AVERAGE('Pivot &amp; derived tables'!J16:J18), 2)</f>
        <v>45958.67</v>
      </c>
      <c r="AK19">
        <f t="shared" si="0"/>
        <v>6767</v>
      </c>
      <c r="AL19">
        <f>ROUND(AVERAGE('Pivot &amp; derived tables'!K16:K18), 2)</f>
        <v>29340</v>
      </c>
    </row>
    <row r="20" spans="1:38" x14ac:dyDescent="0.25">
      <c r="A20" s="4" t="s">
        <v>312</v>
      </c>
      <c r="B20">
        <v>25236</v>
      </c>
      <c r="C20">
        <v>27502</v>
      </c>
      <c r="P20" s="3" t="s">
        <v>330</v>
      </c>
      <c r="Q20">
        <v>27000</v>
      </c>
      <c r="R20">
        <v>1</v>
      </c>
      <c r="S20" s="17">
        <v>4.359993346973115E-2</v>
      </c>
      <c r="X20" s="4" t="s">
        <v>309</v>
      </c>
      <c r="Y20">
        <v>21985</v>
      </c>
      <c r="Z20">
        <v>30278</v>
      </c>
    </row>
    <row r="21" spans="1:38" x14ac:dyDescent="0.25">
      <c r="A21" s="4" t="s">
        <v>301</v>
      </c>
      <c r="B21">
        <v>9721</v>
      </c>
      <c r="C21">
        <v>59992</v>
      </c>
      <c r="P21" s="3" t="s">
        <v>200</v>
      </c>
      <c r="Q21">
        <v>5000</v>
      </c>
      <c r="R21">
        <v>1</v>
      </c>
      <c r="S21" s="17">
        <v>8.0740617536539175E-3</v>
      </c>
      <c r="X21" s="4" t="s">
        <v>310</v>
      </c>
      <c r="Y21">
        <v>11107</v>
      </c>
      <c r="Z21">
        <v>42632</v>
      </c>
    </row>
    <row r="22" spans="1:38" ht="21" x14ac:dyDescent="0.35">
      <c r="A22" s="4" t="s">
        <v>302</v>
      </c>
      <c r="B22">
        <v>20499</v>
      </c>
      <c r="C22">
        <v>51481</v>
      </c>
      <c r="H22" s="6" t="s">
        <v>343</v>
      </c>
      <c r="P22" s="3" t="s">
        <v>249</v>
      </c>
      <c r="Q22">
        <v>5000</v>
      </c>
      <c r="R22">
        <v>1</v>
      </c>
      <c r="S22" s="17">
        <v>8.0740617536539175E-3</v>
      </c>
      <c r="X22" s="4" t="s">
        <v>311</v>
      </c>
      <c r="Y22">
        <v>11720</v>
      </c>
      <c r="Z22">
        <v>38620</v>
      </c>
    </row>
    <row r="23" spans="1:38" x14ac:dyDescent="0.25">
      <c r="A23" s="3" t="s">
        <v>298</v>
      </c>
      <c r="B23">
        <v>19636</v>
      </c>
      <c r="C23">
        <v>26403</v>
      </c>
      <c r="I23" s="2" t="s">
        <v>294</v>
      </c>
      <c r="J23" t="s">
        <v>339</v>
      </c>
      <c r="K23" t="s">
        <v>340</v>
      </c>
      <c r="L23" t="s">
        <v>342</v>
      </c>
      <c r="M23" t="s">
        <v>341</v>
      </c>
      <c r="P23" s="3" t="s">
        <v>210</v>
      </c>
      <c r="Q23">
        <v>5000</v>
      </c>
      <c r="R23">
        <v>1</v>
      </c>
      <c r="S23" s="17">
        <v>8.0740617536539175E-3</v>
      </c>
      <c r="X23" s="4" t="s">
        <v>312</v>
      </c>
      <c r="Y23">
        <v>25236</v>
      </c>
      <c r="Z23">
        <v>27502</v>
      </c>
    </row>
    <row r="24" spans="1:38" x14ac:dyDescent="0.25">
      <c r="A24" s="4" t="s">
        <v>303</v>
      </c>
      <c r="B24">
        <v>19636</v>
      </c>
      <c r="C24">
        <v>26403</v>
      </c>
      <c r="I24" s="3" t="s">
        <v>15</v>
      </c>
      <c r="J24" s="8">
        <v>439.79280821917808</v>
      </c>
      <c r="K24" s="8">
        <v>1081.4702414960386</v>
      </c>
      <c r="L24">
        <v>256839</v>
      </c>
      <c r="M24">
        <v>584</v>
      </c>
      <c r="P24" s="3" t="s">
        <v>147</v>
      </c>
      <c r="Q24">
        <v>6000</v>
      </c>
      <c r="R24">
        <v>1</v>
      </c>
      <c r="S24" s="17">
        <v>9.6888741043847006E-3</v>
      </c>
      <c r="X24" s="4" t="s">
        <v>301</v>
      </c>
      <c r="Y24">
        <v>9721</v>
      </c>
      <c r="Z24">
        <v>59992</v>
      </c>
    </row>
    <row r="25" spans="1:38" x14ac:dyDescent="0.25">
      <c r="A25" s="3" t="s">
        <v>295</v>
      </c>
      <c r="B25">
        <v>256839</v>
      </c>
      <c r="C25">
        <v>619267</v>
      </c>
      <c r="I25" s="3" t="s">
        <v>7</v>
      </c>
      <c r="J25" s="8">
        <v>14074.25</v>
      </c>
      <c r="K25" s="8">
        <v>6963.4261552606013</v>
      </c>
      <c r="L25">
        <v>619267</v>
      </c>
      <c r="M25">
        <v>44</v>
      </c>
      <c r="P25" s="3" t="s">
        <v>33</v>
      </c>
      <c r="Q25">
        <v>44732</v>
      </c>
      <c r="R25">
        <v>1</v>
      </c>
      <c r="S25" s="17">
        <v>7.2233786072889397E-2</v>
      </c>
      <c r="X25" s="4" t="s">
        <v>302</v>
      </c>
      <c r="Y25">
        <v>20499</v>
      </c>
      <c r="Z25">
        <v>51481</v>
      </c>
    </row>
    <row r="26" spans="1:38" x14ac:dyDescent="0.25">
      <c r="P26" s="3" t="s">
        <v>325</v>
      </c>
      <c r="Q26">
        <v>12400</v>
      </c>
      <c r="R26">
        <v>1</v>
      </c>
      <c r="S26" s="17">
        <v>2.0023673149061713E-2</v>
      </c>
      <c r="X26" s="3" t="s">
        <v>298</v>
      </c>
    </row>
    <row r="27" spans="1:38" x14ac:dyDescent="0.25">
      <c r="P27" s="3" t="s">
        <v>318</v>
      </c>
      <c r="Q27">
        <v>430554</v>
      </c>
      <c r="R27">
        <v>32</v>
      </c>
      <c r="S27" s="17">
        <v>0.69526391685654165</v>
      </c>
      <c r="X27" s="4" t="s">
        <v>303</v>
      </c>
      <c r="Y27">
        <v>19636</v>
      </c>
      <c r="Z27">
        <v>26403</v>
      </c>
    </row>
    <row r="28" spans="1:38" ht="21" x14ac:dyDescent="0.35">
      <c r="A28" s="7" t="s">
        <v>328</v>
      </c>
      <c r="P28" s="3" t="s">
        <v>71</v>
      </c>
      <c r="Q28">
        <v>18000</v>
      </c>
      <c r="R28">
        <v>1</v>
      </c>
      <c r="S28" s="17">
        <v>2.90666223131541E-2</v>
      </c>
      <c r="X28" s="3" t="s">
        <v>295</v>
      </c>
      <c r="Y28">
        <v>256839</v>
      </c>
      <c r="Z28">
        <v>619267</v>
      </c>
    </row>
    <row r="29" spans="1:38" x14ac:dyDescent="0.25">
      <c r="A29" s="2" t="s">
        <v>299</v>
      </c>
      <c r="B29" s="2" t="s">
        <v>300</v>
      </c>
      <c r="P29" s="3" t="s">
        <v>17</v>
      </c>
      <c r="Q29">
        <v>12560</v>
      </c>
      <c r="R29">
        <v>1</v>
      </c>
      <c r="S29" s="17">
        <v>2.0282043125178638E-2</v>
      </c>
    </row>
    <row r="30" spans="1:38" x14ac:dyDescent="0.25">
      <c r="A30" s="2" t="s">
        <v>294</v>
      </c>
      <c r="B30" t="s">
        <v>15</v>
      </c>
      <c r="C30" t="s">
        <v>7</v>
      </c>
      <c r="P30" s="3" t="s">
        <v>327</v>
      </c>
      <c r="Q30">
        <v>27000</v>
      </c>
      <c r="R30">
        <v>1</v>
      </c>
      <c r="S30" s="17">
        <v>4.359993346973115E-2</v>
      </c>
    </row>
    <row r="31" spans="1:38" ht="21" x14ac:dyDescent="0.35">
      <c r="A31" s="3" t="s">
        <v>231</v>
      </c>
      <c r="C31">
        <v>1021</v>
      </c>
      <c r="P31" s="3" t="s">
        <v>295</v>
      </c>
      <c r="Q31">
        <v>619267</v>
      </c>
      <c r="R31">
        <v>44</v>
      </c>
      <c r="S31" s="17">
        <v>1</v>
      </c>
      <c r="X31" s="6" t="s">
        <v>350</v>
      </c>
    </row>
    <row r="32" spans="1:38" x14ac:dyDescent="0.25">
      <c r="A32" s="3" t="s">
        <v>326</v>
      </c>
      <c r="C32">
        <v>25000</v>
      </c>
      <c r="X32" t="s">
        <v>2</v>
      </c>
      <c r="Y32" t="s">
        <v>3</v>
      </c>
      <c r="Z32" t="s">
        <v>387</v>
      </c>
      <c r="AA32" t="s">
        <v>408</v>
      </c>
      <c r="AB32" t="s">
        <v>409</v>
      </c>
    </row>
    <row r="33" spans="1:28" ht="21" x14ac:dyDescent="0.35">
      <c r="A33" s="3" t="s">
        <v>170</v>
      </c>
      <c r="B33">
        <v>640</v>
      </c>
      <c r="H33" s="6" t="s">
        <v>350</v>
      </c>
      <c r="M33" s="6" t="s">
        <v>358</v>
      </c>
      <c r="X33" t="s">
        <v>216</v>
      </c>
      <c r="Y33">
        <v>1000</v>
      </c>
      <c r="Z33">
        <v>1</v>
      </c>
      <c r="AA33">
        <v>1000</v>
      </c>
      <c r="AB33">
        <f>ROUND(Table23[[#This Row],[amount]] / SUM(Table23[amount]) * 100, 2)</f>
        <v>3.92</v>
      </c>
    </row>
    <row r="34" spans="1:28" ht="24" x14ac:dyDescent="0.4">
      <c r="A34" s="3" t="s">
        <v>319</v>
      </c>
      <c r="B34">
        <v>3340</v>
      </c>
      <c r="I34" s="2" t="s">
        <v>300</v>
      </c>
      <c r="M34" s="2" t="s">
        <v>299</v>
      </c>
      <c r="N34" s="2" t="s">
        <v>300</v>
      </c>
      <c r="P34" s="12" t="s">
        <v>352</v>
      </c>
      <c r="X34" t="s">
        <v>198</v>
      </c>
      <c r="Y34">
        <v>125</v>
      </c>
      <c r="Z34">
        <v>1</v>
      </c>
      <c r="AA34">
        <v>125</v>
      </c>
      <c r="AB34">
        <f>ROUND(Table23[[#This Row],[amount]] / SUM(Table23[amount]) * 100, 2)</f>
        <v>0.49</v>
      </c>
    </row>
    <row r="35" spans="1:28" ht="21" x14ac:dyDescent="0.35">
      <c r="A35" s="3" t="s">
        <v>135</v>
      </c>
      <c r="B35">
        <v>95</v>
      </c>
      <c r="I35" t="s">
        <v>21</v>
      </c>
      <c r="N35" t="s">
        <v>28</v>
      </c>
      <c r="P35" t="s">
        <v>337</v>
      </c>
      <c r="Q35" t="s">
        <v>15</v>
      </c>
      <c r="T35" s="6" t="s">
        <v>358</v>
      </c>
      <c r="X35" t="s">
        <v>35</v>
      </c>
      <c r="Y35">
        <v>1960</v>
      </c>
      <c r="Z35">
        <v>7</v>
      </c>
      <c r="AA35">
        <v>280</v>
      </c>
      <c r="AB35">
        <f>ROUND(Table23[[#This Row],[amount]] / SUM(Table23[amount]) * 100, 2)</f>
        <v>7.69</v>
      </c>
    </row>
    <row r="36" spans="1:28" x14ac:dyDescent="0.25">
      <c r="A36" s="3" t="s">
        <v>251</v>
      </c>
      <c r="B36">
        <v>300</v>
      </c>
      <c r="P36" t="s">
        <v>331</v>
      </c>
      <c r="Q36">
        <f>ROUND(SKEW($N$38:$N$86), 3)</f>
        <v>5.2999999999999999E-2</v>
      </c>
      <c r="T36" t="s">
        <v>1</v>
      </c>
      <c r="U36" t="s">
        <v>351</v>
      </c>
      <c r="X36" t="s">
        <v>176</v>
      </c>
      <c r="Y36">
        <v>258</v>
      </c>
      <c r="Z36">
        <v>2</v>
      </c>
      <c r="AA36">
        <v>129</v>
      </c>
      <c r="AB36">
        <f>ROUND(Table23[[#This Row],[amount]] / SUM(Table23[amount]) * 100, 2)</f>
        <v>1.01</v>
      </c>
    </row>
    <row r="37" spans="1:28" x14ac:dyDescent="0.25">
      <c r="A37" s="3" t="s">
        <v>267</v>
      </c>
      <c r="B37">
        <v>210</v>
      </c>
      <c r="H37" s="2" t="s">
        <v>294</v>
      </c>
      <c r="I37" t="s">
        <v>299</v>
      </c>
      <c r="J37" t="s">
        <v>406</v>
      </c>
      <c r="K37" t="s">
        <v>407</v>
      </c>
      <c r="M37" s="2" t="s">
        <v>294</v>
      </c>
      <c r="P37" t="s">
        <v>332</v>
      </c>
      <c r="Q37">
        <f>ROUND(KURT($N$38:$N$86), 3)</f>
        <v>0.58499999999999996</v>
      </c>
      <c r="T37" s="10">
        <v>45243</v>
      </c>
      <c r="U37">
        <v>150</v>
      </c>
      <c r="X37" t="s">
        <v>154</v>
      </c>
      <c r="Y37">
        <v>399</v>
      </c>
      <c r="Z37">
        <v>1</v>
      </c>
      <c r="AA37">
        <v>399</v>
      </c>
      <c r="AB37">
        <f>ROUND(Table23[[#This Row],[amount]] / SUM(Table23[amount]) * 100, 2)</f>
        <v>1.56</v>
      </c>
    </row>
    <row r="38" spans="1:28" x14ac:dyDescent="0.25">
      <c r="A38" s="3" t="s">
        <v>265</v>
      </c>
      <c r="B38">
        <v>1050</v>
      </c>
      <c r="H38" s="3" t="s">
        <v>216</v>
      </c>
      <c r="I38">
        <v>1000</v>
      </c>
      <c r="J38">
        <v>1</v>
      </c>
      <c r="K38">
        <v>1000</v>
      </c>
      <c r="M38" s="10">
        <v>45243</v>
      </c>
      <c r="N38">
        <v>150</v>
      </c>
      <c r="P38" t="s">
        <v>333</v>
      </c>
      <c r="Q38">
        <f>ROUND(AVERAGE($N$38:$N$86), 2)</f>
        <v>125.59</v>
      </c>
      <c r="T38" s="10">
        <v>45245</v>
      </c>
      <c r="U38">
        <v>125</v>
      </c>
      <c r="X38" t="s">
        <v>149</v>
      </c>
      <c r="Y38">
        <v>500</v>
      </c>
      <c r="Z38">
        <v>1</v>
      </c>
      <c r="AA38">
        <v>500</v>
      </c>
      <c r="AB38">
        <f>ROUND(Table23[[#This Row],[amount]] / SUM(Table23[amount]) * 100, 2)</f>
        <v>1.96</v>
      </c>
    </row>
    <row r="39" spans="1:28" x14ac:dyDescent="0.25">
      <c r="A39" s="3" t="s">
        <v>216</v>
      </c>
      <c r="B39">
        <v>1000</v>
      </c>
      <c r="H39" s="3" t="s">
        <v>198</v>
      </c>
      <c r="I39">
        <v>125</v>
      </c>
      <c r="J39">
        <v>1</v>
      </c>
      <c r="K39">
        <v>125</v>
      </c>
      <c r="M39" s="10">
        <v>45245</v>
      </c>
      <c r="N39">
        <v>125</v>
      </c>
      <c r="P39" t="s">
        <v>334</v>
      </c>
      <c r="Q39">
        <f>ROUND(_xlfn.STDEV.S($N$38:$N$86), 2)</f>
        <v>48.81</v>
      </c>
      <c r="T39" s="10">
        <v>45253</v>
      </c>
      <c r="U39">
        <v>125</v>
      </c>
      <c r="X39" t="s">
        <v>323</v>
      </c>
      <c r="Y39">
        <v>150</v>
      </c>
      <c r="Z39">
        <v>1</v>
      </c>
      <c r="AA39">
        <v>150</v>
      </c>
      <c r="AB39">
        <f>ROUND(Table23[[#This Row],[amount]] / SUM(Table23[amount]) * 100, 2)</f>
        <v>0.59</v>
      </c>
    </row>
    <row r="40" spans="1:28" x14ac:dyDescent="0.25">
      <c r="A40" s="3" t="s">
        <v>111</v>
      </c>
      <c r="B40">
        <v>1099</v>
      </c>
      <c r="H40" s="3" t="s">
        <v>35</v>
      </c>
      <c r="I40">
        <v>1960</v>
      </c>
      <c r="J40">
        <v>7</v>
      </c>
      <c r="K40">
        <v>280</v>
      </c>
      <c r="M40" s="10">
        <v>45253</v>
      </c>
      <c r="N40">
        <v>125</v>
      </c>
      <c r="P40" t="s">
        <v>335</v>
      </c>
      <c r="Q40">
        <f>MEDIAN($N$38:$N$86)</f>
        <v>125</v>
      </c>
      <c r="T40" s="10">
        <v>45262</v>
      </c>
      <c r="U40">
        <v>125</v>
      </c>
      <c r="X40" t="s">
        <v>24</v>
      </c>
      <c r="Y40">
        <v>2823</v>
      </c>
      <c r="Z40">
        <v>12</v>
      </c>
      <c r="AA40">
        <v>235.25</v>
      </c>
      <c r="AB40">
        <f>ROUND(Table23[[#This Row],[amount]] / SUM(Table23[amount]) * 100, 2)</f>
        <v>11.07</v>
      </c>
    </row>
    <row r="41" spans="1:28" x14ac:dyDescent="0.25">
      <c r="A41" s="3" t="s">
        <v>145</v>
      </c>
      <c r="B41">
        <v>73000</v>
      </c>
      <c r="H41" s="3" t="s">
        <v>176</v>
      </c>
      <c r="I41">
        <v>258</v>
      </c>
      <c r="J41">
        <v>2</v>
      </c>
      <c r="K41">
        <v>129</v>
      </c>
      <c r="M41" s="10">
        <v>45262</v>
      </c>
      <c r="N41">
        <v>125</v>
      </c>
      <c r="P41" t="s">
        <v>336</v>
      </c>
      <c r="Q41" cm="1">
        <f t="array" ref="Q41">ROUND(SUM(ABS($N$38:$N$86 - Q40)) / COUNT($N$38:$N$86), 2)</f>
        <v>30.18</v>
      </c>
      <c r="T41" s="10">
        <v>45268</v>
      </c>
      <c r="U41">
        <v>125</v>
      </c>
      <c r="X41" t="s">
        <v>324</v>
      </c>
      <c r="Y41">
        <v>1705</v>
      </c>
      <c r="Z41">
        <v>7</v>
      </c>
      <c r="AA41">
        <v>243.57</v>
      </c>
      <c r="AB41">
        <f>ROUND(Table23[[#This Row],[amount]] / SUM(Table23[amount]) * 100, 2)</f>
        <v>6.69</v>
      </c>
    </row>
    <row r="42" spans="1:28" x14ac:dyDescent="0.25">
      <c r="A42" s="3" t="s">
        <v>256</v>
      </c>
      <c r="B42">
        <v>12</v>
      </c>
      <c r="H42" s="3" t="s">
        <v>154</v>
      </c>
      <c r="I42">
        <v>399</v>
      </c>
      <c r="J42">
        <v>1</v>
      </c>
      <c r="K42">
        <v>399</v>
      </c>
      <c r="M42" s="10">
        <v>45268</v>
      </c>
      <c r="N42">
        <v>125</v>
      </c>
      <c r="P42" s="9">
        <v>0.25</v>
      </c>
      <c r="Q42">
        <f>_xlfn.PERCENTILE.EXC($N$38:$N$86, 0.25)</f>
        <v>125</v>
      </c>
      <c r="T42" s="10">
        <v>45298</v>
      </c>
      <c r="U42">
        <v>175</v>
      </c>
      <c r="X42" t="s">
        <v>28</v>
      </c>
      <c r="Y42">
        <v>6154</v>
      </c>
      <c r="Z42">
        <v>66</v>
      </c>
      <c r="AA42">
        <v>93.24</v>
      </c>
      <c r="AB42">
        <f>ROUND(Table23[[#This Row],[amount]] / SUM(Table23[amount]) * 100, 2)</f>
        <v>24.13</v>
      </c>
    </row>
    <row r="43" spans="1:28" x14ac:dyDescent="0.25">
      <c r="A43" s="3" t="s">
        <v>137</v>
      </c>
      <c r="B43">
        <v>372</v>
      </c>
      <c r="H43" s="3" t="s">
        <v>149</v>
      </c>
      <c r="I43">
        <v>500</v>
      </c>
      <c r="J43">
        <v>1</v>
      </c>
      <c r="K43">
        <v>500</v>
      </c>
      <c r="M43" s="10">
        <v>45298</v>
      </c>
      <c r="N43">
        <v>175</v>
      </c>
      <c r="P43" s="9">
        <v>0.75</v>
      </c>
      <c r="Q43">
        <f>_xlfn.PERCENTILE.INC($N$38:$N$86, 0.75)</f>
        <v>129</v>
      </c>
      <c r="T43" s="10">
        <v>45299</v>
      </c>
      <c r="U43">
        <v>25</v>
      </c>
      <c r="X43" t="s">
        <v>195</v>
      </c>
      <c r="Y43">
        <v>650</v>
      </c>
      <c r="Z43">
        <v>1</v>
      </c>
      <c r="AA43">
        <v>650</v>
      </c>
      <c r="AB43">
        <f>ROUND(Table23[[#This Row],[amount]] / SUM(Table23[amount]) * 100, 2)</f>
        <v>2.5499999999999998</v>
      </c>
    </row>
    <row r="44" spans="1:28" x14ac:dyDescent="0.25">
      <c r="A44" s="3" t="s">
        <v>274</v>
      </c>
      <c r="B44">
        <v>69</v>
      </c>
      <c r="H44" s="3" t="s">
        <v>323</v>
      </c>
      <c r="I44">
        <v>150</v>
      </c>
      <c r="J44">
        <v>1</v>
      </c>
      <c r="K44">
        <v>150</v>
      </c>
      <c r="M44" s="10">
        <v>45299</v>
      </c>
      <c r="N44">
        <v>25</v>
      </c>
      <c r="T44" s="10">
        <v>45300</v>
      </c>
      <c r="U44">
        <v>50</v>
      </c>
      <c r="X44" t="s">
        <v>64</v>
      </c>
      <c r="Y44">
        <v>3981</v>
      </c>
      <c r="Z44">
        <v>20</v>
      </c>
      <c r="AA44">
        <v>199.05</v>
      </c>
      <c r="AB44">
        <f>ROUND(Table23[[#This Row],[amount]] / SUM(Table23[amount]) * 100, 2)</f>
        <v>15.61</v>
      </c>
    </row>
    <row r="45" spans="1:28" x14ac:dyDescent="0.25">
      <c r="A45" s="3" t="s">
        <v>275</v>
      </c>
      <c r="B45">
        <v>269</v>
      </c>
      <c r="H45" s="3" t="s">
        <v>24</v>
      </c>
      <c r="I45">
        <v>2823</v>
      </c>
      <c r="J45">
        <v>12</v>
      </c>
      <c r="K45">
        <v>235.25</v>
      </c>
      <c r="M45" s="10">
        <v>45300</v>
      </c>
      <c r="N45">
        <v>50</v>
      </c>
      <c r="T45" s="10">
        <v>45306</v>
      </c>
      <c r="U45">
        <v>125</v>
      </c>
      <c r="X45" t="s">
        <v>50</v>
      </c>
      <c r="Y45">
        <v>4494</v>
      </c>
      <c r="Z45">
        <v>7</v>
      </c>
      <c r="AA45">
        <v>642</v>
      </c>
      <c r="AB45">
        <f>ROUND(Table23[[#This Row],[amount]] / SUM(Table23[amount]) * 100, 2)</f>
        <v>17.62</v>
      </c>
    </row>
    <row r="46" spans="1:28" x14ac:dyDescent="0.25">
      <c r="A46" s="3" t="s">
        <v>56</v>
      </c>
      <c r="B46">
        <v>3600</v>
      </c>
      <c r="H46" s="3" t="s">
        <v>324</v>
      </c>
      <c r="I46">
        <v>1705</v>
      </c>
      <c r="J46">
        <v>7</v>
      </c>
      <c r="K46">
        <v>243.57142857142858</v>
      </c>
      <c r="M46" s="10">
        <v>45306</v>
      </c>
      <c r="N46">
        <v>125</v>
      </c>
      <c r="T46" s="10">
        <v>45309</v>
      </c>
      <c r="U46">
        <v>125</v>
      </c>
      <c r="X46" t="s">
        <v>34</v>
      </c>
      <c r="Y46">
        <v>1290</v>
      </c>
      <c r="Z46">
        <v>10</v>
      </c>
      <c r="AA46">
        <v>129</v>
      </c>
      <c r="AB46">
        <f>ROUND(Table23[[#This Row],[amount]] / SUM(Table23[amount]) * 100, 2)</f>
        <v>5.0599999999999996</v>
      </c>
    </row>
    <row r="47" spans="1:28" x14ac:dyDescent="0.25">
      <c r="A47" s="3" t="s">
        <v>244</v>
      </c>
      <c r="B47">
        <v>500</v>
      </c>
      <c r="H47" s="3" t="s">
        <v>28</v>
      </c>
      <c r="I47">
        <v>6154</v>
      </c>
      <c r="J47">
        <v>66</v>
      </c>
      <c r="K47">
        <v>93.242424242424249</v>
      </c>
      <c r="M47" s="10">
        <v>45309</v>
      </c>
      <c r="N47">
        <v>125</v>
      </c>
      <c r="T47" s="10">
        <v>45310</v>
      </c>
      <c r="U47">
        <v>125</v>
      </c>
      <c r="X47" t="s">
        <v>219</v>
      </c>
      <c r="Y47">
        <v>15</v>
      </c>
      <c r="Z47">
        <v>1</v>
      </c>
      <c r="AA47">
        <v>15</v>
      </c>
      <c r="AB47">
        <f>ROUND(Table23[[#This Row],[amount]] / SUM(Table23[amount]) * 100, 2)</f>
        <v>0.06</v>
      </c>
    </row>
    <row r="48" spans="1:28" x14ac:dyDescent="0.25">
      <c r="A48" s="3" t="s">
        <v>31</v>
      </c>
      <c r="B48">
        <v>300</v>
      </c>
      <c r="H48" s="3" t="s">
        <v>195</v>
      </c>
      <c r="I48">
        <v>650</v>
      </c>
      <c r="J48">
        <v>1</v>
      </c>
      <c r="K48">
        <v>650</v>
      </c>
      <c r="M48" s="10">
        <v>45310</v>
      </c>
      <c r="N48">
        <v>125</v>
      </c>
      <c r="T48" s="10">
        <v>45311</v>
      </c>
      <c r="U48">
        <v>125</v>
      </c>
    </row>
    <row r="49" spans="1:29" x14ac:dyDescent="0.25">
      <c r="A49" s="3" t="s">
        <v>280</v>
      </c>
      <c r="B49">
        <v>720</v>
      </c>
      <c r="H49" s="3" t="s">
        <v>64</v>
      </c>
      <c r="I49">
        <v>3981</v>
      </c>
      <c r="J49">
        <v>20</v>
      </c>
      <c r="K49">
        <v>199.05</v>
      </c>
      <c r="M49" s="10">
        <v>45311</v>
      </c>
      <c r="N49">
        <v>125</v>
      </c>
      <c r="T49" s="10">
        <v>45312</v>
      </c>
      <c r="U49">
        <v>125</v>
      </c>
    </row>
    <row r="50" spans="1:29" ht="21" x14ac:dyDescent="0.35">
      <c r="A50" s="3" t="s">
        <v>47</v>
      </c>
      <c r="B50">
        <v>463</v>
      </c>
      <c r="H50" s="3" t="s">
        <v>50</v>
      </c>
      <c r="I50">
        <v>4494</v>
      </c>
      <c r="J50">
        <v>7</v>
      </c>
      <c r="K50">
        <v>642</v>
      </c>
      <c r="M50" s="10">
        <v>45312</v>
      </c>
      <c r="N50">
        <v>125</v>
      </c>
      <c r="T50" s="10">
        <v>45315</v>
      </c>
      <c r="U50">
        <v>150</v>
      </c>
      <c r="X50" s="6"/>
      <c r="AB50" s="6"/>
    </row>
    <row r="51" spans="1:29" x14ac:dyDescent="0.25">
      <c r="A51" s="3" t="s">
        <v>96</v>
      </c>
      <c r="B51">
        <v>930</v>
      </c>
      <c r="H51" s="3" t="s">
        <v>34</v>
      </c>
      <c r="I51">
        <v>1290</v>
      </c>
      <c r="J51">
        <v>10</v>
      </c>
      <c r="K51">
        <v>129</v>
      </c>
      <c r="M51" s="10">
        <v>45315</v>
      </c>
      <c r="N51">
        <v>150</v>
      </c>
      <c r="T51" s="10">
        <v>45316</v>
      </c>
      <c r="U51">
        <v>125</v>
      </c>
    </row>
    <row r="52" spans="1:29" x14ac:dyDescent="0.25">
      <c r="A52" s="3" t="s">
        <v>97</v>
      </c>
      <c r="B52">
        <v>1990</v>
      </c>
      <c r="H52" s="3" t="s">
        <v>219</v>
      </c>
      <c r="I52">
        <v>15</v>
      </c>
      <c r="J52">
        <v>1</v>
      </c>
      <c r="K52">
        <v>15</v>
      </c>
      <c r="M52" s="10">
        <v>45316</v>
      </c>
      <c r="N52">
        <v>125</v>
      </c>
      <c r="T52" s="10">
        <v>45322</v>
      </c>
      <c r="U52">
        <v>125</v>
      </c>
      <c r="AB52" s="33"/>
      <c r="AC52" s="22"/>
    </row>
    <row r="53" spans="1:29" x14ac:dyDescent="0.25">
      <c r="A53" s="3" t="s">
        <v>196</v>
      </c>
      <c r="B53">
        <v>150</v>
      </c>
      <c r="H53" s="3" t="s">
        <v>295</v>
      </c>
      <c r="I53">
        <v>25504</v>
      </c>
      <c r="J53">
        <v>138</v>
      </c>
      <c r="K53">
        <v>184.81159420289856</v>
      </c>
      <c r="M53" s="10">
        <v>45322</v>
      </c>
      <c r="N53">
        <v>125</v>
      </c>
      <c r="T53" s="10">
        <v>45323</v>
      </c>
      <c r="U53">
        <v>225</v>
      </c>
      <c r="AB53" s="33"/>
      <c r="AC53" s="22"/>
    </row>
    <row r="54" spans="1:29" x14ac:dyDescent="0.25">
      <c r="A54" s="3" t="s">
        <v>220</v>
      </c>
      <c r="B54">
        <v>22</v>
      </c>
      <c r="M54" s="10">
        <v>45323</v>
      </c>
      <c r="N54">
        <v>225</v>
      </c>
      <c r="T54" s="10">
        <v>45344</v>
      </c>
      <c r="U54">
        <v>129</v>
      </c>
      <c r="AB54" s="33"/>
      <c r="AC54" s="22"/>
    </row>
    <row r="55" spans="1:29" x14ac:dyDescent="0.25">
      <c r="A55" s="3" t="s">
        <v>330</v>
      </c>
      <c r="C55">
        <v>27000</v>
      </c>
      <c r="M55" s="10">
        <v>45344</v>
      </c>
      <c r="N55">
        <v>129</v>
      </c>
      <c r="T55" s="10">
        <v>45353</v>
      </c>
      <c r="U55">
        <v>125</v>
      </c>
      <c r="AB55" s="33"/>
      <c r="AC55" s="22"/>
    </row>
    <row r="56" spans="1:29" x14ac:dyDescent="0.25">
      <c r="A56" s="3" t="s">
        <v>269</v>
      </c>
      <c r="B56">
        <v>2234</v>
      </c>
      <c r="M56" s="10">
        <v>45353</v>
      </c>
      <c r="N56">
        <v>125</v>
      </c>
      <c r="T56" s="10">
        <v>45356</v>
      </c>
      <c r="U56">
        <v>175</v>
      </c>
      <c r="AB56" s="33"/>
      <c r="AC56" s="22"/>
    </row>
    <row r="57" spans="1:29" ht="21" x14ac:dyDescent="0.35">
      <c r="A57" s="3" t="s">
        <v>190</v>
      </c>
      <c r="B57">
        <v>550</v>
      </c>
      <c r="H57" s="6" t="s">
        <v>348</v>
      </c>
      <c r="M57" s="10">
        <v>45356</v>
      </c>
      <c r="N57">
        <v>175</v>
      </c>
      <c r="T57" s="10">
        <v>45384</v>
      </c>
      <c r="U57">
        <v>50</v>
      </c>
    </row>
    <row r="58" spans="1:29" x14ac:dyDescent="0.25">
      <c r="A58" s="3" t="s">
        <v>263</v>
      </c>
      <c r="B58">
        <v>175</v>
      </c>
      <c r="H58" s="2" t="s">
        <v>299</v>
      </c>
      <c r="I58" s="2" t="s">
        <v>300</v>
      </c>
      <c r="M58" s="10">
        <v>45384</v>
      </c>
      <c r="N58">
        <v>50</v>
      </c>
      <c r="T58" s="10">
        <v>45387</v>
      </c>
      <c r="U58">
        <v>125</v>
      </c>
    </row>
    <row r="59" spans="1:29" x14ac:dyDescent="0.25">
      <c r="A59" s="3" t="s">
        <v>146</v>
      </c>
      <c r="B59">
        <v>50</v>
      </c>
      <c r="H59" s="2" t="s">
        <v>294</v>
      </c>
      <c r="I59" t="s">
        <v>15</v>
      </c>
      <c r="M59" s="10">
        <v>45387</v>
      </c>
      <c r="N59">
        <v>125</v>
      </c>
      <c r="T59" s="10">
        <v>45398</v>
      </c>
      <c r="U59">
        <v>125</v>
      </c>
    </row>
    <row r="60" spans="1:29" x14ac:dyDescent="0.25">
      <c r="A60" s="3" t="s">
        <v>229</v>
      </c>
      <c r="B60">
        <v>87</v>
      </c>
      <c r="H60" s="10">
        <v>45235</v>
      </c>
      <c r="I60">
        <v>8636</v>
      </c>
      <c r="M60" s="10">
        <v>45398</v>
      </c>
      <c r="N60">
        <v>125</v>
      </c>
      <c r="T60" s="10">
        <v>45415</v>
      </c>
      <c r="U60">
        <v>175</v>
      </c>
    </row>
    <row r="61" spans="1:29" x14ac:dyDescent="0.25">
      <c r="A61" s="3" t="s">
        <v>243</v>
      </c>
      <c r="B61">
        <v>20</v>
      </c>
      <c r="H61" s="10">
        <v>45236</v>
      </c>
      <c r="I61">
        <v>214</v>
      </c>
      <c r="M61" s="10">
        <v>45415</v>
      </c>
      <c r="N61">
        <v>175</v>
      </c>
      <c r="T61" s="10">
        <v>45418</v>
      </c>
      <c r="U61">
        <v>175</v>
      </c>
    </row>
    <row r="62" spans="1:29" x14ac:dyDescent="0.25">
      <c r="A62" s="3" t="s">
        <v>200</v>
      </c>
      <c r="C62">
        <v>5000</v>
      </c>
      <c r="H62" s="10">
        <v>45240</v>
      </c>
      <c r="I62">
        <v>73</v>
      </c>
      <c r="M62" s="10">
        <v>45418</v>
      </c>
      <c r="N62">
        <v>175</v>
      </c>
      <c r="T62" s="10">
        <v>45430</v>
      </c>
      <c r="U62">
        <v>50</v>
      </c>
    </row>
    <row r="63" spans="1:29" x14ac:dyDescent="0.25">
      <c r="A63" s="3" t="s">
        <v>249</v>
      </c>
      <c r="C63">
        <v>5000</v>
      </c>
      <c r="H63" s="10">
        <v>45243</v>
      </c>
      <c r="I63">
        <v>162</v>
      </c>
      <c r="M63" s="10">
        <v>45430</v>
      </c>
      <c r="N63">
        <v>50</v>
      </c>
      <c r="T63" s="10">
        <v>45440</v>
      </c>
      <c r="U63">
        <v>125</v>
      </c>
    </row>
    <row r="64" spans="1:29" x14ac:dyDescent="0.25">
      <c r="A64" s="3" t="s">
        <v>186</v>
      </c>
      <c r="B64">
        <v>30</v>
      </c>
      <c r="H64" s="10">
        <v>45244</v>
      </c>
      <c r="I64">
        <v>25</v>
      </c>
      <c r="M64" s="10">
        <v>45440</v>
      </c>
      <c r="N64">
        <v>125</v>
      </c>
      <c r="T64" s="10">
        <v>45447</v>
      </c>
      <c r="U64">
        <v>125</v>
      </c>
    </row>
    <row r="65" spans="1:21" x14ac:dyDescent="0.25">
      <c r="A65" s="3" t="s">
        <v>26</v>
      </c>
      <c r="B65">
        <v>43</v>
      </c>
      <c r="H65" s="10">
        <v>45245</v>
      </c>
      <c r="I65">
        <v>125</v>
      </c>
      <c r="M65" s="10">
        <v>45447</v>
      </c>
      <c r="N65">
        <v>125</v>
      </c>
      <c r="T65" s="10">
        <v>45449</v>
      </c>
      <c r="U65">
        <v>125</v>
      </c>
    </row>
    <row r="66" spans="1:21" x14ac:dyDescent="0.25">
      <c r="A66" s="3" t="s">
        <v>32</v>
      </c>
      <c r="B66">
        <v>60</v>
      </c>
      <c r="H66" s="10">
        <v>45246</v>
      </c>
      <c r="I66">
        <v>55</v>
      </c>
      <c r="M66" s="10">
        <v>45449</v>
      </c>
      <c r="N66">
        <v>125</v>
      </c>
      <c r="T66" s="10">
        <v>45450</v>
      </c>
      <c r="U66">
        <v>200</v>
      </c>
    </row>
    <row r="67" spans="1:21" x14ac:dyDescent="0.25">
      <c r="A67" s="3" t="s">
        <v>210</v>
      </c>
      <c r="C67">
        <v>5000</v>
      </c>
      <c r="H67" s="10">
        <v>45247</v>
      </c>
      <c r="I67">
        <v>37</v>
      </c>
      <c r="M67" s="10">
        <v>45450</v>
      </c>
      <c r="N67">
        <v>200</v>
      </c>
      <c r="T67" s="10">
        <v>45456</v>
      </c>
      <c r="U67">
        <v>125</v>
      </c>
    </row>
    <row r="68" spans="1:21" x14ac:dyDescent="0.25">
      <c r="A68" s="3" t="s">
        <v>41</v>
      </c>
      <c r="B68">
        <v>20</v>
      </c>
      <c r="H68" s="10">
        <v>45248</v>
      </c>
      <c r="I68">
        <v>320</v>
      </c>
      <c r="M68" s="10">
        <v>45456</v>
      </c>
      <c r="N68">
        <v>125</v>
      </c>
      <c r="T68" s="10">
        <v>45457</v>
      </c>
      <c r="U68">
        <v>50</v>
      </c>
    </row>
    <row r="69" spans="1:21" x14ac:dyDescent="0.25">
      <c r="A69" s="3" t="s">
        <v>147</v>
      </c>
      <c r="C69">
        <v>6000</v>
      </c>
      <c r="H69" s="10">
        <v>45252</v>
      </c>
      <c r="I69">
        <v>409</v>
      </c>
      <c r="M69" s="10">
        <v>45457</v>
      </c>
      <c r="N69">
        <v>50</v>
      </c>
      <c r="T69" s="10">
        <v>45463</v>
      </c>
      <c r="U69">
        <v>50</v>
      </c>
    </row>
    <row r="70" spans="1:21" x14ac:dyDescent="0.25">
      <c r="A70" s="3" t="s">
        <v>99</v>
      </c>
      <c r="B70">
        <v>77</v>
      </c>
      <c r="H70" s="10">
        <v>45253</v>
      </c>
      <c r="I70">
        <v>125</v>
      </c>
      <c r="M70" s="10">
        <v>45463</v>
      </c>
      <c r="N70">
        <v>50</v>
      </c>
      <c r="T70" s="10">
        <v>45466</v>
      </c>
      <c r="U70">
        <v>225</v>
      </c>
    </row>
    <row r="71" spans="1:21" x14ac:dyDescent="0.25">
      <c r="A71" s="3" t="s">
        <v>197</v>
      </c>
      <c r="B71">
        <v>30</v>
      </c>
      <c r="H71" s="10">
        <v>45262</v>
      </c>
      <c r="I71">
        <v>125</v>
      </c>
      <c r="M71" s="10">
        <v>45466</v>
      </c>
      <c r="N71">
        <v>225</v>
      </c>
      <c r="T71" s="10">
        <v>45470</v>
      </c>
      <c r="U71">
        <v>100</v>
      </c>
    </row>
    <row r="72" spans="1:21" x14ac:dyDescent="0.25">
      <c r="A72" s="3" t="s">
        <v>247</v>
      </c>
      <c r="B72">
        <v>40</v>
      </c>
      <c r="H72" s="10">
        <v>45263</v>
      </c>
      <c r="I72">
        <v>265</v>
      </c>
      <c r="M72" s="10">
        <v>45470</v>
      </c>
      <c r="N72">
        <v>100</v>
      </c>
      <c r="T72" s="10">
        <v>45471</v>
      </c>
      <c r="U72">
        <v>125</v>
      </c>
    </row>
    <row r="73" spans="1:21" x14ac:dyDescent="0.25">
      <c r="A73" s="3" t="s">
        <v>72</v>
      </c>
      <c r="B73">
        <v>600</v>
      </c>
      <c r="H73" s="10">
        <v>45264</v>
      </c>
      <c r="I73">
        <v>1525</v>
      </c>
      <c r="M73" s="10">
        <v>45471</v>
      </c>
      <c r="N73">
        <v>125</v>
      </c>
      <c r="T73" s="10">
        <v>45483</v>
      </c>
      <c r="U73">
        <v>175</v>
      </c>
    </row>
    <row r="74" spans="1:21" x14ac:dyDescent="0.25">
      <c r="A74" s="3" t="s">
        <v>198</v>
      </c>
      <c r="B74">
        <v>525</v>
      </c>
      <c r="H74" s="10">
        <v>45266</v>
      </c>
      <c r="I74">
        <v>239</v>
      </c>
      <c r="M74" s="10">
        <v>45483</v>
      </c>
      <c r="N74">
        <v>175</v>
      </c>
      <c r="T74" s="10">
        <v>45485</v>
      </c>
      <c r="U74">
        <v>50</v>
      </c>
    </row>
    <row r="75" spans="1:21" x14ac:dyDescent="0.25">
      <c r="A75" s="3" t="s">
        <v>124</v>
      </c>
      <c r="B75">
        <v>180</v>
      </c>
      <c r="H75" s="10">
        <v>45267</v>
      </c>
      <c r="I75">
        <v>25</v>
      </c>
      <c r="M75" s="10">
        <v>45485</v>
      </c>
      <c r="N75">
        <v>50</v>
      </c>
      <c r="T75" s="10">
        <v>45503</v>
      </c>
      <c r="U75">
        <v>250</v>
      </c>
    </row>
    <row r="76" spans="1:21" x14ac:dyDescent="0.25">
      <c r="A76" s="3" t="s">
        <v>130</v>
      </c>
      <c r="B76">
        <v>899</v>
      </c>
      <c r="H76" s="10">
        <v>45268</v>
      </c>
      <c r="I76">
        <v>125</v>
      </c>
      <c r="M76" s="10">
        <v>45503</v>
      </c>
      <c r="N76">
        <v>250</v>
      </c>
      <c r="T76" s="10">
        <v>45519</v>
      </c>
      <c r="U76">
        <v>125</v>
      </c>
    </row>
    <row r="77" spans="1:21" x14ac:dyDescent="0.25">
      <c r="A77" s="3" t="s">
        <v>38</v>
      </c>
      <c r="B77">
        <v>9200</v>
      </c>
      <c r="H77" s="10">
        <v>45269</v>
      </c>
      <c r="I77">
        <v>268</v>
      </c>
      <c r="M77" s="10">
        <v>45519</v>
      </c>
      <c r="N77">
        <v>125</v>
      </c>
      <c r="T77" s="10">
        <v>45539</v>
      </c>
      <c r="U77">
        <v>125</v>
      </c>
    </row>
    <row r="78" spans="1:21" x14ac:dyDescent="0.25">
      <c r="A78" s="3" t="s">
        <v>179</v>
      </c>
      <c r="B78">
        <v>90</v>
      </c>
      <c r="H78" s="10">
        <v>45270</v>
      </c>
      <c r="I78">
        <v>7100</v>
      </c>
      <c r="M78" s="10">
        <v>45539</v>
      </c>
      <c r="N78">
        <v>125</v>
      </c>
      <c r="T78" s="10">
        <v>45540</v>
      </c>
      <c r="U78">
        <v>75</v>
      </c>
    </row>
    <row r="79" spans="1:21" x14ac:dyDescent="0.25">
      <c r="A79" s="3" t="s">
        <v>204</v>
      </c>
      <c r="B79">
        <v>1255</v>
      </c>
      <c r="H79" s="10">
        <v>45271</v>
      </c>
      <c r="I79">
        <v>599</v>
      </c>
      <c r="M79" s="10">
        <v>45540</v>
      </c>
      <c r="N79">
        <v>75</v>
      </c>
      <c r="T79" s="10">
        <v>45547</v>
      </c>
      <c r="U79">
        <v>125</v>
      </c>
    </row>
    <row r="80" spans="1:21" x14ac:dyDescent="0.25">
      <c r="A80" s="3" t="s">
        <v>288</v>
      </c>
      <c r="B80">
        <v>135</v>
      </c>
      <c r="H80" s="10">
        <v>45273</v>
      </c>
      <c r="I80">
        <v>70</v>
      </c>
      <c r="M80" s="10">
        <v>45547</v>
      </c>
      <c r="N80">
        <v>125</v>
      </c>
      <c r="T80" s="10">
        <v>45570</v>
      </c>
      <c r="U80">
        <v>175</v>
      </c>
    </row>
    <row r="81" spans="1:21" x14ac:dyDescent="0.25">
      <c r="A81" s="3" t="s">
        <v>49</v>
      </c>
      <c r="B81">
        <v>50</v>
      </c>
      <c r="H81" s="10">
        <v>45274</v>
      </c>
      <c r="I81">
        <v>599</v>
      </c>
      <c r="M81" s="10">
        <v>45570</v>
      </c>
      <c r="N81">
        <v>175</v>
      </c>
      <c r="T81" s="10">
        <v>45581</v>
      </c>
      <c r="U81">
        <v>125</v>
      </c>
    </row>
    <row r="82" spans="1:21" x14ac:dyDescent="0.25">
      <c r="A82" s="3" t="s">
        <v>70</v>
      </c>
      <c r="B82">
        <v>10</v>
      </c>
      <c r="H82" s="10">
        <v>45275</v>
      </c>
      <c r="I82">
        <v>9256</v>
      </c>
      <c r="M82" s="10">
        <v>45581</v>
      </c>
      <c r="N82">
        <v>125</v>
      </c>
      <c r="T82" s="10">
        <v>45584</v>
      </c>
      <c r="U82">
        <v>125</v>
      </c>
    </row>
    <row r="83" spans="1:21" x14ac:dyDescent="0.25">
      <c r="A83" s="3" t="s">
        <v>156</v>
      </c>
      <c r="B83">
        <v>50</v>
      </c>
      <c r="H83" s="10">
        <v>45278</v>
      </c>
      <c r="I83">
        <v>335</v>
      </c>
      <c r="M83" s="10">
        <v>45584</v>
      </c>
      <c r="N83">
        <v>125</v>
      </c>
      <c r="T83" s="10">
        <v>45588</v>
      </c>
      <c r="U83">
        <v>125</v>
      </c>
    </row>
    <row r="84" spans="1:21" x14ac:dyDescent="0.25">
      <c r="A84" s="3" t="s">
        <v>214</v>
      </c>
      <c r="B84">
        <v>700</v>
      </c>
      <c r="H84" s="10">
        <v>45279</v>
      </c>
      <c r="I84">
        <v>199</v>
      </c>
      <c r="M84" s="10">
        <v>45588</v>
      </c>
      <c r="N84">
        <v>125</v>
      </c>
      <c r="T84" s="10">
        <v>45589</v>
      </c>
      <c r="U84">
        <v>125</v>
      </c>
    </row>
    <row r="85" spans="1:21" x14ac:dyDescent="0.25">
      <c r="A85" s="3" t="s">
        <v>185</v>
      </c>
      <c r="B85">
        <v>2542</v>
      </c>
      <c r="H85" s="10">
        <v>45281</v>
      </c>
      <c r="I85">
        <v>768</v>
      </c>
      <c r="M85" s="10">
        <v>45589</v>
      </c>
      <c r="N85">
        <v>125</v>
      </c>
      <c r="T85" s="10">
        <v>45590</v>
      </c>
      <c r="U85">
        <v>25</v>
      </c>
    </row>
    <row r="86" spans="1:21" x14ac:dyDescent="0.25">
      <c r="A86" s="3" t="s">
        <v>159</v>
      </c>
      <c r="B86">
        <v>31270</v>
      </c>
      <c r="H86" s="10">
        <v>45282</v>
      </c>
      <c r="I86">
        <v>129</v>
      </c>
      <c r="M86" s="10">
        <v>45590</v>
      </c>
      <c r="N86">
        <v>25</v>
      </c>
    </row>
    <row r="87" spans="1:21" x14ac:dyDescent="0.25">
      <c r="A87" s="3" t="s">
        <v>35</v>
      </c>
      <c r="B87">
        <v>1960</v>
      </c>
      <c r="H87" s="10">
        <v>45283</v>
      </c>
      <c r="I87">
        <v>4035</v>
      </c>
      <c r="M87" s="10" t="s">
        <v>295</v>
      </c>
      <c r="N87">
        <v>6154</v>
      </c>
    </row>
    <row r="88" spans="1:21" x14ac:dyDescent="0.25">
      <c r="A88" s="3" t="s">
        <v>278</v>
      </c>
      <c r="B88">
        <v>87</v>
      </c>
      <c r="H88" s="10">
        <v>45284</v>
      </c>
      <c r="I88">
        <v>500</v>
      </c>
    </row>
    <row r="89" spans="1:21" x14ac:dyDescent="0.25">
      <c r="A89" s="3" t="s">
        <v>143</v>
      </c>
      <c r="B89">
        <v>40</v>
      </c>
      <c r="H89" s="10">
        <v>45285</v>
      </c>
      <c r="I89">
        <v>100</v>
      </c>
    </row>
    <row r="90" spans="1:21" x14ac:dyDescent="0.25">
      <c r="A90" s="3" t="s">
        <v>194</v>
      </c>
      <c r="B90">
        <v>4000</v>
      </c>
      <c r="H90" s="10">
        <v>45286</v>
      </c>
      <c r="I90">
        <v>199</v>
      </c>
    </row>
    <row r="91" spans="1:21" x14ac:dyDescent="0.25">
      <c r="A91" s="3" t="s">
        <v>77</v>
      </c>
      <c r="B91">
        <v>3000</v>
      </c>
      <c r="H91" s="10">
        <v>45288</v>
      </c>
      <c r="I91">
        <v>5402</v>
      </c>
    </row>
    <row r="92" spans="1:21" ht="21" x14ac:dyDescent="0.35">
      <c r="A92" s="3" t="s">
        <v>58</v>
      </c>
      <c r="B92">
        <v>599</v>
      </c>
      <c r="H92" s="10">
        <v>45291</v>
      </c>
      <c r="I92">
        <v>160</v>
      </c>
      <c r="L92" s="6" t="s">
        <v>410</v>
      </c>
    </row>
    <row r="93" spans="1:21" x14ac:dyDescent="0.25">
      <c r="A93" s="3" t="s">
        <v>276</v>
      </c>
      <c r="B93">
        <v>263</v>
      </c>
      <c r="H93" s="10">
        <v>45292</v>
      </c>
      <c r="I93">
        <v>200</v>
      </c>
      <c r="M93" s="2" t="s">
        <v>300</v>
      </c>
    </row>
    <row r="94" spans="1:21" x14ac:dyDescent="0.25">
      <c r="A94" s="3" t="s">
        <v>242</v>
      </c>
      <c r="B94">
        <v>75</v>
      </c>
      <c r="H94" s="10">
        <v>45297</v>
      </c>
      <c r="I94">
        <v>239</v>
      </c>
      <c r="M94" t="s">
        <v>7</v>
      </c>
    </row>
    <row r="95" spans="1:21" x14ac:dyDescent="0.25">
      <c r="A95" s="3" t="s">
        <v>320</v>
      </c>
      <c r="B95">
        <v>245</v>
      </c>
      <c r="H95" s="10">
        <v>45298</v>
      </c>
      <c r="I95">
        <v>209</v>
      </c>
      <c r="L95" s="2" t="s">
        <v>294</v>
      </c>
      <c r="M95" t="s">
        <v>299</v>
      </c>
      <c r="N95" t="s">
        <v>411</v>
      </c>
      <c r="O95" t="s">
        <v>412</v>
      </c>
    </row>
    <row r="96" spans="1:21" x14ac:dyDescent="0.25">
      <c r="A96" s="3" t="s">
        <v>33</v>
      </c>
      <c r="C96">
        <v>44732</v>
      </c>
      <c r="H96" s="10">
        <v>45299</v>
      </c>
      <c r="I96">
        <v>417</v>
      </c>
      <c r="L96" s="3">
        <v>2023</v>
      </c>
      <c r="M96">
        <v>70026</v>
      </c>
      <c r="N96">
        <v>3</v>
      </c>
      <c r="O96">
        <v>23342</v>
      </c>
    </row>
    <row r="97" spans="1:15" x14ac:dyDescent="0.25">
      <c r="A97" s="3" t="s">
        <v>22</v>
      </c>
      <c r="B97">
        <v>1000</v>
      </c>
      <c r="H97" s="10">
        <v>45300</v>
      </c>
      <c r="I97">
        <v>223</v>
      </c>
      <c r="L97" s="4">
        <v>11</v>
      </c>
      <c r="M97">
        <v>70026</v>
      </c>
      <c r="N97">
        <v>3</v>
      </c>
      <c r="O97">
        <v>23342</v>
      </c>
    </row>
    <row r="98" spans="1:15" x14ac:dyDescent="0.25">
      <c r="A98" s="3" t="s">
        <v>140</v>
      </c>
      <c r="B98">
        <v>200</v>
      </c>
      <c r="H98" s="10">
        <v>45303</v>
      </c>
      <c r="I98">
        <v>5932</v>
      </c>
      <c r="L98" s="22" t="s">
        <v>33</v>
      </c>
      <c r="M98">
        <v>44732</v>
      </c>
      <c r="N98">
        <v>1</v>
      </c>
      <c r="O98">
        <v>44732</v>
      </c>
    </row>
    <row r="99" spans="1:15" x14ac:dyDescent="0.25">
      <c r="A99" s="3" t="s">
        <v>230</v>
      </c>
      <c r="B99">
        <v>500</v>
      </c>
      <c r="H99" s="10">
        <v>45305</v>
      </c>
      <c r="I99">
        <v>260</v>
      </c>
      <c r="L99" s="22" t="s">
        <v>318</v>
      </c>
      <c r="M99">
        <v>12734</v>
      </c>
      <c r="N99">
        <v>1</v>
      </c>
      <c r="O99">
        <v>12734</v>
      </c>
    </row>
    <row r="100" spans="1:15" x14ac:dyDescent="0.25">
      <c r="A100" s="3" t="s">
        <v>87</v>
      </c>
      <c r="B100">
        <v>2990</v>
      </c>
      <c r="H100" s="10">
        <v>45306</v>
      </c>
      <c r="I100">
        <v>425</v>
      </c>
      <c r="L100" s="22" t="s">
        <v>17</v>
      </c>
      <c r="M100">
        <v>12560</v>
      </c>
      <c r="N100">
        <v>1</v>
      </c>
      <c r="O100">
        <v>12560</v>
      </c>
    </row>
    <row r="101" spans="1:15" x14ac:dyDescent="0.25">
      <c r="A101" s="3" t="s">
        <v>167</v>
      </c>
      <c r="B101">
        <v>1026</v>
      </c>
      <c r="H101" s="10">
        <v>45308</v>
      </c>
      <c r="I101">
        <v>200</v>
      </c>
      <c r="L101" s="3">
        <v>2024</v>
      </c>
      <c r="M101">
        <v>59992</v>
      </c>
      <c r="N101">
        <v>4</v>
      </c>
      <c r="O101">
        <v>14998</v>
      </c>
    </row>
    <row r="102" spans="1:15" x14ac:dyDescent="0.25">
      <c r="A102" s="3" t="s">
        <v>329</v>
      </c>
      <c r="B102">
        <v>3800</v>
      </c>
      <c r="H102" s="10">
        <v>45309</v>
      </c>
      <c r="I102">
        <v>125</v>
      </c>
      <c r="L102" s="4">
        <v>11</v>
      </c>
      <c r="M102">
        <v>59992</v>
      </c>
      <c r="N102">
        <v>4</v>
      </c>
      <c r="O102">
        <v>14998</v>
      </c>
    </row>
    <row r="103" spans="1:15" x14ac:dyDescent="0.25">
      <c r="A103" s="3" t="s">
        <v>139</v>
      </c>
      <c r="B103">
        <v>60</v>
      </c>
      <c r="H103" s="10">
        <v>45310</v>
      </c>
      <c r="I103">
        <v>125</v>
      </c>
      <c r="L103" s="22" t="s">
        <v>249</v>
      </c>
      <c r="M103">
        <v>5000</v>
      </c>
      <c r="N103">
        <v>1</v>
      </c>
      <c r="O103">
        <v>5000</v>
      </c>
    </row>
    <row r="104" spans="1:15" x14ac:dyDescent="0.25">
      <c r="A104" s="3" t="s">
        <v>84</v>
      </c>
      <c r="B104">
        <v>500</v>
      </c>
      <c r="H104" s="10">
        <v>45311</v>
      </c>
      <c r="I104">
        <v>125</v>
      </c>
      <c r="L104" s="22" t="s">
        <v>318</v>
      </c>
      <c r="M104">
        <v>27992</v>
      </c>
      <c r="N104">
        <v>2</v>
      </c>
      <c r="O104">
        <v>13996</v>
      </c>
    </row>
    <row r="105" spans="1:15" x14ac:dyDescent="0.25">
      <c r="A105" s="3" t="s">
        <v>271</v>
      </c>
      <c r="B105">
        <v>200</v>
      </c>
      <c r="H105" s="10">
        <v>45312</v>
      </c>
      <c r="I105">
        <v>125</v>
      </c>
      <c r="L105" s="22" t="s">
        <v>327</v>
      </c>
      <c r="M105">
        <v>27000</v>
      </c>
      <c r="N105">
        <v>1</v>
      </c>
      <c r="O105">
        <v>27000</v>
      </c>
    </row>
    <row r="106" spans="1:15" x14ac:dyDescent="0.25">
      <c r="A106" s="3" t="s">
        <v>191</v>
      </c>
      <c r="B106">
        <v>2000</v>
      </c>
      <c r="H106" s="10">
        <v>45313</v>
      </c>
      <c r="I106">
        <v>179</v>
      </c>
      <c r="L106" s="3" t="s">
        <v>295</v>
      </c>
      <c r="M106">
        <v>130018</v>
      </c>
      <c r="N106">
        <v>7</v>
      </c>
      <c r="O106">
        <v>18574</v>
      </c>
    </row>
    <row r="107" spans="1:15" x14ac:dyDescent="0.25">
      <c r="A107" s="3" t="s">
        <v>279</v>
      </c>
      <c r="B107">
        <v>1289</v>
      </c>
      <c r="H107" s="10">
        <v>45315</v>
      </c>
      <c r="I107">
        <v>150</v>
      </c>
    </row>
    <row r="108" spans="1:15" x14ac:dyDescent="0.25">
      <c r="A108" s="3" t="s">
        <v>83</v>
      </c>
      <c r="B108">
        <v>2600</v>
      </c>
      <c r="H108" s="10">
        <v>45316</v>
      </c>
      <c r="I108">
        <v>125</v>
      </c>
    </row>
    <row r="109" spans="1:15" x14ac:dyDescent="0.25">
      <c r="A109" s="3" t="s">
        <v>55</v>
      </c>
      <c r="B109">
        <v>1500</v>
      </c>
      <c r="H109" s="10">
        <v>45320</v>
      </c>
      <c r="I109">
        <v>225</v>
      </c>
    </row>
    <row r="110" spans="1:15" x14ac:dyDescent="0.25">
      <c r="A110" s="3" t="s">
        <v>238</v>
      </c>
      <c r="B110">
        <v>10000</v>
      </c>
      <c r="H110" s="10">
        <v>45321</v>
      </c>
      <c r="I110">
        <v>213</v>
      </c>
    </row>
    <row r="111" spans="1:15" x14ac:dyDescent="0.25">
      <c r="A111" s="3" t="s">
        <v>152</v>
      </c>
      <c r="B111">
        <v>1000</v>
      </c>
      <c r="H111" s="10">
        <v>45322</v>
      </c>
      <c r="I111">
        <v>150</v>
      </c>
    </row>
    <row r="112" spans="1:15" x14ac:dyDescent="0.25">
      <c r="A112" s="3" t="s">
        <v>199</v>
      </c>
      <c r="B112">
        <v>14</v>
      </c>
      <c r="H112" s="10">
        <v>45323</v>
      </c>
      <c r="I112">
        <v>824</v>
      </c>
    </row>
    <row r="113" spans="1:9" x14ac:dyDescent="0.25">
      <c r="A113" s="3" t="s">
        <v>60</v>
      </c>
      <c r="B113">
        <v>60</v>
      </c>
      <c r="H113" s="10">
        <v>45325</v>
      </c>
      <c r="I113">
        <v>375</v>
      </c>
    </row>
    <row r="114" spans="1:9" x14ac:dyDescent="0.25">
      <c r="A114" s="3" t="s">
        <v>30</v>
      </c>
      <c r="B114">
        <v>12</v>
      </c>
      <c r="H114" s="10">
        <v>45328</v>
      </c>
      <c r="I114">
        <v>1500</v>
      </c>
    </row>
    <row r="115" spans="1:9" x14ac:dyDescent="0.25">
      <c r="A115" s="3" t="s">
        <v>169</v>
      </c>
      <c r="B115">
        <v>70</v>
      </c>
      <c r="H115" s="10">
        <v>45329</v>
      </c>
      <c r="I115">
        <v>3941</v>
      </c>
    </row>
    <row r="116" spans="1:9" x14ac:dyDescent="0.25">
      <c r="A116" s="3" t="s">
        <v>207</v>
      </c>
      <c r="B116">
        <v>650</v>
      </c>
      <c r="H116" s="10">
        <v>45331</v>
      </c>
      <c r="I116">
        <v>7678</v>
      </c>
    </row>
    <row r="117" spans="1:9" x14ac:dyDescent="0.25">
      <c r="A117" s="3" t="s">
        <v>241</v>
      </c>
      <c r="B117">
        <v>30</v>
      </c>
      <c r="H117" s="10">
        <v>45332</v>
      </c>
      <c r="I117">
        <v>260</v>
      </c>
    </row>
    <row r="118" spans="1:9" x14ac:dyDescent="0.25">
      <c r="A118" s="3" t="s">
        <v>161</v>
      </c>
      <c r="B118">
        <v>328</v>
      </c>
      <c r="H118" s="10">
        <v>45334</v>
      </c>
      <c r="I118">
        <v>48</v>
      </c>
    </row>
    <row r="119" spans="1:9" x14ac:dyDescent="0.25">
      <c r="A119" s="3" t="s">
        <v>81</v>
      </c>
      <c r="B119">
        <v>1723</v>
      </c>
      <c r="H119" s="10">
        <v>45337</v>
      </c>
      <c r="I119">
        <v>445</v>
      </c>
    </row>
    <row r="120" spans="1:9" x14ac:dyDescent="0.25">
      <c r="A120" s="3" t="s">
        <v>176</v>
      </c>
      <c r="B120">
        <v>258</v>
      </c>
      <c r="H120" s="10">
        <v>45338</v>
      </c>
      <c r="I120">
        <v>448</v>
      </c>
    </row>
    <row r="121" spans="1:9" x14ac:dyDescent="0.25">
      <c r="A121" s="3" t="s">
        <v>259</v>
      </c>
      <c r="B121">
        <v>200</v>
      </c>
      <c r="H121" s="10">
        <v>45342</v>
      </c>
      <c r="I121">
        <v>90</v>
      </c>
    </row>
    <row r="122" spans="1:9" x14ac:dyDescent="0.25">
      <c r="A122" s="3" t="s">
        <v>213</v>
      </c>
      <c r="B122">
        <v>300</v>
      </c>
      <c r="H122" s="10">
        <v>45343</v>
      </c>
      <c r="I122">
        <v>280</v>
      </c>
    </row>
    <row r="123" spans="1:9" x14ac:dyDescent="0.25">
      <c r="A123" s="3" t="s">
        <v>29</v>
      </c>
      <c r="B123">
        <v>220</v>
      </c>
      <c r="H123" s="10">
        <v>45344</v>
      </c>
      <c r="I123">
        <v>129</v>
      </c>
    </row>
    <row r="124" spans="1:9" x14ac:dyDescent="0.25">
      <c r="A124" s="3" t="s">
        <v>154</v>
      </c>
      <c r="B124">
        <v>399</v>
      </c>
      <c r="H124" s="10">
        <v>45346</v>
      </c>
      <c r="I124">
        <v>48</v>
      </c>
    </row>
    <row r="125" spans="1:9" x14ac:dyDescent="0.25">
      <c r="A125" s="3" t="s">
        <v>25</v>
      </c>
      <c r="B125">
        <v>180</v>
      </c>
      <c r="H125" s="10">
        <v>45349</v>
      </c>
      <c r="I125">
        <v>1517</v>
      </c>
    </row>
    <row r="126" spans="1:9" x14ac:dyDescent="0.25">
      <c r="A126" s="3" t="s">
        <v>285</v>
      </c>
      <c r="B126">
        <v>5490</v>
      </c>
      <c r="H126" s="10">
        <v>45353</v>
      </c>
      <c r="I126">
        <v>145</v>
      </c>
    </row>
    <row r="127" spans="1:9" x14ac:dyDescent="0.25">
      <c r="A127" s="3" t="s">
        <v>44</v>
      </c>
      <c r="B127">
        <v>13</v>
      </c>
      <c r="H127" s="10">
        <v>45354</v>
      </c>
      <c r="I127">
        <v>9350</v>
      </c>
    </row>
    <row r="128" spans="1:9" x14ac:dyDescent="0.25">
      <c r="A128" s="3" t="s">
        <v>117</v>
      </c>
      <c r="B128">
        <v>200</v>
      </c>
      <c r="H128" s="10">
        <v>45356</v>
      </c>
      <c r="I128">
        <v>223</v>
      </c>
    </row>
    <row r="129" spans="1:9" x14ac:dyDescent="0.25">
      <c r="A129" s="3" t="s">
        <v>224</v>
      </c>
      <c r="B129">
        <v>35</v>
      </c>
      <c r="H129" s="10">
        <v>45357</v>
      </c>
      <c r="I129">
        <v>239</v>
      </c>
    </row>
    <row r="130" spans="1:9" x14ac:dyDescent="0.25">
      <c r="A130" s="3" t="s">
        <v>23</v>
      </c>
      <c r="B130">
        <v>20</v>
      </c>
      <c r="H130" s="10">
        <v>45361</v>
      </c>
      <c r="I130">
        <v>7036</v>
      </c>
    </row>
    <row r="131" spans="1:9" x14ac:dyDescent="0.25">
      <c r="A131" s="3" t="s">
        <v>82</v>
      </c>
      <c r="B131">
        <v>407</v>
      </c>
      <c r="H131" s="10">
        <v>45365</v>
      </c>
      <c r="I131">
        <v>599</v>
      </c>
    </row>
    <row r="132" spans="1:9" x14ac:dyDescent="0.25">
      <c r="A132" s="3" t="s">
        <v>291</v>
      </c>
      <c r="B132">
        <v>20</v>
      </c>
      <c r="H132" s="10">
        <v>45369</v>
      </c>
      <c r="I132">
        <v>30</v>
      </c>
    </row>
    <row r="133" spans="1:9" x14ac:dyDescent="0.25">
      <c r="A133" s="3" t="s">
        <v>149</v>
      </c>
      <c r="B133">
        <v>500</v>
      </c>
      <c r="H133" s="10">
        <v>45373</v>
      </c>
      <c r="I133">
        <v>129</v>
      </c>
    </row>
    <row r="134" spans="1:9" x14ac:dyDescent="0.25">
      <c r="A134" s="3" t="s">
        <v>40</v>
      </c>
      <c r="B134">
        <v>1953</v>
      </c>
      <c r="H134" s="10">
        <v>45374</v>
      </c>
      <c r="I134">
        <v>280</v>
      </c>
    </row>
    <row r="135" spans="1:9" x14ac:dyDescent="0.25">
      <c r="A135" s="3" t="s">
        <v>43</v>
      </c>
      <c r="B135">
        <v>6587</v>
      </c>
      <c r="H135" s="10">
        <v>45378</v>
      </c>
      <c r="I135">
        <v>370</v>
      </c>
    </row>
    <row r="136" spans="1:9" x14ac:dyDescent="0.25">
      <c r="A136" s="3" t="s">
        <v>273</v>
      </c>
      <c r="B136">
        <v>1150</v>
      </c>
      <c r="H136" s="10">
        <v>45381</v>
      </c>
      <c r="I136">
        <v>250</v>
      </c>
    </row>
    <row r="137" spans="1:9" x14ac:dyDescent="0.25">
      <c r="A137" s="3" t="s">
        <v>187</v>
      </c>
      <c r="B137">
        <v>45</v>
      </c>
      <c r="H137" s="10">
        <v>45382</v>
      </c>
      <c r="I137">
        <v>138</v>
      </c>
    </row>
    <row r="138" spans="1:9" x14ac:dyDescent="0.25">
      <c r="A138" s="3" t="s">
        <v>66</v>
      </c>
      <c r="B138">
        <v>100</v>
      </c>
      <c r="H138" s="10">
        <v>45384</v>
      </c>
      <c r="I138">
        <v>1550</v>
      </c>
    </row>
    <row r="139" spans="1:9" x14ac:dyDescent="0.25">
      <c r="A139" s="3" t="s">
        <v>268</v>
      </c>
      <c r="B139">
        <v>190</v>
      </c>
      <c r="H139" s="10">
        <v>45387</v>
      </c>
      <c r="I139">
        <v>165</v>
      </c>
    </row>
    <row r="140" spans="1:9" x14ac:dyDescent="0.25">
      <c r="A140" s="3" t="s">
        <v>141</v>
      </c>
      <c r="B140">
        <v>50</v>
      </c>
      <c r="H140" s="10">
        <v>45388</v>
      </c>
      <c r="I140">
        <v>239</v>
      </c>
    </row>
    <row r="141" spans="1:9" x14ac:dyDescent="0.25">
      <c r="A141" s="3" t="s">
        <v>106</v>
      </c>
      <c r="B141">
        <v>891</v>
      </c>
      <c r="H141" s="10">
        <v>45389</v>
      </c>
      <c r="I141">
        <v>7560</v>
      </c>
    </row>
    <row r="142" spans="1:9" x14ac:dyDescent="0.25">
      <c r="A142" s="3" t="s">
        <v>18</v>
      </c>
      <c r="B142">
        <v>140</v>
      </c>
      <c r="H142" s="10">
        <v>45391</v>
      </c>
      <c r="I142">
        <v>150</v>
      </c>
    </row>
    <row r="143" spans="1:9" x14ac:dyDescent="0.25">
      <c r="A143" s="3" t="s">
        <v>289</v>
      </c>
      <c r="B143">
        <v>58</v>
      </c>
      <c r="H143" s="10">
        <v>45392</v>
      </c>
      <c r="I143">
        <v>80</v>
      </c>
    </row>
    <row r="144" spans="1:9" x14ac:dyDescent="0.25">
      <c r="A144" s="3" t="s">
        <v>114</v>
      </c>
      <c r="B144">
        <v>25</v>
      </c>
      <c r="H144" s="10">
        <v>45398</v>
      </c>
      <c r="I144">
        <v>323</v>
      </c>
    </row>
    <row r="145" spans="1:9" x14ac:dyDescent="0.25">
      <c r="A145" s="3" t="s">
        <v>282</v>
      </c>
      <c r="B145">
        <v>230</v>
      </c>
      <c r="H145" s="10">
        <v>45402</v>
      </c>
      <c r="I145">
        <v>599</v>
      </c>
    </row>
    <row r="146" spans="1:9" x14ac:dyDescent="0.25">
      <c r="A146" s="3" t="s">
        <v>325</v>
      </c>
      <c r="C146">
        <v>12400</v>
      </c>
      <c r="H146" s="10">
        <v>45403</v>
      </c>
      <c r="I146">
        <v>305</v>
      </c>
    </row>
    <row r="147" spans="1:9" x14ac:dyDescent="0.25">
      <c r="A147" s="3" t="s">
        <v>79</v>
      </c>
      <c r="B147">
        <v>250</v>
      </c>
      <c r="H147" s="10">
        <v>45404</v>
      </c>
      <c r="I147">
        <v>328</v>
      </c>
    </row>
    <row r="148" spans="1:9" x14ac:dyDescent="0.25">
      <c r="A148" s="3" t="s">
        <v>266</v>
      </c>
      <c r="B148">
        <v>100</v>
      </c>
      <c r="H148" s="10">
        <v>45412</v>
      </c>
      <c r="I148">
        <v>4760</v>
      </c>
    </row>
    <row r="149" spans="1:9" x14ac:dyDescent="0.25">
      <c r="A149" s="3" t="s">
        <v>290</v>
      </c>
      <c r="B149">
        <v>18</v>
      </c>
      <c r="H149" s="10">
        <v>45415</v>
      </c>
      <c r="I149">
        <v>2074</v>
      </c>
    </row>
    <row r="150" spans="1:9" x14ac:dyDescent="0.25">
      <c r="A150" s="3" t="s">
        <v>115</v>
      </c>
      <c r="B150">
        <v>98</v>
      </c>
      <c r="H150" s="10">
        <v>45416</v>
      </c>
      <c r="I150">
        <v>7336</v>
      </c>
    </row>
    <row r="151" spans="1:9" x14ac:dyDescent="0.25">
      <c r="A151" s="3" t="s">
        <v>202</v>
      </c>
      <c r="B151">
        <v>25</v>
      </c>
      <c r="H151" s="10">
        <v>45418</v>
      </c>
      <c r="I151">
        <v>175</v>
      </c>
    </row>
    <row r="152" spans="1:9" x14ac:dyDescent="0.25">
      <c r="A152" s="3" t="s">
        <v>321</v>
      </c>
      <c r="B152">
        <v>500</v>
      </c>
      <c r="H152" s="10">
        <v>45419</v>
      </c>
      <c r="I152">
        <v>239</v>
      </c>
    </row>
    <row r="153" spans="1:9" x14ac:dyDescent="0.25">
      <c r="A153" s="3" t="s">
        <v>188</v>
      </c>
      <c r="B153">
        <v>1195</v>
      </c>
      <c r="H153" s="10">
        <v>45420</v>
      </c>
      <c r="I153">
        <v>30</v>
      </c>
    </row>
    <row r="154" spans="1:9" x14ac:dyDescent="0.25">
      <c r="A154" s="3" t="s">
        <v>258</v>
      </c>
      <c r="B154">
        <v>225</v>
      </c>
      <c r="H154" s="10">
        <v>45425</v>
      </c>
      <c r="I154">
        <v>579</v>
      </c>
    </row>
    <row r="155" spans="1:9" x14ac:dyDescent="0.25">
      <c r="A155" s="3" t="s">
        <v>261</v>
      </c>
      <c r="B155">
        <v>180</v>
      </c>
      <c r="H155" s="10">
        <v>45427</v>
      </c>
      <c r="I155">
        <v>30</v>
      </c>
    </row>
    <row r="156" spans="1:9" x14ac:dyDescent="0.25">
      <c r="A156" s="3" t="s">
        <v>74</v>
      </c>
      <c r="B156">
        <v>20</v>
      </c>
      <c r="H156" s="10">
        <v>45430</v>
      </c>
      <c r="I156">
        <v>50</v>
      </c>
    </row>
    <row r="157" spans="1:9" x14ac:dyDescent="0.25">
      <c r="A157" s="3" t="s">
        <v>322</v>
      </c>
      <c r="B157">
        <v>720</v>
      </c>
      <c r="H157" s="10">
        <v>45434</v>
      </c>
      <c r="I157">
        <v>409</v>
      </c>
    </row>
    <row r="158" spans="1:9" x14ac:dyDescent="0.25">
      <c r="A158" s="3" t="s">
        <v>138</v>
      </c>
      <c r="B158">
        <v>7000</v>
      </c>
      <c r="H158" s="10">
        <v>45435</v>
      </c>
      <c r="I158">
        <v>509</v>
      </c>
    </row>
    <row r="159" spans="1:9" x14ac:dyDescent="0.25">
      <c r="A159" s="3" t="s">
        <v>245</v>
      </c>
      <c r="B159">
        <v>200</v>
      </c>
      <c r="H159" s="10">
        <v>45440</v>
      </c>
      <c r="I159">
        <v>811</v>
      </c>
    </row>
    <row r="160" spans="1:9" x14ac:dyDescent="0.25">
      <c r="A160" s="3" t="s">
        <v>237</v>
      </c>
      <c r="B160">
        <v>59</v>
      </c>
      <c r="H160" s="10">
        <v>45445</v>
      </c>
      <c r="I160">
        <v>105</v>
      </c>
    </row>
    <row r="161" spans="1:9" x14ac:dyDescent="0.25">
      <c r="A161" s="3" t="s">
        <v>318</v>
      </c>
      <c r="C161">
        <v>430554</v>
      </c>
      <c r="H161" s="10">
        <v>45447</v>
      </c>
      <c r="I161">
        <v>125</v>
      </c>
    </row>
    <row r="162" spans="1:9" x14ac:dyDescent="0.25">
      <c r="A162" s="3" t="s">
        <v>228</v>
      </c>
      <c r="B162">
        <v>100</v>
      </c>
      <c r="H162" s="10">
        <v>45448</v>
      </c>
      <c r="I162">
        <v>699</v>
      </c>
    </row>
    <row r="163" spans="1:9" x14ac:dyDescent="0.25">
      <c r="A163" s="3" t="s">
        <v>236</v>
      </c>
      <c r="B163">
        <v>50</v>
      </c>
      <c r="H163" s="10">
        <v>45449</v>
      </c>
      <c r="I163">
        <v>1864</v>
      </c>
    </row>
    <row r="164" spans="1:9" x14ac:dyDescent="0.25">
      <c r="A164" s="3" t="s">
        <v>85</v>
      </c>
      <c r="B164">
        <v>1690</v>
      </c>
      <c r="H164" s="10">
        <v>45450</v>
      </c>
      <c r="I164">
        <v>7625</v>
      </c>
    </row>
    <row r="165" spans="1:9" x14ac:dyDescent="0.25">
      <c r="A165" s="3" t="s">
        <v>323</v>
      </c>
      <c r="B165">
        <v>7200</v>
      </c>
      <c r="H165" s="10">
        <v>45453</v>
      </c>
      <c r="I165">
        <v>7191</v>
      </c>
    </row>
    <row r="166" spans="1:9" x14ac:dyDescent="0.25">
      <c r="A166" s="3" t="s">
        <v>270</v>
      </c>
      <c r="B166">
        <v>180</v>
      </c>
      <c r="H166" s="10">
        <v>45456</v>
      </c>
      <c r="I166">
        <v>125</v>
      </c>
    </row>
    <row r="167" spans="1:9" x14ac:dyDescent="0.25">
      <c r="A167" s="3" t="s">
        <v>107</v>
      </c>
      <c r="B167">
        <v>213</v>
      </c>
      <c r="H167" s="10">
        <v>45457</v>
      </c>
      <c r="I167">
        <v>50</v>
      </c>
    </row>
    <row r="168" spans="1:9" x14ac:dyDescent="0.25">
      <c r="A168" s="3" t="s">
        <v>262</v>
      </c>
      <c r="B168">
        <v>1850</v>
      </c>
      <c r="H168" s="10">
        <v>45458</v>
      </c>
      <c r="I168">
        <v>260</v>
      </c>
    </row>
    <row r="169" spans="1:9" x14ac:dyDescent="0.25">
      <c r="A169" s="3" t="s">
        <v>24</v>
      </c>
      <c r="B169">
        <v>2823</v>
      </c>
      <c r="H169" s="10">
        <v>45462</v>
      </c>
      <c r="I169">
        <v>325</v>
      </c>
    </row>
    <row r="170" spans="1:9" x14ac:dyDescent="0.25">
      <c r="A170" s="3" t="s">
        <v>71</v>
      </c>
      <c r="C170">
        <v>18000</v>
      </c>
      <c r="H170" s="10">
        <v>45463</v>
      </c>
      <c r="I170">
        <v>249</v>
      </c>
    </row>
    <row r="171" spans="1:9" x14ac:dyDescent="0.25">
      <c r="A171" s="3" t="s">
        <v>57</v>
      </c>
      <c r="B171">
        <v>2900</v>
      </c>
      <c r="H171" s="10">
        <v>45464</v>
      </c>
      <c r="I171">
        <v>129</v>
      </c>
    </row>
    <row r="172" spans="1:9" x14ac:dyDescent="0.25">
      <c r="A172" s="3" t="s">
        <v>42</v>
      </c>
      <c r="B172">
        <v>40</v>
      </c>
      <c r="H172" s="10">
        <v>45465</v>
      </c>
      <c r="I172">
        <v>129</v>
      </c>
    </row>
    <row r="173" spans="1:9" x14ac:dyDescent="0.25">
      <c r="A173" s="3" t="s">
        <v>324</v>
      </c>
      <c r="B173">
        <v>1705</v>
      </c>
      <c r="H173" s="10">
        <v>45466</v>
      </c>
      <c r="I173">
        <v>465</v>
      </c>
    </row>
    <row r="174" spans="1:9" x14ac:dyDescent="0.25">
      <c r="A174" s="3" t="s">
        <v>246</v>
      </c>
      <c r="B174">
        <v>20</v>
      </c>
      <c r="H174" s="10">
        <v>45470</v>
      </c>
      <c r="I174">
        <v>100</v>
      </c>
    </row>
    <row r="175" spans="1:9" x14ac:dyDescent="0.25">
      <c r="A175" s="3" t="s">
        <v>28</v>
      </c>
      <c r="B175">
        <v>6154</v>
      </c>
      <c r="H175" s="10">
        <v>45471</v>
      </c>
      <c r="I175">
        <v>970</v>
      </c>
    </row>
    <row r="176" spans="1:9" x14ac:dyDescent="0.25">
      <c r="A176" s="3" t="s">
        <v>218</v>
      </c>
      <c r="B176">
        <v>505</v>
      </c>
      <c r="H176" s="10">
        <v>45474</v>
      </c>
      <c r="I176">
        <v>199</v>
      </c>
    </row>
    <row r="177" spans="1:9" x14ac:dyDescent="0.25">
      <c r="A177" s="3" t="s">
        <v>17</v>
      </c>
      <c r="C177">
        <v>12560</v>
      </c>
      <c r="H177" s="10">
        <v>45477</v>
      </c>
      <c r="I177">
        <v>5260</v>
      </c>
    </row>
    <row r="178" spans="1:9" x14ac:dyDescent="0.25">
      <c r="A178" s="3" t="s">
        <v>105</v>
      </c>
      <c r="B178">
        <v>50</v>
      </c>
      <c r="H178" s="10">
        <v>45479</v>
      </c>
      <c r="I178">
        <v>239</v>
      </c>
    </row>
    <row r="179" spans="1:9" x14ac:dyDescent="0.25">
      <c r="A179" s="3" t="s">
        <v>27</v>
      </c>
      <c r="B179">
        <v>12</v>
      </c>
      <c r="H179" s="10">
        <v>45483</v>
      </c>
      <c r="I179">
        <v>507</v>
      </c>
    </row>
    <row r="180" spans="1:9" x14ac:dyDescent="0.25">
      <c r="A180" s="3" t="s">
        <v>59</v>
      </c>
      <c r="B180">
        <v>40</v>
      </c>
      <c r="H180" s="10">
        <v>45484</v>
      </c>
      <c r="I180">
        <v>2542</v>
      </c>
    </row>
    <row r="181" spans="1:9" x14ac:dyDescent="0.25">
      <c r="A181" s="3" t="s">
        <v>226</v>
      </c>
      <c r="B181">
        <v>300</v>
      </c>
      <c r="H181" s="10">
        <v>45485</v>
      </c>
      <c r="I181">
        <v>50</v>
      </c>
    </row>
    <row r="182" spans="1:9" x14ac:dyDescent="0.25">
      <c r="A182" s="3" t="s">
        <v>151</v>
      </c>
      <c r="B182">
        <v>2000</v>
      </c>
      <c r="H182" s="10">
        <v>45488</v>
      </c>
      <c r="I182">
        <v>30</v>
      </c>
    </row>
    <row r="183" spans="1:9" x14ac:dyDescent="0.25">
      <c r="A183" s="3" t="s">
        <v>150</v>
      </c>
      <c r="B183">
        <v>1000</v>
      </c>
      <c r="H183" s="10">
        <v>45489</v>
      </c>
      <c r="I183">
        <v>4245</v>
      </c>
    </row>
    <row r="184" spans="1:9" x14ac:dyDescent="0.25">
      <c r="A184" s="3" t="s">
        <v>277</v>
      </c>
      <c r="B184">
        <v>917</v>
      </c>
      <c r="H184" s="10">
        <v>45490</v>
      </c>
      <c r="I184">
        <v>1295</v>
      </c>
    </row>
    <row r="185" spans="1:9" x14ac:dyDescent="0.25">
      <c r="A185" s="3" t="s">
        <v>116</v>
      </c>
      <c r="B185">
        <v>300</v>
      </c>
      <c r="H185" s="10">
        <v>45492</v>
      </c>
      <c r="I185">
        <v>4750</v>
      </c>
    </row>
    <row r="186" spans="1:9" x14ac:dyDescent="0.25">
      <c r="A186" s="3" t="s">
        <v>78</v>
      </c>
      <c r="B186">
        <v>1400</v>
      </c>
      <c r="H186" s="10">
        <v>45493</v>
      </c>
      <c r="I186">
        <v>1200</v>
      </c>
    </row>
    <row r="187" spans="1:9" x14ac:dyDescent="0.25">
      <c r="A187" s="3" t="s">
        <v>67</v>
      </c>
      <c r="B187">
        <v>382</v>
      </c>
      <c r="H187" s="10">
        <v>45495</v>
      </c>
      <c r="I187">
        <v>779</v>
      </c>
    </row>
    <row r="188" spans="1:9" x14ac:dyDescent="0.25">
      <c r="A188" s="3" t="s">
        <v>98</v>
      </c>
      <c r="B188">
        <v>695</v>
      </c>
      <c r="H188" s="10">
        <v>45496</v>
      </c>
      <c r="I188">
        <v>150</v>
      </c>
    </row>
    <row r="189" spans="1:9" x14ac:dyDescent="0.25">
      <c r="A189" s="3" t="s">
        <v>69</v>
      </c>
      <c r="B189">
        <v>50</v>
      </c>
      <c r="H189" s="10">
        <v>45498</v>
      </c>
      <c r="I189">
        <v>255</v>
      </c>
    </row>
    <row r="190" spans="1:9" x14ac:dyDescent="0.25">
      <c r="A190" s="3" t="s">
        <v>195</v>
      </c>
      <c r="B190">
        <v>650</v>
      </c>
      <c r="H190" s="10">
        <v>45499</v>
      </c>
      <c r="I190">
        <v>84</v>
      </c>
    </row>
    <row r="191" spans="1:9" x14ac:dyDescent="0.25">
      <c r="A191" s="3" t="s">
        <v>64</v>
      </c>
      <c r="B191">
        <v>3981</v>
      </c>
      <c r="H191" s="10">
        <v>45500</v>
      </c>
      <c r="I191">
        <v>85</v>
      </c>
    </row>
    <row r="192" spans="1:9" x14ac:dyDescent="0.25">
      <c r="A192" s="3" t="s">
        <v>50</v>
      </c>
      <c r="B192">
        <v>4494</v>
      </c>
      <c r="H192" s="10">
        <v>45503</v>
      </c>
      <c r="I192">
        <v>250</v>
      </c>
    </row>
    <row r="193" spans="1:9" x14ac:dyDescent="0.25">
      <c r="A193" s="3" t="s">
        <v>163</v>
      </c>
      <c r="B193">
        <v>38</v>
      </c>
      <c r="H193" s="10">
        <v>45504</v>
      </c>
      <c r="I193">
        <v>65</v>
      </c>
    </row>
    <row r="194" spans="1:9" x14ac:dyDescent="0.25">
      <c r="A194" s="3" t="s">
        <v>63</v>
      </c>
      <c r="B194">
        <v>30</v>
      </c>
      <c r="H194" s="10">
        <v>45505</v>
      </c>
      <c r="I194">
        <v>100</v>
      </c>
    </row>
    <row r="195" spans="1:9" x14ac:dyDescent="0.25">
      <c r="A195" s="3" t="s">
        <v>260</v>
      </c>
      <c r="B195">
        <v>365</v>
      </c>
      <c r="H195" s="10">
        <v>45506</v>
      </c>
      <c r="I195">
        <v>199</v>
      </c>
    </row>
    <row r="196" spans="1:9" x14ac:dyDescent="0.25">
      <c r="A196" s="3" t="s">
        <v>201</v>
      </c>
      <c r="B196">
        <v>275</v>
      </c>
      <c r="H196" s="10">
        <v>45507</v>
      </c>
      <c r="I196">
        <v>100</v>
      </c>
    </row>
    <row r="197" spans="1:9" x14ac:dyDescent="0.25">
      <c r="A197" s="3" t="s">
        <v>327</v>
      </c>
      <c r="C197">
        <v>27000</v>
      </c>
      <c r="H197" s="10">
        <v>45508</v>
      </c>
      <c r="I197">
        <v>6740</v>
      </c>
    </row>
    <row r="198" spans="1:9" x14ac:dyDescent="0.25">
      <c r="A198" s="3" t="s">
        <v>34</v>
      </c>
      <c r="B198">
        <v>1290</v>
      </c>
      <c r="H198" s="10">
        <v>45510</v>
      </c>
      <c r="I198">
        <v>239</v>
      </c>
    </row>
    <row r="199" spans="1:9" x14ac:dyDescent="0.25">
      <c r="A199" s="3" t="s">
        <v>219</v>
      </c>
      <c r="B199">
        <v>15</v>
      </c>
      <c r="H199" s="10">
        <v>45513</v>
      </c>
      <c r="I199">
        <v>349</v>
      </c>
    </row>
    <row r="200" spans="1:9" x14ac:dyDescent="0.25">
      <c r="A200" s="3" t="s">
        <v>295</v>
      </c>
      <c r="B200">
        <v>256839</v>
      </c>
      <c r="C200">
        <v>619267</v>
      </c>
      <c r="H200" s="10">
        <v>45514</v>
      </c>
      <c r="I200">
        <v>465</v>
      </c>
    </row>
    <row r="201" spans="1:9" x14ac:dyDescent="0.25">
      <c r="H201" s="10">
        <v>45519</v>
      </c>
      <c r="I201">
        <v>125</v>
      </c>
    </row>
    <row r="202" spans="1:9" x14ac:dyDescent="0.25">
      <c r="H202" s="10">
        <v>45522</v>
      </c>
      <c r="I202">
        <v>165</v>
      </c>
    </row>
    <row r="203" spans="1:9" x14ac:dyDescent="0.25">
      <c r="H203" s="10">
        <v>45527</v>
      </c>
      <c r="I203">
        <v>260</v>
      </c>
    </row>
    <row r="204" spans="1:9" x14ac:dyDescent="0.25">
      <c r="H204" s="10">
        <v>45531</v>
      </c>
      <c r="I204">
        <v>480</v>
      </c>
    </row>
    <row r="205" spans="1:9" x14ac:dyDescent="0.25">
      <c r="H205" s="10">
        <v>45532</v>
      </c>
      <c r="I205">
        <v>685</v>
      </c>
    </row>
    <row r="206" spans="1:9" x14ac:dyDescent="0.25">
      <c r="H206" s="10">
        <v>45533</v>
      </c>
      <c r="I206">
        <v>1000</v>
      </c>
    </row>
    <row r="207" spans="1:9" x14ac:dyDescent="0.25">
      <c r="H207" s="10">
        <v>45535</v>
      </c>
      <c r="I207">
        <v>200</v>
      </c>
    </row>
    <row r="208" spans="1:9" x14ac:dyDescent="0.25">
      <c r="H208" s="10">
        <v>45537</v>
      </c>
      <c r="I208">
        <v>40</v>
      </c>
    </row>
    <row r="209" spans="8:9" x14ac:dyDescent="0.25">
      <c r="H209" s="10">
        <v>45539</v>
      </c>
      <c r="I209">
        <v>125</v>
      </c>
    </row>
    <row r="210" spans="8:9" x14ac:dyDescent="0.25">
      <c r="H210" s="10">
        <v>45540</v>
      </c>
      <c r="I210">
        <v>130</v>
      </c>
    </row>
    <row r="211" spans="8:9" x14ac:dyDescent="0.25">
      <c r="H211" s="10">
        <v>45541</v>
      </c>
      <c r="I211">
        <v>239</v>
      </c>
    </row>
    <row r="212" spans="8:9" x14ac:dyDescent="0.25">
      <c r="H212" s="10">
        <v>45542</v>
      </c>
      <c r="I212">
        <v>22</v>
      </c>
    </row>
    <row r="213" spans="8:9" x14ac:dyDescent="0.25">
      <c r="H213" s="10">
        <v>45546</v>
      </c>
      <c r="I213">
        <v>100</v>
      </c>
    </row>
    <row r="214" spans="8:9" x14ac:dyDescent="0.25">
      <c r="H214" s="10">
        <v>45547</v>
      </c>
      <c r="I214">
        <v>275</v>
      </c>
    </row>
    <row r="215" spans="8:9" x14ac:dyDescent="0.25">
      <c r="H215" s="10">
        <v>45549</v>
      </c>
      <c r="I215">
        <v>7850</v>
      </c>
    </row>
    <row r="216" spans="8:9" x14ac:dyDescent="0.25">
      <c r="H216" s="10">
        <v>45551</v>
      </c>
      <c r="I216">
        <v>20</v>
      </c>
    </row>
    <row r="217" spans="8:9" x14ac:dyDescent="0.25">
      <c r="H217" s="10">
        <v>45552</v>
      </c>
      <c r="I217">
        <v>40</v>
      </c>
    </row>
    <row r="218" spans="8:9" x14ac:dyDescent="0.25">
      <c r="H218" s="10">
        <v>45553</v>
      </c>
      <c r="I218">
        <v>20</v>
      </c>
    </row>
    <row r="219" spans="8:9" x14ac:dyDescent="0.25">
      <c r="H219" s="10">
        <v>45554</v>
      </c>
      <c r="I219">
        <v>110</v>
      </c>
    </row>
    <row r="220" spans="8:9" x14ac:dyDescent="0.25">
      <c r="H220" s="10">
        <v>45555</v>
      </c>
      <c r="I220">
        <v>1850</v>
      </c>
    </row>
    <row r="221" spans="8:9" x14ac:dyDescent="0.25">
      <c r="H221" s="10">
        <v>45556</v>
      </c>
      <c r="I221">
        <v>460</v>
      </c>
    </row>
    <row r="222" spans="8:9" x14ac:dyDescent="0.25">
      <c r="H222" s="10">
        <v>45557</v>
      </c>
      <c r="I222">
        <v>129</v>
      </c>
    </row>
    <row r="223" spans="8:9" x14ac:dyDescent="0.25">
      <c r="H223" s="10">
        <v>45559</v>
      </c>
      <c r="I223">
        <v>100</v>
      </c>
    </row>
    <row r="224" spans="8:9" x14ac:dyDescent="0.25">
      <c r="H224" s="10">
        <v>45560</v>
      </c>
      <c r="I224">
        <v>30</v>
      </c>
    </row>
    <row r="225" spans="8:9" x14ac:dyDescent="0.25">
      <c r="H225" s="10">
        <v>45563</v>
      </c>
      <c r="I225">
        <v>80</v>
      </c>
    </row>
    <row r="226" spans="8:9" x14ac:dyDescent="0.25">
      <c r="H226" s="10">
        <v>45565</v>
      </c>
      <c r="I226">
        <v>100</v>
      </c>
    </row>
    <row r="227" spans="8:9" x14ac:dyDescent="0.25">
      <c r="H227" s="10">
        <v>45569</v>
      </c>
      <c r="I227">
        <v>1763</v>
      </c>
    </row>
    <row r="228" spans="8:9" x14ac:dyDescent="0.25">
      <c r="H228" s="10">
        <v>45570</v>
      </c>
      <c r="I228">
        <v>693</v>
      </c>
    </row>
    <row r="229" spans="8:9" x14ac:dyDescent="0.25">
      <c r="H229" s="10">
        <v>45571</v>
      </c>
      <c r="I229">
        <v>239</v>
      </c>
    </row>
    <row r="230" spans="8:9" x14ac:dyDescent="0.25">
      <c r="H230" s="10">
        <v>45573</v>
      </c>
      <c r="I230">
        <v>500</v>
      </c>
    </row>
    <row r="231" spans="8:9" x14ac:dyDescent="0.25">
      <c r="H231" s="10">
        <v>45575</v>
      </c>
      <c r="I231">
        <v>234</v>
      </c>
    </row>
    <row r="232" spans="8:9" x14ac:dyDescent="0.25">
      <c r="H232" s="10">
        <v>45578</v>
      </c>
      <c r="I232">
        <v>9900</v>
      </c>
    </row>
    <row r="233" spans="8:9" x14ac:dyDescent="0.25">
      <c r="H233" s="10">
        <v>45579</v>
      </c>
      <c r="I233">
        <v>35</v>
      </c>
    </row>
    <row r="234" spans="8:9" x14ac:dyDescent="0.25">
      <c r="H234" s="10">
        <v>45581</v>
      </c>
      <c r="I234">
        <v>220</v>
      </c>
    </row>
    <row r="235" spans="8:9" x14ac:dyDescent="0.25">
      <c r="H235" s="10">
        <v>45583</v>
      </c>
      <c r="I235">
        <v>199</v>
      </c>
    </row>
    <row r="236" spans="8:9" x14ac:dyDescent="0.25">
      <c r="H236" s="10">
        <v>45584</v>
      </c>
      <c r="I236">
        <v>125</v>
      </c>
    </row>
    <row r="237" spans="8:9" x14ac:dyDescent="0.25">
      <c r="H237" s="10">
        <v>45587</v>
      </c>
      <c r="I237">
        <v>389</v>
      </c>
    </row>
    <row r="238" spans="8:9" x14ac:dyDescent="0.25">
      <c r="H238" s="10">
        <v>45588</v>
      </c>
      <c r="I238">
        <v>133</v>
      </c>
    </row>
    <row r="239" spans="8:9" x14ac:dyDescent="0.25">
      <c r="H239" s="10">
        <v>45589</v>
      </c>
      <c r="I239">
        <v>125</v>
      </c>
    </row>
    <row r="240" spans="8:9" x14ac:dyDescent="0.25">
      <c r="H240" s="10">
        <v>45590</v>
      </c>
      <c r="I240">
        <v>10025</v>
      </c>
    </row>
    <row r="241" spans="8:9" x14ac:dyDescent="0.25">
      <c r="H241" s="10">
        <v>45591</v>
      </c>
      <c r="I241">
        <v>399</v>
      </c>
    </row>
    <row r="242" spans="8:9" x14ac:dyDescent="0.25">
      <c r="H242" s="10">
        <v>45595</v>
      </c>
      <c r="I242">
        <v>107</v>
      </c>
    </row>
    <row r="243" spans="8:9" x14ac:dyDescent="0.25">
      <c r="H243" s="10">
        <v>45596</v>
      </c>
      <c r="I243">
        <v>150</v>
      </c>
    </row>
    <row r="244" spans="8:9" x14ac:dyDescent="0.25">
      <c r="H244" s="10">
        <v>45598</v>
      </c>
      <c r="I244">
        <v>35</v>
      </c>
    </row>
    <row r="245" spans="8:9" x14ac:dyDescent="0.25">
      <c r="H245" s="10">
        <v>45599</v>
      </c>
      <c r="I245">
        <v>199</v>
      </c>
    </row>
    <row r="246" spans="8:9" x14ac:dyDescent="0.25">
      <c r="H246" s="10">
        <v>45601</v>
      </c>
      <c r="I246">
        <v>45</v>
      </c>
    </row>
    <row r="247" spans="8:9" x14ac:dyDescent="0.25">
      <c r="H247" s="10">
        <v>45602</v>
      </c>
      <c r="I247">
        <v>15</v>
      </c>
    </row>
    <row r="248" spans="8:9" x14ac:dyDescent="0.25">
      <c r="H248" s="10">
        <v>45603</v>
      </c>
      <c r="I248">
        <v>35</v>
      </c>
    </row>
    <row r="249" spans="8:9" x14ac:dyDescent="0.25">
      <c r="H249" s="10">
        <v>45607</v>
      </c>
      <c r="I249">
        <v>810</v>
      </c>
    </row>
    <row r="250" spans="8:9" x14ac:dyDescent="0.25">
      <c r="H250" s="10">
        <v>45608</v>
      </c>
      <c r="I250">
        <v>310</v>
      </c>
    </row>
    <row r="251" spans="8:9" x14ac:dyDescent="0.25">
      <c r="H251" s="10">
        <v>45609</v>
      </c>
      <c r="I251">
        <v>7655</v>
      </c>
    </row>
    <row r="252" spans="8:9" x14ac:dyDescent="0.25">
      <c r="H252" s="10">
        <v>45611</v>
      </c>
      <c r="I252">
        <v>100</v>
      </c>
    </row>
    <row r="253" spans="8:9" x14ac:dyDescent="0.25">
      <c r="H253" s="10">
        <v>45614</v>
      </c>
      <c r="I253">
        <v>115</v>
      </c>
    </row>
    <row r="254" spans="8:9" x14ac:dyDescent="0.25">
      <c r="H254" s="10">
        <v>45615</v>
      </c>
      <c r="I254">
        <v>115</v>
      </c>
    </row>
    <row r="255" spans="8:9" x14ac:dyDescent="0.25">
      <c r="H255" s="10">
        <v>45616</v>
      </c>
      <c r="I255">
        <v>100</v>
      </c>
    </row>
    <row r="256" spans="8:9" x14ac:dyDescent="0.25">
      <c r="H256" s="10">
        <v>45618</v>
      </c>
      <c r="I256">
        <v>145</v>
      </c>
    </row>
    <row r="257" spans="8:9" x14ac:dyDescent="0.25">
      <c r="H257" s="10">
        <v>45625</v>
      </c>
      <c r="I257">
        <v>42</v>
      </c>
    </row>
    <row r="258" spans="8:9" x14ac:dyDescent="0.25">
      <c r="H258" s="10">
        <v>45630</v>
      </c>
      <c r="I258">
        <v>15</v>
      </c>
    </row>
    <row r="259" spans="8:9" x14ac:dyDescent="0.25">
      <c r="H259" s="10">
        <v>45632</v>
      </c>
      <c r="I259">
        <v>45</v>
      </c>
    </row>
    <row r="260" spans="8:9" x14ac:dyDescent="0.25">
      <c r="H260" s="10">
        <v>45634</v>
      </c>
      <c r="I260">
        <v>170</v>
      </c>
    </row>
    <row r="261" spans="8:9" x14ac:dyDescent="0.25">
      <c r="H261" s="10">
        <v>45636</v>
      </c>
      <c r="I261">
        <v>15</v>
      </c>
    </row>
    <row r="262" spans="8:9" x14ac:dyDescent="0.25">
      <c r="H262" s="10">
        <v>45637</v>
      </c>
      <c r="I262">
        <v>45</v>
      </c>
    </row>
    <row r="263" spans="8:9" x14ac:dyDescent="0.25">
      <c r="H263" s="10">
        <v>45639</v>
      </c>
      <c r="I263">
        <v>45</v>
      </c>
    </row>
    <row r="264" spans="8:9" x14ac:dyDescent="0.25">
      <c r="H264" s="10">
        <v>45640</v>
      </c>
      <c r="I264">
        <v>225</v>
      </c>
    </row>
    <row r="265" spans="8:9" x14ac:dyDescent="0.25">
      <c r="H265" s="10">
        <v>45645</v>
      </c>
      <c r="I265">
        <v>1270</v>
      </c>
    </row>
    <row r="266" spans="8:9" x14ac:dyDescent="0.25">
      <c r="H266" s="10">
        <v>45647</v>
      </c>
      <c r="I266">
        <v>10360</v>
      </c>
    </row>
    <row r="267" spans="8:9" x14ac:dyDescent="0.25">
      <c r="H267" s="10">
        <v>45649</v>
      </c>
      <c r="I267">
        <v>585</v>
      </c>
    </row>
    <row r="268" spans="8:9" x14ac:dyDescent="0.25">
      <c r="H268" s="10">
        <v>45650</v>
      </c>
      <c r="I268">
        <v>2386</v>
      </c>
    </row>
    <row r="269" spans="8:9" x14ac:dyDescent="0.25">
      <c r="H269" s="10">
        <v>45651</v>
      </c>
      <c r="I269">
        <v>1150</v>
      </c>
    </row>
    <row r="270" spans="8:9" x14ac:dyDescent="0.25">
      <c r="H270" s="10">
        <v>45652</v>
      </c>
      <c r="I270">
        <v>350</v>
      </c>
    </row>
    <row r="271" spans="8:9" x14ac:dyDescent="0.25">
      <c r="H271" s="10">
        <v>45655</v>
      </c>
      <c r="I271">
        <v>1559</v>
      </c>
    </row>
    <row r="272" spans="8:9" x14ac:dyDescent="0.25">
      <c r="H272" s="10">
        <v>45656</v>
      </c>
      <c r="I272">
        <v>1559</v>
      </c>
    </row>
    <row r="273" spans="8:9" x14ac:dyDescent="0.25">
      <c r="H273" s="10">
        <v>45657</v>
      </c>
      <c r="I273">
        <v>720</v>
      </c>
    </row>
    <row r="274" spans="8:9" x14ac:dyDescent="0.25">
      <c r="H274" s="10">
        <v>45658</v>
      </c>
      <c r="I274">
        <v>5</v>
      </c>
    </row>
    <row r="275" spans="8:9" x14ac:dyDescent="0.25">
      <c r="H275" s="10">
        <v>45659</v>
      </c>
      <c r="I275">
        <v>25</v>
      </c>
    </row>
    <row r="276" spans="8:9" x14ac:dyDescent="0.25">
      <c r="H276" s="10">
        <v>45661</v>
      </c>
      <c r="I276">
        <v>9100</v>
      </c>
    </row>
    <row r="277" spans="8:9" x14ac:dyDescent="0.25">
      <c r="H277" s="10">
        <v>45667</v>
      </c>
      <c r="I277">
        <v>863</v>
      </c>
    </row>
    <row r="278" spans="8:9" x14ac:dyDescent="0.25">
      <c r="H278" s="10">
        <v>45670</v>
      </c>
      <c r="I278">
        <v>5949</v>
      </c>
    </row>
    <row r="279" spans="8:9" x14ac:dyDescent="0.25">
      <c r="H279" s="10">
        <v>45672</v>
      </c>
      <c r="I279">
        <v>2106</v>
      </c>
    </row>
    <row r="280" spans="8:9" x14ac:dyDescent="0.25">
      <c r="H280" s="10">
        <v>45674</v>
      </c>
      <c r="I280">
        <v>800</v>
      </c>
    </row>
    <row r="281" spans="8:9" x14ac:dyDescent="0.25">
      <c r="H281" s="10">
        <v>45681</v>
      </c>
      <c r="I281">
        <v>788</v>
      </c>
    </row>
  </sheetData>
  <conditionalFormatting sqref="L4:L18">
    <cfRule type="cellIs" dxfId="2" priority="1" operator="equal">
      <formula>0</formula>
    </cfRule>
    <cfRule type="cellIs" dxfId="1" priority="2" operator="lessThan">
      <formula>0</formula>
    </cfRule>
    <cfRule type="cellIs" dxfId="0" priority="3" operator="greaterThan">
      <formula>0</formula>
    </cfRule>
  </conditionalFormatting>
  <hyperlinks>
    <hyperlink ref="B1" location="Dashboard!A1" display="Dashboard" xr:uid="{08E85745-4A61-4B00-BEE4-2A2CB97516EC}"/>
    <hyperlink ref="C1" location="Findings!A1" display="Findings" xr:uid="{6647E491-C82B-4E45-85DB-0F1D42408EE2}"/>
    <hyperlink ref="D1" location="'Pivot &amp; derived tables'!A1" display="Pivot &amp; Derived Tables" xr:uid="{89E533B6-167F-43FD-8DCD-A66C0C9106AC}"/>
    <hyperlink ref="E1" location="'Analysis &amp; Diagnostics'!A1" display="Analysis &amp; Diagnosis" xr:uid="{4F05EC76-2825-484A-8F7F-E09A567A960B}"/>
    <hyperlink ref="F1" location="data_visualization!A1" display="Data Visualization" xr:uid="{4EF5AD3C-D579-42C8-9F02-09E52284E8E4}"/>
    <hyperlink ref="G1" location="cleaned_source_dataset!A1" display="Cleaned Data" xr:uid="{2AE507AF-57FA-44B0-9BFC-0BBB4EB6242C}"/>
    <hyperlink ref="H1" location="personal_finance_data!A1" display="Raw Data Source" xr:uid="{88914E7C-240F-441C-BCEE-1FB2802BA53A}"/>
  </hyperlinks>
  <pageMargins left="0.7" right="0.7" top="0.75" bottom="0.75" header="0.3" footer="0.3"/>
  <drawing r:id="rId10"/>
  <legacyDrawing r:id="rId11"/>
  <tableParts count="7">
    <tablePart r:id="rId12"/>
    <tablePart r:id="rId13"/>
    <tablePart r:id="rId14"/>
    <tablePart r:id="rId15"/>
    <tablePart r:id="rId16"/>
    <tablePart r:id="rId17"/>
    <tablePart r:id="rId18"/>
  </tableParts>
  <extLst>
    <ext xmlns:x14="http://schemas.microsoft.com/office/spreadsheetml/2009/9/main" uri="{A8765BA9-456A-4dab-B4F3-ACF838C121DE}">
      <x14:slicerList>
        <x14:slicer r:id="rId19"/>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8896C-9FE1-4D12-8842-84207280E014}">
  <dimension ref="A1:S641"/>
  <sheetViews>
    <sheetView zoomScaleNormal="100" workbookViewId="0">
      <pane ySplit="1" topLeftCell="A477" activePane="bottomLeft" state="frozen"/>
      <selection pane="bottomLeft" activeCell="B1" sqref="B1"/>
    </sheetView>
  </sheetViews>
  <sheetFormatPr defaultRowHeight="15" x14ac:dyDescent="0.25"/>
  <cols>
    <col min="1" max="1" width="26.42578125" bestFit="1" customWidth="1"/>
    <col min="2" max="2" width="16.85546875" bestFit="1" customWidth="1"/>
    <col min="3" max="3" width="17.42578125" bestFit="1" customWidth="1"/>
    <col min="4" max="4" width="14.7109375" bestFit="1" customWidth="1"/>
    <col min="5" max="5" width="17.42578125" bestFit="1" customWidth="1"/>
    <col min="6" max="6" width="19.7109375" bestFit="1" customWidth="1"/>
    <col min="7" max="7" width="22.42578125" bestFit="1" customWidth="1"/>
    <col min="8" max="8" width="19.7109375" bestFit="1" customWidth="1"/>
    <col min="9" max="9" width="22.42578125" bestFit="1" customWidth="1"/>
    <col min="10" max="10" width="14.140625" bestFit="1" customWidth="1"/>
    <col min="11" max="11" width="19" bestFit="1" customWidth="1"/>
    <col min="12" max="12" width="13.42578125" bestFit="1" customWidth="1"/>
    <col min="13" max="13" width="16.28515625" bestFit="1" customWidth="1"/>
    <col min="14" max="14" width="14.7109375" bestFit="1" customWidth="1"/>
    <col min="15" max="15" width="15.7109375" bestFit="1" customWidth="1"/>
    <col min="16" max="16" width="19.5703125" customWidth="1"/>
    <col min="17" max="17" width="13.42578125" bestFit="1" customWidth="1"/>
    <col min="18" max="18" width="16.28515625" bestFit="1" customWidth="1"/>
    <col min="19" max="19" width="14.7109375" bestFit="1" customWidth="1"/>
    <col min="20" max="20" width="15.5703125" bestFit="1" customWidth="1"/>
    <col min="21" max="21" width="17.42578125" bestFit="1" customWidth="1"/>
    <col min="22" max="22" width="22.85546875" bestFit="1" customWidth="1"/>
    <col min="23" max="23" width="12.140625" bestFit="1" customWidth="1"/>
    <col min="24" max="24" width="30.5703125" bestFit="1" customWidth="1"/>
    <col min="25" max="25" width="22.7109375" bestFit="1" customWidth="1"/>
    <col min="26" max="27" width="5" bestFit="1" customWidth="1"/>
    <col min="28" max="29" width="11.28515625" bestFit="1" customWidth="1"/>
    <col min="30" max="30" width="8" bestFit="1" customWidth="1"/>
    <col min="31" max="31" width="5.42578125" bestFit="1" customWidth="1"/>
    <col min="32" max="32" width="15.5703125" bestFit="1" customWidth="1"/>
    <col min="33" max="33" width="6.7109375" bestFit="1" customWidth="1"/>
    <col min="34" max="34" width="8.140625" bestFit="1" customWidth="1"/>
    <col min="35" max="35" width="10.140625" bestFit="1" customWidth="1"/>
    <col min="36" max="36" width="10.42578125" bestFit="1" customWidth="1"/>
    <col min="37" max="37" width="14.85546875" bestFit="1" customWidth="1"/>
    <col min="38" max="38" width="7.42578125" bestFit="1" customWidth="1"/>
    <col min="39" max="39" width="4.7109375" bestFit="1" customWidth="1"/>
    <col min="40" max="40" width="5.42578125" bestFit="1" customWidth="1"/>
    <col min="41" max="41" width="23" bestFit="1" customWidth="1"/>
    <col min="42" max="42" width="20.28515625" bestFit="1" customWidth="1"/>
    <col min="43" max="43" width="11.28515625" bestFit="1" customWidth="1"/>
  </cols>
  <sheetData>
    <row r="1" spans="1:12" s="38" customFormat="1" ht="37.5" customHeight="1" x14ac:dyDescent="0.25">
      <c r="A1" s="39" t="s">
        <v>431</v>
      </c>
      <c r="B1" s="36" t="s">
        <v>432</v>
      </c>
      <c r="C1" s="36" t="s">
        <v>433</v>
      </c>
      <c r="D1" s="36" t="s">
        <v>434</v>
      </c>
      <c r="E1" s="36" t="s">
        <v>435</v>
      </c>
      <c r="F1" s="36" t="s">
        <v>436</v>
      </c>
      <c r="G1" s="36" t="s">
        <v>437</v>
      </c>
      <c r="H1" s="36" t="s">
        <v>438</v>
      </c>
      <c r="I1" s="37"/>
    </row>
    <row r="2" spans="1:12" ht="36.6" customHeight="1" x14ac:dyDescent="0.4">
      <c r="A2" s="18" t="s">
        <v>361</v>
      </c>
      <c r="B2" s="19"/>
      <c r="C2" s="19"/>
      <c r="D2" s="19"/>
      <c r="E2" s="19"/>
      <c r="F2" s="19"/>
    </row>
    <row r="3" spans="1:12" ht="19.149999999999999" customHeight="1" x14ac:dyDescent="0.25">
      <c r="A3" t="s">
        <v>356</v>
      </c>
      <c r="B3" t="s">
        <v>354</v>
      </c>
      <c r="C3" t="s">
        <v>355</v>
      </c>
      <c r="D3" t="s">
        <v>357</v>
      </c>
      <c r="E3" t="s">
        <v>362</v>
      </c>
      <c r="F3" t="s">
        <v>363</v>
      </c>
      <c r="I3" t="s">
        <v>417</v>
      </c>
      <c r="J3" t="s">
        <v>415</v>
      </c>
      <c r="K3" t="s">
        <v>314</v>
      </c>
    </row>
    <row r="4" spans="1:12" ht="22.15" customHeight="1" x14ac:dyDescent="0.25">
      <c r="A4" s="13" t="s">
        <v>15</v>
      </c>
      <c r="B4" s="15">
        <f>SUMIF(cleaned_personal_finance_data[transaction], "Expenses", cleaned_personal_finance_data[amount])</f>
        <v>256839</v>
      </c>
      <c r="C4" s="15">
        <f>'Pivot &amp; derived tables'!O6</f>
        <v>17122.599999999999</v>
      </c>
      <c r="D4" s="15">
        <f>MEDIAN('Pivot &amp; derived tables'!Y8:Y27)</f>
        <v>17583</v>
      </c>
      <c r="E4" s="16">
        <f>('Pivot &amp; derived tables'!I18 - 'Pivot &amp; derived tables'!I17) / 'Pivot &amp; derived tables'!I17</f>
        <v>-4.2099614615347093E-2</v>
      </c>
      <c r="F4" s="15">
        <f>'Pivot &amp; derived tables'!I18</f>
        <v>19636</v>
      </c>
      <c r="I4" t="s">
        <v>416</v>
      </c>
      <c r="J4">
        <f>ROUND(Table414[[#This Row],[Latest Month Record]]/F5 * 100, 2)</f>
        <v>74.37</v>
      </c>
      <c r="K4">
        <f>ROUND(F6/F5 * 100, 2)</f>
        <v>25.63</v>
      </c>
    </row>
    <row r="5" spans="1:12" ht="21.6" customHeight="1" x14ac:dyDescent="0.25">
      <c r="A5" s="13" t="s">
        <v>7</v>
      </c>
      <c r="B5" s="15">
        <f>SUMIF(cleaned_personal_finance_data[transaction], "Income", cleaned_personal_finance_data[amount])</f>
        <v>619267</v>
      </c>
      <c r="C5" s="15">
        <f>AVERAGE('Pivot &amp; derived tables'!Z8:Z27)</f>
        <v>36427.470588235294</v>
      </c>
      <c r="D5" s="15">
        <f>MEDIAN('Pivot &amp; derived tables'!Z8:Z27)</f>
        <v>30278</v>
      </c>
      <c r="E5" s="16">
        <f>('Pivot &amp; derived tables'!J18 - 'Pivot &amp; derived tables'!J17) / 'Pivot &amp; derived tables'!J17</f>
        <v>-0.48713117460810784</v>
      </c>
      <c r="F5" s="15">
        <f>'Pivot &amp; derived tables'!J18</f>
        <v>26403</v>
      </c>
      <c r="I5" t="s">
        <v>418</v>
      </c>
      <c r="J5">
        <f>ROUND(B4/Table414[[#This Row],[Total]] * 100, 2)</f>
        <v>41.47</v>
      </c>
      <c r="K5">
        <f>ROUND(B6/Table414[[#This Row],[Total]] * 100, 2)</f>
        <v>58.53</v>
      </c>
    </row>
    <row r="6" spans="1:12" ht="23.45" customHeight="1" x14ac:dyDescent="0.25">
      <c r="A6" s="13" t="s">
        <v>314</v>
      </c>
      <c r="B6" s="15">
        <f>B5 - B4</f>
        <v>362428</v>
      </c>
      <c r="C6" s="15">
        <f>'Pivot &amp; derived tables'!Q6</f>
        <v>21273.87</v>
      </c>
      <c r="D6" s="15">
        <f>'Pivot &amp; derived tables'!Q8</f>
        <v>15819</v>
      </c>
      <c r="E6" s="16">
        <f>('Pivot &amp; derived tables'!K18 - 'Pivot &amp; derived tables'!K17) / 'Pivot &amp; derived tables'!K17</f>
        <v>-0.78158285456071264</v>
      </c>
      <c r="F6" s="15">
        <f>'Pivot &amp; derived tables'!K18</f>
        <v>6767</v>
      </c>
    </row>
    <row r="9" spans="1:12" ht="33.6" customHeight="1" x14ac:dyDescent="0.4">
      <c r="A9" s="24" t="s">
        <v>384</v>
      </c>
      <c r="B9" s="29"/>
      <c r="C9" s="29"/>
      <c r="D9" s="29"/>
      <c r="E9" s="29"/>
      <c r="F9" s="29"/>
      <c r="G9" s="29"/>
      <c r="H9" s="29"/>
    </row>
    <row r="11" spans="1:12" x14ac:dyDescent="0.25">
      <c r="D11" s="2" t="s">
        <v>299</v>
      </c>
      <c r="E11" s="2" t="s">
        <v>300</v>
      </c>
      <c r="H11" t="s">
        <v>364</v>
      </c>
      <c r="I11" t="s">
        <v>15</v>
      </c>
      <c r="J11" t="s">
        <v>7</v>
      </c>
      <c r="K11" t="s">
        <v>314</v>
      </c>
      <c r="L11" t="s">
        <v>380</v>
      </c>
    </row>
    <row r="12" spans="1:12" x14ac:dyDescent="0.25">
      <c r="D12" s="2" t="s">
        <v>294</v>
      </c>
      <c r="E12" t="s">
        <v>7</v>
      </c>
      <c r="H12" s="4" t="s">
        <v>368</v>
      </c>
      <c r="I12">
        <v>25236</v>
      </c>
      <c r="J12">
        <v>27502</v>
      </c>
      <c r="K12">
        <f>Table17[[#This Row],[Income]] - Table17[[#This Row],[Expenses]]</f>
        <v>2266</v>
      </c>
      <c r="L12" t="str">
        <f>IFERROR(ROUND((Table17[[#This Row],[Net Income]] - K11) / K11 * 100, 2), "")</f>
        <v/>
      </c>
    </row>
    <row r="13" spans="1:12" x14ac:dyDescent="0.25">
      <c r="D13" s="3">
        <v>2024</v>
      </c>
      <c r="E13">
        <v>164441</v>
      </c>
      <c r="H13" s="4" t="s">
        <v>367</v>
      </c>
      <c r="I13">
        <v>9721</v>
      </c>
      <c r="J13">
        <v>59992</v>
      </c>
      <c r="K13">
        <f>Table17[[#This Row],[Income]] - Table17[[#This Row],[Expenses]]</f>
        <v>50271</v>
      </c>
      <c r="L13">
        <f>IFERROR(ROUND((Table17[[#This Row],[Net Income]] - K12) / K12 * 100, 2), "")</f>
        <v>2118.4899999999998</v>
      </c>
    </row>
    <row r="14" spans="1:12" x14ac:dyDescent="0.25">
      <c r="D14" s="4">
        <v>1</v>
      </c>
      <c r="E14">
        <v>25466</v>
      </c>
      <c r="H14" s="4" t="s">
        <v>366</v>
      </c>
      <c r="I14">
        <v>20499</v>
      </c>
      <c r="J14">
        <v>51481</v>
      </c>
      <c r="K14">
        <f>Table17[[#This Row],[Income]] - Table17[[#This Row],[Expenses]]</f>
        <v>30982</v>
      </c>
      <c r="L14">
        <f>IFERROR(ROUND((Table17[[#This Row],[Net Income]] - K13) / K13 * 100, 2), "")</f>
        <v>-38.369999999999997</v>
      </c>
    </row>
    <row r="15" spans="1:12" x14ac:dyDescent="0.25">
      <c r="D15" s="22" t="s">
        <v>318</v>
      </c>
      <c r="E15">
        <v>25466</v>
      </c>
      <c r="H15" s="4" t="s">
        <v>365</v>
      </c>
      <c r="I15">
        <v>19636</v>
      </c>
      <c r="J15">
        <v>26403</v>
      </c>
      <c r="K15">
        <f>Table17[[#This Row],[Income]] - Table17[[#This Row],[Expenses]]</f>
        <v>6767</v>
      </c>
      <c r="L15">
        <f>IFERROR(ROUND((Table17[[#This Row],[Net Income]] - K14) / K14 * 100, 2), "")</f>
        <v>-78.16</v>
      </c>
    </row>
    <row r="16" spans="1:12" x14ac:dyDescent="0.25">
      <c r="D16" s="4">
        <v>10</v>
      </c>
      <c r="E16">
        <v>27502</v>
      </c>
    </row>
    <row r="17" spans="4:5" x14ac:dyDescent="0.25">
      <c r="D17" s="22" t="s">
        <v>231</v>
      </c>
      <c r="E17">
        <v>1021</v>
      </c>
    </row>
    <row r="18" spans="4:5" x14ac:dyDescent="0.25">
      <c r="D18" s="22" t="s">
        <v>318</v>
      </c>
      <c r="E18">
        <v>26481</v>
      </c>
    </row>
    <row r="19" spans="4:5" x14ac:dyDescent="0.25">
      <c r="D19" s="4">
        <v>11</v>
      </c>
      <c r="E19">
        <v>59992</v>
      </c>
    </row>
    <row r="20" spans="4:5" x14ac:dyDescent="0.25">
      <c r="D20" s="22" t="s">
        <v>249</v>
      </c>
      <c r="E20">
        <v>5000</v>
      </c>
    </row>
    <row r="21" spans="4:5" x14ac:dyDescent="0.25">
      <c r="D21" s="22" t="s">
        <v>318</v>
      </c>
      <c r="E21">
        <v>27992</v>
      </c>
    </row>
    <row r="22" spans="4:5" x14ac:dyDescent="0.25">
      <c r="D22" s="22" t="s">
        <v>327</v>
      </c>
      <c r="E22">
        <v>27000</v>
      </c>
    </row>
    <row r="23" spans="4:5" x14ac:dyDescent="0.25">
      <c r="D23" s="4">
        <v>12</v>
      </c>
      <c r="E23">
        <v>51481</v>
      </c>
    </row>
    <row r="24" spans="4:5" x14ac:dyDescent="0.25">
      <c r="D24" s="22" t="s">
        <v>326</v>
      </c>
      <c r="E24">
        <v>25000</v>
      </c>
    </row>
    <row r="25" spans="4:5" x14ac:dyDescent="0.25">
      <c r="D25" s="22" t="s">
        <v>318</v>
      </c>
      <c r="E25">
        <v>26481</v>
      </c>
    </row>
    <row r="26" spans="4:5" x14ac:dyDescent="0.25">
      <c r="D26" s="3">
        <v>2025</v>
      </c>
      <c r="E26">
        <v>26403</v>
      </c>
    </row>
    <row r="27" spans="4:5" x14ac:dyDescent="0.25">
      <c r="D27" s="4">
        <v>1</v>
      </c>
      <c r="E27">
        <v>26403</v>
      </c>
    </row>
    <row r="28" spans="4:5" x14ac:dyDescent="0.25">
      <c r="D28" s="22" t="s">
        <v>318</v>
      </c>
      <c r="E28">
        <v>26403</v>
      </c>
    </row>
    <row r="29" spans="4:5" x14ac:dyDescent="0.25">
      <c r="D29" s="3" t="s">
        <v>295</v>
      </c>
      <c r="E29">
        <v>190844</v>
      </c>
    </row>
    <row r="58" spans="1:8" ht="33.6" customHeight="1" x14ac:dyDescent="0.4">
      <c r="A58" s="24" t="s">
        <v>404</v>
      </c>
      <c r="B58" s="29"/>
      <c r="C58" s="29"/>
      <c r="D58" s="29"/>
      <c r="E58" s="29"/>
      <c r="F58" s="29"/>
      <c r="G58" s="29"/>
      <c r="H58" s="29"/>
    </row>
    <row r="59" spans="1:8" ht="17.45" customHeight="1" x14ac:dyDescent="0.4">
      <c r="A59" s="31"/>
      <c r="B59" s="32"/>
      <c r="C59" s="32"/>
      <c r="D59" s="32"/>
      <c r="E59" s="32"/>
      <c r="F59" s="32"/>
      <c r="G59" s="32"/>
      <c r="H59" s="32"/>
    </row>
    <row r="60" spans="1:8" ht="26.25" x14ac:dyDescent="0.4">
      <c r="A60" s="31"/>
      <c r="B60" s="32"/>
      <c r="C60" s="32"/>
      <c r="D60" s="32"/>
      <c r="E60" s="32"/>
      <c r="F60" s="32"/>
      <c r="G60" s="32"/>
      <c r="H60" s="32"/>
    </row>
    <row r="61" spans="1:8" ht="26.25" x14ac:dyDescent="0.4">
      <c r="A61" s="31"/>
      <c r="B61" s="32"/>
      <c r="C61" s="32"/>
      <c r="D61" s="32"/>
      <c r="E61" s="32"/>
      <c r="F61" s="32"/>
      <c r="G61" s="32"/>
      <c r="H61" s="32"/>
    </row>
    <row r="62" spans="1:8" ht="26.25" x14ac:dyDescent="0.4">
      <c r="A62" s="31"/>
      <c r="B62" s="32"/>
      <c r="C62" s="32"/>
      <c r="D62" s="32"/>
      <c r="E62" s="32"/>
      <c r="F62" s="32"/>
      <c r="G62" s="32"/>
      <c r="H62" s="32"/>
    </row>
    <row r="63" spans="1:8" ht="21.6" customHeight="1" x14ac:dyDescent="0.4">
      <c r="A63" s="31"/>
      <c r="B63" s="32"/>
      <c r="C63" s="32"/>
      <c r="D63" s="32"/>
      <c r="E63" s="32"/>
      <c r="F63" s="32"/>
      <c r="G63" s="32"/>
      <c r="H63" s="32"/>
    </row>
    <row r="64" spans="1:8" ht="20.45" customHeight="1" x14ac:dyDescent="0.4">
      <c r="A64" s="31"/>
      <c r="B64" s="32"/>
      <c r="C64" s="32"/>
      <c r="D64" s="32"/>
      <c r="E64" s="32"/>
      <c r="F64" s="32"/>
      <c r="G64" s="32"/>
      <c r="H64" s="32"/>
    </row>
    <row r="65" spans="1:10" ht="20.45" customHeight="1" x14ac:dyDescent="0.4">
      <c r="A65" s="31"/>
      <c r="B65" s="32"/>
      <c r="C65" s="32"/>
      <c r="D65" s="32"/>
      <c r="E65" s="32"/>
      <c r="F65" s="32"/>
      <c r="G65" s="32"/>
      <c r="H65" s="32"/>
    </row>
    <row r="66" spans="1:10" ht="20.45" customHeight="1" x14ac:dyDescent="0.4">
      <c r="A66" s="31"/>
      <c r="B66" s="32"/>
      <c r="C66" s="32"/>
      <c r="D66" s="32"/>
      <c r="E66" s="32"/>
      <c r="F66" s="32"/>
      <c r="G66" s="32"/>
      <c r="H66" s="32"/>
    </row>
    <row r="67" spans="1:10" ht="20.45" customHeight="1" x14ac:dyDescent="0.4">
      <c r="A67" s="31"/>
      <c r="B67" s="32"/>
      <c r="C67" s="32"/>
      <c r="D67" s="32"/>
      <c r="E67" s="32"/>
      <c r="F67" s="32"/>
      <c r="G67" s="32"/>
      <c r="H67" s="32"/>
    </row>
    <row r="68" spans="1:10" ht="20.45" customHeight="1" x14ac:dyDescent="0.4">
      <c r="A68" s="31"/>
      <c r="B68" s="32"/>
      <c r="C68" s="32"/>
      <c r="D68" s="32"/>
      <c r="E68" s="32"/>
      <c r="F68" s="32"/>
      <c r="G68" s="32"/>
      <c r="H68" s="32"/>
    </row>
    <row r="69" spans="1:10" ht="20.45" customHeight="1" x14ac:dyDescent="0.4">
      <c r="A69" s="31"/>
      <c r="B69" s="32"/>
      <c r="C69" s="32"/>
      <c r="D69" s="32"/>
      <c r="E69" s="32"/>
      <c r="F69" s="32"/>
      <c r="G69" s="32"/>
      <c r="H69" s="32"/>
    </row>
    <row r="71" spans="1:10" ht="21" x14ac:dyDescent="0.35">
      <c r="A71" s="28" t="s">
        <v>383</v>
      </c>
      <c r="F71" s="28" t="s">
        <v>383</v>
      </c>
    </row>
    <row r="72" spans="1:10" x14ac:dyDescent="0.25">
      <c r="B72" s="2" t="s">
        <v>300</v>
      </c>
      <c r="F72" t="s">
        <v>385</v>
      </c>
      <c r="G72" t="s">
        <v>371</v>
      </c>
      <c r="H72" t="s">
        <v>386</v>
      </c>
      <c r="I72" t="s">
        <v>387</v>
      </c>
      <c r="J72" t="s">
        <v>396</v>
      </c>
    </row>
    <row r="73" spans="1:10" x14ac:dyDescent="0.25">
      <c r="B73" t="s">
        <v>15</v>
      </c>
      <c r="F73" s="22" t="s">
        <v>145</v>
      </c>
      <c r="G73">
        <v>5000</v>
      </c>
      <c r="H73" s="17">
        <v>0.15613777597351902</v>
      </c>
      <c r="I73">
        <v>1</v>
      </c>
      <c r="J73" t="s">
        <v>388</v>
      </c>
    </row>
    <row r="74" spans="1:10" x14ac:dyDescent="0.25">
      <c r="A74" s="2" t="s">
        <v>294</v>
      </c>
      <c r="B74" t="s">
        <v>342</v>
      </c>
      <c r="C74" t="s">
        <v>382</v>
      </c>
      <c r="D74" t="s">
        <v>341</v>
      </c>
      <c r="F74" s="22" t="s">
        <v>56</v>
      </c>
      <c r="G74">
        <v>3600</v>
      </c>
      <c r="H74" s="17">
        <v>0.1124191987009337</v>
      </c>
      <c r="I74">
        <v>1</v>
      </c>
      <c r="J74" t="s">
        <v>389</v>
      </c>
    </row>
    <row r="75" spans="1:10" x14ac:dyDescent="0.25">
      <c r="A75" s="3">
        <v>2023</v>
      </c>
      <c r="B75">
        <v>32023</v>
      </c>
      <c r="C75" s="17">
        <v>1</v>
      </c>
      <c r="D75">
        <v>67</v>
      </c>
      <c r="F75" s="22" t="s">
        <v>77</v>
      </c>
      <c r="G75">
        <v>3000</v>
      </c>
      <c r="H75" s="17">
        <v>9.3682665584111424E-2</v>
      </c>
      <c r="I75">
        <v>1</v>
      </c>
      <c r="J75" t="s">
        <v>388</v>
      </c>
    </row>
    <row r="76" spans="1:10" x14ac:dyDescent="0.25">
      <c r="A76" s="4">
        <v>12</v>
      </c>
      <c r="B76">
        <v>32023</v>
      </c>
      <c r="C76" s="17">
        <v>1</v>
      </c>
      <c r="D76">
        <v>67</v>
      </c>
      <c r="F76" s="22" t="s">
        <v>57</v>
      </c>
      <c r="G76">
        <v>2900</v>
      </c>
      <c r="H76" s="17">
        <v>9.0559910064641036E-2</v>
      </c>
      <c r="I76">
        <v>1</v>
      </c>
      <c r="J76" t="s">
        <v>389</v>
      </c>
    </row>
    <row r="77" spans="1:10" x14ac:dyDescent="0.25">
      <c r="A77" s="22" t="s">
        <v>145</v>
      </c>
      <c r="B77">
        <v>5000</v>
      </c>
      <c r="C77" s="17">
        <v>0.15613777597351902</v>
      </c>
      <c r="D77">
        <v>1</v>
      </c>
      <c r="F77" s="22" t="s">
        <v>83</v>
      </c>
      <c r="G77">
        <v>2600</v>
      </c>
      <c r="H77" s="17">
        <v>8.1191643506229899E-2</v>
      </c>
      <c r="I77">
        <v>1</v>
      </c>
      <c r="J77" t="s">
        <v>389</v>
      </c>
    </row>
    <row r="78" spans="1:10" x14ac:dyDescent="0.25">
      <c r="A78" s="22" t="s">
        <v>56</v>
      </c>
      <c r="B78">
        <v>3600</v>
      </c>
      <c r="C78" s="17">
        <v>0.1124191987009337</v>
      </c>
      <c r="D78">
        <v>1</v>
      </c>
      <c r="F78" s="22" t="s">
        <v>159</v>
      </c>
      <c r="G78">
        <v>2100</v>
      </c>
      <c r="H78" s="17">
        <v>6.5577865908878E-2</v>
      </c>
      <c r="I78">
        <v>1</v>
      </c>
      <c r="J78" t="s">
        <v>388</v>
      </c>
    </row>
    <row r="79" spans="1:10" x14ac:dyDescent="0.25">
      <c r="A79" s="22" t="s">
        <v>77</v>
      </c>
      <c r="B79">
        <v>3000</v>
      </c>
      <c r="C79" s="17">
        <v>9.3682665584111424E-2</v>
      </c>
      <c r="D79">
        <v>1</v>
      </c>
      <c r="F79" s="22" t="s">
        <v>38</v>
      </c>
      <c r="G79">
        <v>1500</v>
      </c>
      <c r="H79" s="17">
        <v>4.6841332792055712E-2</v>
      </c>
      <c r="I79">
        <v>1</v>
      </c>
      <c r="J79" t="s">
        <v>388</v>
      </c>
    </row>
    <row r="80" spans="1:10" x14ac:dyDescent="0.25">
      <c r="A80" s="22" t="s">
        <v>57</v>
      </c>
      <c r="B80">
        <v>2900</v>
      </c>
      <c r="C80" s="17">
        <v>9.0559910064641036E-2</v>
      </c>
      <c r="D80">
        <v>1</v>
      </c>
      <c r="F80" s="22" t="s">
        <v>55</v>
      </c>
      <c r="G80">
        <v>1500</v>
      </c>
      <c r="H80" s="17">
        <v>4.6841332792055712E-2</v>
      </c>
      <c r="I80">
        <v>1</v>
      </c>
      <c r="J80" t="s">
        <v>389</v>
      </c>
    </row>
    <row r="81" spans="1:10" x14ac:dyDescent="0.25">
      <c r="A81" s="22" t="s">
        <v>83</v>
      </c>
      <c r="B81">
        <v>2600</v>
      </c>
      <c r="C81" s="17">
        <v>8.1191643506229899E-2</v>
      </c>
      <c r="D81">
        <v>1</v>
      </c>
      <c r="F81" s="22" t="s">
        <v>81</v>
      </c>
      <c r="G81">
        <v>1375</v>
      </c>
      <c r="H81" s="17">
        <v>4.2937888392717734E-2</v>
      </c>
      <c r="I81">
        <v>1</v>
      </c>
      <c r="J81" t="s">
        <v>390</v>
      </c>
    </row>
    <row r="82" spans="1:10" x14ac:dyDescent="0.25">
      <c r="A82" s="22" t="s">
        <v>159</v>
      </c>
      <c r="B82">
        <v>2100</v>
      </c>
      <c r="C82" s="17">
        <v>6.5577865908878E-2</v>
      </c>
      <c r="D82">
        <v>1</v>
      </c>
      <c r="F82" s="22" t="s">
        <v>43</v>
      </c>
      <c r="G82">
        <v>1120</v>
      </c>
      <c r="H82" s="17">
        <v>3.4974861818068262E-2</v>
      </c>
      <c r="I82">
        <v>15</v>
      </c>
      <c r="J82" t="s">
        <v>391</v>
      </c>
    </row>
    <row r="83" spans="1:10" x14ac:dyDescent="0.25">
      <c r="A83" s="22" t="s">
        <v>38</v>
      </c>
      <c r="B83">
        <v>1500</v>
      </c>
      <c r="C83" s="17">
        <v>4.6841332792055712E-2</v>
      </c>
      <c r="D83">
        <v>1</v>
      </c>
      <c r="F83" s="22" t="s">
        <v>324</v>
      </c>
      <c r="G83">
        <v>768</v>
      </c>
      <c r="H83" s="17">
        <v>2.3982762389532522E-2</v>
      </c>
      <c r="I83">
        <v>1</v>
      </c>
      <c r="J83" t="s">
        <v>392</v>
      </c>
    </row>
    <row r="84" spans="1:10" x14ac:dyDescent="0.25">
      <c r="A84" s="22" t="s">
        <v>55</v>
      </c>
      <c r="B84">
        <v>1500</v>
      </c>
      <c r="C84" s="17">
        <v>4.6841332792055712E-2</v>
      </c>
      <c r="D84">
        <v>1</v>
      </c>
      <c r="F84" s="22" t="s">
        <v>72</v>
      </c>
      <c r="G84">
        <v>600</v>
      </c>
      <c r="H84" s="17">
        <v>1.8736533116822284E-2</v>
      </c>
      <c r="I84">
        <v>1</v>
      </c>
      <c r="J84" t="s">
        <v>393</v>
      </c>
    </row>
    <row r="85" spans="1:10" x14ac:dyDescent="0.25">
      <c r="A85" s="22" t="s">
        <v>81</v>
      </c>
      <c r="B85">
        <v>1375</v>
      </c>
      <c r="C85" s="17">
        <v>4.2937888392717734E-2</v>
      </c>
      <c r="D85">
        <v>1</v>
      </c>
      <c r="F85" s="22" t="s">
        <v>58</v>
      </c>
      <c r="G85">
        <v>599</v>
      </c>
      <c r="H85" s="17">
        <v>1.870530556162758E-2</v>
      </c>
      <c r="I85">
        <v>1</v>
      </c>
      <c r="J85" t="s">
        <v>389</v>
      </c>
    </row>
    <row r="86" spans="1:10" x14ac:dyDescent="0.25">
      <c r="A86" s="22" t="s">
        <v>43</v>
      </c>
      <c r="B86">
        <v>1120</v>
      </c>
      <c r="C86" s="17">
        <v>3.4974861818068262E-2</v>
      </c>
      <c r="D86">
        <v>15</v>
      </c>
      <c r="F86" s="22" t="s">
        <v>50</v>
      </c>
      <c r="G86">
        <v>599</v>
      </c>
      <c r="H86" s="17">
        <v>1.870530556162758E-2</v>
      </c>
      <c r="I86">
        <v>1</v>
      </c>
      <c r="J86" t="s">
        <v>394</v>
      </c>
    </row>
    <row r="87" spans="1:10" x14ac:dyDescent="0.25">
      <c r="A87" s="22" t="s">
        <v>324</v>
      </c>
      <c r="B87">
        <v>768</v>
      </c>
      <c r="C87" s="17">
        <v>2.3982762389532522E-2</v>
      </c>
      <c r="D87">
        <v>1</v>
      </c>
      <c r="F87" s="22" t="s">
        <v>319</v>
      </c>
      <c r="G87">
        <v>544</v>
      </c>
      <c r="H87" s="17">
        <v>1.698779002591887E-2</v>
      </c>
      <c r="I87">
        <v>1</v>
      </c>
      <c r="J87" t="s">
        <v>393</v>
      </c>
    </row>
    <row r="88" spans="1:10" x14ac:dyDescent="0.25">
      <c r="A88" s="22" t="s">
        <v>72</v>
      </c>
      <c r="B88">
        <v>600</v>
      </c>
      <c r="C88" s="17">
        <v>1.8736533116822284E-2</v>
      </c>
      <c r="D88">
        <v>1</v>
      </c>
      <c r="F88" s="22" t="s">
        <v>84</v>
      </c>
      <c r="G88">
        <v>500</v>
      </c>
      <c r="H88" s="17">
        <v>1.5613777597351903E-2</v>
      </c>
      <c r="I88">
        <v>1</v>
      </c>
      <c r="J88" t="s">
        <v>389</v>
      </c>
    </row>
    <row r="89" spans="1:10" x14ac:dyDescent="0.25">
      <c r="A89" s="22" t="s">
        <v>58</v>
      </c>
      <c r="B89">
        <v>599</v>
      </c>
      <c r="C89" s="17">
        <v>1.870530556162758E-2</v>
      </c>
      <c r="D89">
        <v>1</v>
      </c>
      <c r="F89" s="22" t="s">
        <v>78</v>
      </c>
      <c r="G89">
        <v>500</v>
      </c>
      <c r="H89" s="17">
        <v>1.5613777597351903E-2</v>
      </c>
      <c r="I89">
        <v>2</v>
      </c>
      <c r="J89" t="s">
        <v>392</v>
      </c>
    </row>
    <row r="90" spans="1:10" x14ac:dyDescent="0.25">
      <c r="A90" s="22" t="s">
        <v>50</v>
      </c>
      <c r="B90">
        <v>599</v>
      </c>
      <c r="C90" s="17">
        <v>1.870530556162758E-2</v>
      </c>
      <c r="D90">
        <v>1</v>
      </c>
      <c r="F90" s="22" t="s">
        <v>85</v>
      </c>
      <c r="G90">
        <v>500</v>
      </c>
      <c r="H90" s="17">
        <v>1.5613777597351903E-2</v>
      </c>
      <c r="I90">
        <v>1</v>
      </c>
      <c r="J90" t="s">
        <v>395</v>
      </c>
    </row>
    <row r="91" spans="1:10" x14ac:dyDescent="0.25">
      <c r="A91" s="22" t="s">
        <v>319</v>
      </c>
      <c r="B91">
        <v>544</v>
      </c>
      <c r="C91" s="17">
        <v>1.698779002591887E-2</v>
      </c>
      <c r="D91">
        <v>1</v>
      </c>
      <c r="F91" s="22" t="s">
        <v>64</v>
      </c>
      <c r="G91">
        <v>398</v>
      </c>
      <c r="H91" s="17">
        <v>1.2428566967492114E-2</v>
      </c>
      <c r="I91">
        <v>2</v>
      </c>
      <c r="J91" t="s">
        <v>394</v>
      </c>
    </row>
    <row r="92" spans="1:10" x14ac:dyDescent="0.25">
      <c r="A92" s="22" t="s">
        <v>84</v>
      </c>
      <c r="B92">
        <v>500</v>
      </c>
      <c r="C92" s="17">
        <v>1.5613777597351903E-2</v>
      </c>
      <c r="D92">
        <v>1</v>
      </c>
      <c r="F92" s="22" t="s">
        <v>35</v>
      </c>
      <c r="G92">
        <v>280</v>
      </c>
      <c r="H92" s="17">
        <v>8.7437154545170655E-3</v>
      </c>
      <c r="I92">
        <v>1</v>
      </c>
      <c r="J92" t="s">
        <v>392</v>
      </c>
    </row>
    <row r="93" spans="1:10" x14ac:dyDescent="0.25">
      <c r="A93" s="22" t="s">
        <v>78</v>
      </c>
      <c r="B93">
        <v>500</v>
      </c>
      <c r="C93" s="17">
        <v>1.5613777597351903E-2</v>
      </c>
      <c r="D93">
        <v>2</v>
      </c>
      <c r="F93" s="22" t="s">
        <v>329</v>
      </c>
      <c r="G93">
        <v>265</v>
      </c>
      <c r="H93" s="17">
        <v>8.2753021265965093E-3</v>
      </c>
      <c r="I93">
        <v>1</v>
      </c>
      <c r="J93" t="s">
        <v>395</v>
      </c>
    </row>
    <row r="94" spans="1:10" x14ac:dyDescent="0.25">
      <c r="A94" s="22" t="s">
        <v>85</v>
      </c>
      <c r="B94">
        <v>500</v>
      </c>
      <c r="C94" s="17">
        <v>1.5613777597351903E-2</v>
      </c>
      <c r="D94">
        <v>1</v>
      </c>
      <c r="F94" s="22" t="s">
        <v>28</v>
      </c>
      <c r="G94">
        <v>250</v>
      </c>
      <c r="H94" s="17">
        <v>7.8068887986759514E-3</v>
      </c>
      <c r="I94">
        <v>2</v>
      </c>
      <c r="J94" t="s">
        <v>392</v>
      </c>
    </row>
    <row r="95" spans="1:10" x14ac:dyDescent="0.25">
      <c r="A95" s="22" t="s">
        <v>64</v>
      </c>
      <c r="B95">
        <v>398</v>
      </c>
      <c r="C95" s="17">
        <v>1.2428566967492114E-2</v>
      </c>
      <c r="D95">
        <v>2</v>
      </c>
      <c r="F95" s="22" t="s">
        <v>24</v>
      </c>
      <c r="G95">
        <v>239</v>
      </c>
      <c r="H95" s="17">
        <v>7.4633856915342096E-3</v>
      </c>
      <c r="I95">
        <v>1</v>
      </c>
      <c r="J95" t="s">
        <v>392</v>
      </c>
    </row>
    <row r="96" spans="1:10" x14ac:dyDescent="0.25">
      <c r="A96" s="22" t="s">
        <v>35</v>
      </c>
      <c r="B96">
        <v>280</v>
      </c>
      <c r="C96" s="17">
        <v>8.7437154545170655E-3</v>
      </c>
      <c r="D96">
        <v>1</v>
      </c>
      <c r="F96" s="22" t="s">
        <v>40</v>
      </c>
      <c r="G96">
        <v>187</v>
      </c>
      <c r="H96" s="17">
        <v>5.8395528214096118E-3</v>
      </c>
      <c r="I96">
        <v>2</v>
      </c>
      <c r="J96" t="s">
        <v>395</v>
      </c>
    </row>
    <row r="97" spans="1:10" x14ac:dyDescent="0.25">
      <c r="A97" s="22" t="s">
        <v>329</v>
      </c>
      <c r="B97">
        <v>265</v>
      </c>
      <c r="C97" s="17">
        <v>8.2753021265965093E-3</v>
      </c>
      <c r="D97">
        <v>1</v>
      </c>
      <c r="F97" s="22" t="s">
        <v>262</v>
      </c>
      <c r="G97">
        <v>160</v>
      </c>
      <c r="H97" s="17">
        <v>4.9964088311526093E-3</v>
      </c>
      <c r="I97">
        <v>1</v>
      </c>
      <c r="J97" t="s">
        <v>395</v>
      </c>
    </row>
    <row r="98" spans="1:10" x14ac:dyDescent="0.25">
      <c r="A98" s="22" t="s">
        <v>28</v>
      </c>
      <c r="B98">
        <v>250</v>
      </c>
      <c r="C98" s="17">
        <v>7.8068887986759514E-3</v>
      </c>
      <c r="D98">
        <v>2</v>
      </c>
      <c r="F98" s="22" t="s">
        <v>82</v>
      </c>
      <c r="G98">
        <v>157</v>
      </c>
      <c r="H98" s="17">
        <v>4.9027261655684978E-3</v>
      </c>
      <c r="I98">
        <v>1</v>
      </c>
      <c r="J98" t="s">
        <v>395</v>
      </c>
    </row>
    <row r="99" spans="1:10" x14ac:dyDescent="0.25">
      <c r="A99" s="22" t="s">
        <v>24</v>
      </c>
      <c r="B99">
        <v>239</v>
      </c>
      <c r="C99" s="17">
        <v>7.4633856915342096E-3</v>
      </c>
      <c r="D99">
        <v>1</v>
      </c>
      <c r="F99" s="22" t="s">
        <v>34</v>
      </c>
      <c r="G99">
        <v>129</v>
      </c>
      <c r="H99" s="17">
        <v>4.0283546201167909E-3</v>
      </c>
      <c r="I99">
        <v>1</v>
      </c>
      <c r="J99" t="s">
        <v>392</v>
      </c>
    </row>
    <row r="100" spans="1:10" x14ac:dyDescent="0.25">
      <c r="A100" s="22" t="s">
        <v>40</v>
      </c>
      <c r="B100">
        <v>187</v>
      </c>
      <c r="C100" s="17">
        <v>5.8395528214096118E-3</v>
      </c>
      <c r="D100">
        <v>2</v>
      </c>
      <c r="F100" s="22" t="s">
        <v>29</v>
      </c>
      <c r="G100">
        <v>105</v>
      </c>
      <c r="H100" s="17">
        <v>3.2788932954438996E-3</v>
      </c>
      <c r="I100">
        <v>4</v>
      </c>
      <c r="J100" t="s">
        <v>395</v>
      </c>
    </row>
    <row r="101" spans="1:10" x14ac:dyDescent="0.25">
      <c r="A101" s="22" t="s">
        <v>262</v>
      </c>
      <c r="B101">
        <v>160</v>
      </c>
      <c r="C101" s="17">
        <v>4.9964088311526093E-3</v>
      </c>
      <c r="D101">
        <v>1</v>
      </c>
      <c r="F101" s="22" t="s">
        <v>79</v>
      </c>
      <c r="G101">
        <v>100</v>
      </c>
      <c r="H101" s="17">
        <v>3.1227555194703808E-3</v>
      </c>
      <c r="I101">
        <v>1</v>
      </c>
      <c r="J101" t="s">
        <v>395</v>
      </c>
    </row>
    <row r="102" spans="1:10" x14ac:dyDescent="0.25">
      <c r="A102" s="22" t="s">
        <v>82</v>
      </c>
      <c r="B102">
        <v>157</v>
      </c>
      <c r="C102" s="17">
        <v>4.9027261655684978E-3</v>
      </c>
      <c r="D102">
        <v>1</v>
      </c>
      <c r="F102" s="22" t="s">
        <v>47</v>
      </c>
      <c r="G102">
        <v>75</v>
      </c>
      <c r="H102" s="17">
        <v>2.3420666396027855E-3</v>
      </c>
      <c r="I102">
        <v>3</v>
      </c>
      <c r="J102" t="s">
        <v>394</v>
      </c>
    </row>
    <row r="103" spans="1:10" x14ac:dyDescent="0.25">
      <c r="A103" s="22" t="s">
        <v>34</v>
      </c>
      <c r="B103">
        <v>129</v>
      </c>
      <c r="C103" s="17">
        <v>4.0283546201167909E-3</v>
      </c>
      <c r="D103">
        <v>1</v>
      </c>
      <c r="F103" s="22" t="s">
        <v>60</v>
      </c>
      <c r="G103">
        <v>60</v>
      </c>
      <c r="H103" s="17">
        <v>1.8736533116822285E-3</v>
      </c>
      <c r="I103">
        <v>1</v>
      </c>
      <c r="J103" t="s">
        <v>395</v>
      </c>
    </row>
    <row r="104" spans="1:10" x14ac:dyDescent="0.25">
      <c r="A104" s="22" t="s">
        <v>29</v>
      </c>
      <c r="B104">
        <v>105</v>
      </c>
      <c r="C104" s="17">
        <v>3.2788932954438996E-3</v>
      </c>
      <c r="D104">
        <v>4</v>
      </c>
      <c r="F104" s="22" t="s">
        <v>69</v>
      </c>
      <c r="G104">
        <v>50</v>
      </c>
      <c r="H104" s="17">
        <v>1.5613777597351904E-3</v>
      </c>
      <c r="I104">
        <v>1</v>
      </c>
      <c r="J104" t="s">
        <v>393</v>
      </c>
    </row>
    <row r="105" spans="1:10" x14ac:dyDescent="0.25">
      <c r="A105" s="22" t="s">
        <v>79</v>
      </c>
      <c r="B105">
        <v>100</v>
      </c>
      <c r="C105" s="17">
        <v>3.1227555194703808E-3</v>
      </c>
      <c r="D105">
        <v>1</v>
      </c>
      <c r="F105" s="22" t="s">
        <v>67</v>
      </c>
      <c r="G105">
        <v>50</v>
      </c>
      <c r="H105" s="17">
        <v>1.5613777597351904E-3</v>
      </c>
      <c r="I105">
        <v>3</v>
      </c>
      <c r="J105" t="s">
        <v>395</v>
      </c>
    </row>
    <row r="106" spans="1:10" x14ac:dyDescent="0.25">
      <c r="A106" s="22" t="s">
        <v>47</v>
      </c>
      <c r="B106">
        <v>75</v>
      </c>
      <c r="C106" s="17">
        <v>2.3420666396027855E-3</v>
      </c>
      <c r="D106">
        <v>3</v>
      </c>
      <c r="F106" s="22" t="s">
        <v>49</v>
      </c>
      <c r="G106">
        <v>50</v>
      </c>
      <c r="H106" s="17">
        <v>1.5613777597351904E-3</v>
      </c>
      <c r="I106">
        <v>1</v>
      </c>
      <c r="J106" t="s">
        <v>393</v>
      </c>
    </row>
    <row r="107" spans="1:10" x14ac:dyDescent="0.25">
      <c r="A107" s="22" t="s">
        <v>60</v>
      </c>
      <c r="B107">
        <v>60</v>
      </c>
      <c r="C107" s="17">
        <v>1.8736533116822285E-3</v>
      </c>
      <c r="D107">
        <v>1</v>
      </c>
      <c r="F107" s="22" t="s">
        <v>42</v>
      </c>
      <c r="G107">
        <v>40</v>
      </c>
      <c r="H107" s="17">
        <v>1.2491022077881523E-3</v>
      </c>
      <c r="I107">
        <v>1</v>
      </c>
      <c r="J107" t="s">
        <v>395</v>
      </c>
    </row>
    <row r="108" spans="1:10" x14ac:dyDescent="0.25">
      <c r="A108" s="22" t="s">
        <v>69</v>
      </c>
      <c r="B108">
        <v>50</v>
      </c>
      <c r="C108" s="17">
        <v>1.5613777597351904E-3</v>
      </c>
      <c r="D108">
        <v>1</v>
      </c>
      <c r="F108" s="22" t="s">
        <v>63</v>
      </c>
      <c r="G108">
        <v>30</v>
      </c>
      <c r="H108" s="17">
        <v>9.3682665584111425E-4</v>
      </c>
      <c r="I108">
        <v>1</v>
      </c>
      <c r="J108" t="s">
        <v>395</v>
      </c>
    </row>
    <row r="109" spans="1:10" x14ac:dyDescent="0.25">
      <c r="A109" s="22" t="s">
        <v>67</v>
      </c>
      <c r="B109">
        <v>50</v>
      </c>
      <c r="C109" s="17">
        <v>1.5613777597351904E-3</v>
      </c>
      <c r="D109">
        <v>3</v>
      </c>
      <c r="F109" s="22" t="s">
        <v>41</v>
      </c>
      <c r="G109">
        <v>20</v>
      </c>
      <c r="H109" s="17">
        <v>6.2455110389407617E-4</v>
      </c>
      <c r="I109">
        <v>1</v>
      </c>
      <c r="J109" t="s">
        <v>395</v>
      </c>
    </row>
    <row r="110" spans="1:10" x14ac:dyDescent="0.25">
      <c r="A110" s="22" t="s">
        <v>49</v>
      </c>
      <c r="B110">
        <v>50</v>
      </c>
      <c r="C110" s="17">
        <v>1.5613777597351904E-3</v>
      </c>
      <c r="D110">
        <v>1</v>
      </c>
      <c r="F110" s="22" t="s">
        <v>59</v>
      </c>
      <c r="G110">
        <v>20</v>
      </c>
      <c r="H110" s="17">
        <v>6.2455110389407617E-4</v>
      </c>
      <c r="I110">
        <v>1</v>
      </c>
      <c r="J110" t="s">
        <v>395</v>
      </c>
    </row>
    <row r="111" spans="1:10" x14ac:dyDescent="0.25">
      <c r="A111" s="22" t="s">
        <v>42</v>
      </c>
      <c r="B111">
        <v>40</v>
      </c>
      <c r="C111" s="17">
        <v>1.2491022077881523E-3</v>
      </c>
      <c r="D111">
        <v>1</v>
      </c>
      <c r="F111" s="22" t="s">
        <v>74</v>
      </c>
      <c r="G111">
        <v>20</v>
      </c>
      <c r="H111" s="17">
        <v>6.2455110389407617E-4</v>
      </c>
      <c r="I111">
        <v>1</v>
      </c>
      <c r="J111" t="s">
        <v>395</v>
      </c>
    </row>
    <row r="112" spans="1:10" x14ac:dyDescent="0.25">
      <c r="A112" s="22" t="s">
        <v>63</v>
      </c>
      <c r="B112">
        <v>30</v>
      </c>
      <c r="C112" s="17">
        <v>9.3682665584111425E-4</v>
      </c>
      <c r="D112">
        <v>1</v>
      </c>
      <c r="F112" s="22" t="s">
        <v>44</v>
      </c>
      <c r="G112">
        <v>13</v>
      </c>
      <c r="H112" s="17">
        <v>4.059582175311495E-4</v>
      </c>
      <c r="I112">
        <v>1</v>
      </c>
      <c r="J112" t="s">
        <v>395</v>
      </c>
    </row>
    <row r="113" spans="1:12" x14ac:dyDescent="0.25">
      <c r="A113" s="22" t="s">
        <v>41</v>
      </c>
      <c r="B113">
        <v>20</v>
      </c>
      <c r="C113" s="17">
        <v>6.2455110389407617E-4</v>
      </c>
      <c r="D113">
        <v>1</v>
      </c>
      <c r="F113" s="22" t="s">
        <v>70</v>
      </c>
      <c r="G113">
        <v>10</v>
      </c>
      <c r="H113" s="17">
        <v>3.1227555194703808E-4</v>
      </c>
      <c r="I113">
        <v>1</v>
      </c>
      <c r="J113" t="s">
        <v>395</v>
      </c>
    </row>
    <row r="114" spans="1:12" x14ac:dyDescent="0.25">
      <c r="A114" s="22" t="s">
        <v>59</v>
      </c>
      <c r="B114">
        <v>20</v>
      </c>
      <c r="C114" s="17">
        <v>6.2455110389407617E-4</v>
      </c>
      <c r="D114">
        <v>1</v>
      </c>
      <c r="F114" s="22" t="s">
        <v>66</v>
      </c>
      <c r="G114">
        <v>10</v>
      </c>
      <c r="H114" s="17">
        <v>3.1227555194703808E-4</v>
      </c>
      <c r="I114">
        <v>1</v>
      </c>
      <c r="J114" t="s">
        <v>395</v>
      </c>
    </row>
    <row r="115" spans="1:12" x14ac:dyDescent="0.25">
      <c r="A115" s="22" t="s">
        <v>74</v>
      </c>
      <c r="B115">
        <v>20</v>
      </c>
      <c r="C115" s="17">
        <v>6.2455110389407617E-4</v>
      </c>
      <c r="D115">
        <v>1</v>
      </c>
    </row>
    <row r="116" spans="1:12" x14ac:dyDescent="0.25">
      <c r="A116" s="22" t="s">
        <v>44</v>
      </c>
      <c r="B116">
        <v>13</v>
      </c>
      <c r="C116" s="17">
        <v>4.059582175311495E-4</v>
      </c>
      <c r="D116">
        <v>1</v>
      </c>
    </row>
    <row r="117" spans="1:12" x14ac:dyDescent="0.25">
      <c r="A117" s="22" t="s">
        <v>70</v>
      </c>
      <c r="B117">
        <v>10</v>
      </c>
      <c r="C117" s="17">
        <v>3.1227555194703808E-4</v>
      </c>
      <c r="D117">
        <v>1</v>
      </c>
    </row>
    <row r="118" spans="1:12" x14ac:dyDescent="0.25">
      <c r="A118" s="22" t="s">
        <v>66</v>
      </c>
      <c r="B118">
        <v>10</v>
      </c>
      <c r="C118" s="17">
        <v>3.1227555194703808E-4</v>
      </c>
      <c r="D118">
        <v>1</v>
      </c>
    </row>
    <row r="119" spans="1:12" ht="26.25" x14ac:dyDescent="0.4">
      <c r="A119" s="3" t="s">
        <v>295</v>
      </c>
      <c r="B119">
        <v>32023</v>
      </c>
      <c r="C119" s="17">
        <v>1</v>
      </c>
      <c r="D119">
        <v>67</v>
      </c>
      <c r="G119" s="30" t="s">
        <v>400</v>
      </c>
    </row>
    <row r="120" spans="1:12" x14ac:dyDescent="0.25">
      <c r="G120" t="s">
        <v>396</v>
      </c>
      <c r="H120" t="s">
        <v>401</v>
      </c>
      <c r="I120" t="s">
        <v>402</v>
      </c>
      <c r="J120" t="s">
        <v>386</v>
      </c>
      <c r="K120" t="s">
        <v>387</v>
      </c>
      <c r="L120" t="s">
        <v>403</v>
      </c>
    </row>
    <row r="121" spans="1:12" x14ac:dyDescent="0.25">
      <c r="G121" t="s">
        <v>389</v>
      </c>
      <c r="H121">
        <v>11699</v>
      </c>
      <c r="I121">
        <v>0.36533116822283984</v>
      </c>
      <c r="J121">
        <f>ROUND(Table22[[#This Row],[expense_propxn]] * 100, 2)</f>
        <v>36.53</v>
      </c>
      <c r="K121">
        <v>6</v>
      </c>
      <c r="L121">
        <f>ROUND(Table22[[#This Row],[expense]]/Table22[[#This Row],[count]], 2)</f>
        <v>1949.83</v>
      </c>
    </row>
    <row r="122" spans="1:12" ht="26.25" x14ac:dyDescent="0.4">
      <c r="A122" s="30" t="s">
        <v>400</v>
      </c>
      <c r="G122" t="s">
        <v>388</v>
      </c>
      <c r="H122">
        <v>11600</v>
      </c>
      <c r="I122">
        <v>0.36223964025856414</v>
      </c>
      <c r="J122">
        <f>ROUND(Table22[[#This Row],[expense_propxn]] * 100, 2)</f>
        <v>36.22</v>
      </c>
      <c r="K122">
        <v>4</v>
      </c>
      <c r="L122">
        <f>ROUND(Table22[[#This Row],[expense]]/Table22[[#This Row],[count]], 2)</f>
        <v>2900</v>
      </c>
    </row>
    <row r="123" spans="1:12" x14ac:dyDescent="0.25">
      <c r="A123" s="2" t="s">
        <v>294</v>
      </c>
      <c r="B123" t="s">
        <v>397</v>
      </c>
      <c r="C123" t="s">
        <v>399</v>
      </c>
      <c r="D123" t="s">
        <v>398</v>
      </c>
      <c r="G123" t="s">
        <v>392</v>
      </c>
      <c r="H123">
        <v>2166</v>
      </c>
      <c r="I123">
        <v>6.7638884551728437E-2</v>
      </c>
      <c r="J123">
        <f>ROUND(Table22[[#This Row],[expense_propxn]] * 100, 2)</f>
        <v>6.76</v>
      </c>
      <c r="K123">
        <v>8</v>
      </c>
      <c r="L123">
        <f>ROUND(Table22[[#This Row],[expense]]/Table22[[#This Row],[count]], 2)</f>
        <v>270.75</v>
      </c>
    </row>
    <row r="124" spans="1:12" x14ac:dyDescent="0.25">
      <c r="A124" s="3" t="s">
        <v>389</v>
      </c>
      <c r="B124">
        <v>11699</v>
      </c>
      <c r="C124">
        <v>0.36533116822283984</v>
      </c>
      <c r="D124">
        <v>6</v>
      </c>
      <c r="G124" t="s">
        <v>395</v>
      </c>
      <c r="H124">
        <v>1747</v>
      </c>
      <c r="I124">
        <v>5.4554538925147542E-2</v>
      </c>
      <c r="J124">
        <f>ROUND(Table22[[#This Row],[expense_propxn]] * 100, 2)</f>
        <v>5.46</v>
      </c>
      <c r="K124">
        <v>23</v>
      </c>
      <c r="L124">
        <f>ROUND(Table22[[#This Row],[expense]]/Table22[[#This Row],[count]], 2)</f>
        <v>75.959999999999994</v>
      </c>
    </row>
    <row r="125" spans="1:12" x14ac:dyDescent="0.25">
      <c r="A125" s="3" t="s">
        <v>388</v>
      </c>
      <c r="B125">
        <v>11600</v>
      </c>
      <c r="C125">
        <v>0.36223964025856414</v>
      </c>
      <c r="D125">
        <v>4</v>
      </c>
      <c r="G125" t="s">
        <v>390</v>
      </c>
      <c r="H125">
        <v>1375</v>
      </c>
      <c r="I125">
        <v>4.2937888392717734E-2</v>
      </c>
      <c r="J125">
        <f>ROUND(Table22[[#This Row],[expense_propxn]] * 100, 2)</f>
        <v>4.29</v>
      </c>
      <c r="K125">
        <v>1</v>
      </c>
      <c r="L125">
        <f>ROUND(Table22[[#This Row],[expense]]/Table22[[#This Row],[count]], 2)</f>
        <v>1375</v>
      </c>
    </row>
    <row r="126" spans="1:12" x14ac:dyDescent="0.25">
      <c r="A126" s="3" t="s">
        <v>392</v>
      </c>
      <c r="B126">
        <v>2166</v>
      </c>
      <c r="C126">
        <v>6.7638884551728437E-2</v>
      </c>
      <c r="D126">
        <v>8</v>
      </c>
      <c r="G126" t="s">
        <v>393</v>
      </c>
      <c r="H126">
        <v>1244</v>
      </c>
      <c r="I126">
        <v>3.8847078662211529E-2</v>
      </c>
      <c r="J126">
        <f>ROUND(Table22[[#This Row],[expense_propxn]] * 100, 2)</f>
        <v>3.88</v>
      </c>
      <c r="K126">
        <v>4</v>
      </c>
      <c r="L126">
        <f>ROUND(Table22[[#This Row],[expense]]/Table22[[#This Row],[count]], 2)</f>
        <v>311</v>
      </c>
    </row>
    <row r="127" spans="1:12" x14ac:dyDescent="0.25">
      <c r="A127" s="3" t="s">
        <v>395</v>
      </c>
      <c r="B127">
        <v>1747</v>
      </c>
      <c r="C127">
        <v>5.4554538925147542E-2</v>
      </c>
      <c r="D127">
        <v>23</v>
      </c>
      <c r="G127" t="s">
        <v>391</v>
      </c>
      <c r="H127">
        <v>1120</v>
      </c>
      <c r="I127">
        <v>3.4974861818068262E-2</v>
      </c>
      <c r="J127">
        <f>ROUND(Table22[[#This Row],[expense_propxn]] * 100, 2)</f>
        <v>3.5</v>
      </c>
      <c r="K127">
        <v>15</v>
      </c>
      <c r="L127">
        <f>ROUND(Table22[[#This Row],[expense]]/Table22[[#This Row],[count]], 2)</f>
        <v>74.67</v>
      </c>
    </row>
    <row r="128" spans="1:12" x14ac:dyDescent="0.25">
      <c r="A128" s="3" t="s">
        <v>390</v>
      </c>
      <c r="B128">
        <v>1375</v>
      </c>
      <c r="C128">
        <v>4.2937888392717734E-2</v>
      </c>
      <c r="D128">
        <v>1</v>
      </c>
      <c r="G128" t="s">
        <v>394</v>
      </c>
      <c r="H128">
        <v>1072</v>
      </c>
      <c r="I128">
        <v>3.3475939168722477E-2</v>
      </c>
      <c r="J128">
        <f>ROUND(Table22[[#This Row],[expense_propxn]] * 100, 2)</f>
        <v>3.35</v>
      </c>
      <c r="K128">
        <v>6</v>
      </c>
      <c r="L128">
        <f>ROUND(Table22[[#This Row],[expense]]/Table22[[#This Row],[count]], 2)</f>
        <v>178.67</v>
      </c>
    </row>
    <row r="129" spans="1:4" x14ac:dyDescent="0.25">
      <c r="A129" s="3" t="s">
        <v>393</v>
      </c>
      <c r="B129">
        <v>1244</v>
      </c>
      <c r="C129">
        <v>3.8847078662211529E-2</v>
      </c>
      <c r="D129">
        <v>4</v>
      </c>
    </row>
    <row r="130" spans="1:4" x14ac:dyDescent="0.25">
      <c r="A130" s="3" t="s">
        <v>391</v>
      </c>
      <c r="B130">
        <v>1120</v>
      </c>
      <c r="C130">
        <v>3.4974861818068262E-2</v>
      </c>
      <c r="D130">
        <v>15</v>
      </c>
    </row>
    <row r="131" spans="1:4" x14ac:dyDescent="0.25">
      <c r="A131" s="3" t="s">
        <v>394</v>
      </c>
      <c r="B131">
        <v>1072</v>
      </c>
      <c r="C131">
        <v>3.3475939168722477E-2</v>
      </c>
      <c r="D131">
        <v>6</v>
      </c>
    </row>
    <row r="132" spans="1:4" x14ac:dyDescent="0.25">
      <c r="A132" s="3" t="s">
        <v>295</v>
      </c>
      <c r="B132">
        <v>32023</v>
      </c>
      <c r="C132">
        <v>1</v>
      </c>
      <c r="D132">
        <v>67</v>
      </c>
    </row>
    <row r="170" spans="1:8" ht="33.6" customHeight="1" x14ac:dyDescent="0.4">
      <c r="A170" s="24" t="s">
        <v>405</v>
      </c>
      <c r="B170" s="29"/>
      <c r="C170" s="29"/>
      <c r="D170" s="29"/>
      <c r="E170" s="29"/>
      <c r="F170" s="29"/>
      <c r="G170" s="29"/>
      <c r="H170" s="29"/>
    </row>
    <row r="233" spans="1:19" ht="33.6" customHeight="1" x14ac:dyDescent="0.4">
      <c r="A233" s="24" t="s">
        <v>444</v>
      </c>
      <c r="B233" s="29"/>
      <c r="C233" s="29"/>
      <c r="D233" s="29"/>
      <c r="E233" s="29"/>
      <c r="F233" s="29"/>
      <c r="G233" s="29"/>
      <c r="H233" s="29"/>
    </row>
    <row r="235" spans="1:19" ht="21" x14ac:dyDescent="0.35">
      <c r="A235" s="6" t="s">
        <v>441</v>
      </c>
      <c r="I235" s="6" t="s">
        <v>442</v>
      </c>
      <c r="R235" s="6" t="s">
        <v>352</v>
      </c>
    </row>
    <row r="236" spans="1:19" x14ac:dyDescent="0.25">
      <c r="B236" s="2" t="s">
        <v>300</v>
      </c>
      <c r="I236" t="s">
        <v>439</v>
      </c>
      <c r="J236" t="s">
        <v>449</v>
      </c>
      <c r="K236" t="s">
        <v>450</v>
      </c>
      <c r="L236" t="s">
        <v>451</v>
      </c>
      <c r="M236" t="s">
        <v>452</v>
      </c>
      <c r="N236" t="s">
        <v>445</v>
      </c>
      <c r="O236" t="s">
        <v>440</v>
      </c>
      <c r="P236" t="s">
        <v>456</v>
      </c>
      <c r="R236" t="s">
        <v>459</v>
      </c>
      <c r="S236" t="s">
        <v>460</v>
      </c>
    </row>
    <row r="237" spans="1:19" x14ac:dyDescent="0.25">
      <c r="B237" t="s">
        <v>15</v>
      </c>
      <c r="F237" t="s">
        <v>447</v>
      </c>
      <c r="G237" t="s">
        <v>448</v>
      </c>
      <c r="I237" t="s">
        <v>145</v>
      </c>
      <c r="L237">
        <v>73000</v>
      </c>
      <c r="M237">
        <v>14</v>
      </c>
      <c r="N237">
        <v>1</v>
      </c>
      <c r="O237">
        <f>ROUND(Table20[[#This Row],[Sum of G-cash Expenses]]/Table20[[#This Row],[Total Expenses]] * 100, 2)</f>
        <v>0</v>
      </c>
      <c r="P237">
        <f>ROUND(Table20[[#This Row],[Total Expenses]] / $B$4 * 100, 2)</f>
        <v>28.42</v>
      </c>
      <c r="R237" s="23" t="s">
        <v>342</v>
      </c>
      <c r="S237">
        <f>SUM(Table20[Total Expenses])</f>
        <v>193429</v>
      </c>
    </row>
    <row r="238" spans="1:19" x14ac:dyDescent="0.25">
      <c r="B238" t="s">
        <v>21</v>
      </c>
      <c r="D238" t="s">
        <v>13</v>
      </c>
      <c r="I238" t="s">
        <v>159</v>
      </c>
      <c r="L238">
        <v>31270</v>
      </c>
      <c r="M238">
        <v>15</v>
      </c>
      <c r="N238">
        <v>2</v>
      </c>
      <c r="O238">
        <f>ROUND(Table20[[#This Row],[Sum of G-cash Expenses]]/Table20[[#This Row],[Total Expenses]] * 100, 2)</f>
        <v>0</v>
      </c>
      <c r="P238">
        <f>ROUND(Table20[[#This Row],[Total Expenses]] / $B$4 * 100, 2)</f>
        <v>12.17</v>
      </c>
      <c r="R238" s="44" t="s">
        <v>458</v>
      </c>
      <c r="S238">
        <f>ROUND(S237 / B4 * 100, 2)</f>
        <v>75.31</v>
      </c>
    </row>
    <row r="239" spans="1:19" x14ac:dyDescent="0.25">
      <c r="A239" s="2" t="s">
        <v>294</v>
      </c>
      <c r="B239" t="s">
        <v>299</v>
      </c>
      <c r="C239" t="s">
        <v>406</v>
      </c>
      <c r="D239" t="s">
        <v>299</v>
      </c>
      <c r="E239" t="s">
        <v>406</v>
      </c>
      <c r="I239" t="s">
        <v>238</v>
      </c>
      <c r="L239">
        <v>10000</v>
      </c>
      <c r="M239">
        <v>1</v>
      </c>
      <c r="N239">
        <v>3</v>
      </c>
      <c r="O239">
        <f>ROUND(Table20[[#This Row],[Sum of G-cash Expenses]]/Table20[[#This Row],[Total Expenses]] * 100, 2)</f>
        <v>0</v>
      </c>
      <c r="P239">
        <f>ROUND(Table20[[#This Row],[Total Expenses]] / $B$4 * 100, 2)</f>
        <v>3.89</v>
      </c>
    </row>
    <row r="240" spans="1:19" x14ac:dyDescent="0.25">
      <c r="A240" s="3" t="s">
        <v>145</v>
      </c>
      <c r="D240">
        <v>73000</v>
      </c>
      <c r="E240">
        <v>14</v>
      </c>
      <c r="F240">
        <v>73000</v>
      </c>
      <c r="G240">
        <v>14</v>
      </c>
      <c r="I240" t="s">
        <v>38</v>
      </c>
      <c r="L240">
        <v>9200</v>
      </c>
      <c r="M240">
        <v>6</v>
      </c>
      <c r="N240">
        <v>4</v>
      </c>
      <c r="O240">
        <f>ROUND(Table20[[#This Row],[Sum of G-cash Expenses]]/Table20[[#This Row],[Total Expenses]] * 100, 2)</f>
        <v>0</v>
      </c>
      <c r="P240">
        <f>ROUND(Table20[[#This Row],[Total Expenses]] / $B$4 * 100, 2)</f>
        <v>3.58</v>
      </c>
    </row>
    <row r="241" spans="1:16" x14ac:dyDescent="0.25">
      <c r="A241" s="3" t="s">
        <v>159</v>
      </c>
      <c r="D241">
        <v>31270</v>
      </c>
      <c r="E241">
        <v>15</v>
      </c>
      <c r="F241">
        <v>31270</v>
      </c>
      <c r="G241">
        <v>15</v>
      </c>
      <c r="I241" t="s">
        <v>323</v>
      </c>
      <c r="J241">
        <v>150</v>
      </c>
      <c r="K241">
        <v>1</v>
      </c>
      <c r="L241">
        <v>7200</v>
      </c>
      <c r="M241">
        <v>4</v>
      </c>
      <c r="N241">
        <v>5</v>
      </c>
      <c r="O241">
        <f>ROUND(Table20[[#This Row],[Sum of G-cash Expenses]]/Table20[[#This Row],[Total Expenses]] * 100, 2)</f>
        <v>2.08</v>
      </c>
      <c r="P241">
        <f>ROUND(Table20[[#This Row],[Total Expenses]] / $B$4 * 100, 2)</f>
        <v>2.8</v>
      </c>
    </row>
    <row r="242" spans="1:16" x14ac:dyDescent="0.25">
      <c r="A242" s="3" t="s">
        <v>238</v>
      </c>
      <c r="D242">
        <v>10000</v>
      </c>
      <c r="E242">
        <v>1</v>
      </c>
      <c r="F242">
        <v>10000</v>
      </c>
      <c r="G242">
        <v>1</v>
      </c>
      <c r="I242" t="s">
        <v>138</v>
      </c>
      <c r="L242">
        <v>7000</v>
      </c>
      <c r="M242">
        <v>1</v>
      </c>
      <c r="N242">
        <v>6</v>
      </c>
      <c r="O242">
        <f>ROUND(Table20[[#This Row],[Sum of G-cash Expenses]]/Table20[[#This Row],[Total Expenses]] * 100, 2)</f>
        <v>0</v>
      </c>
      <c r="P242">
        <f>ROUND(Table20[[#This Row],[Total Expenses]] / $B$4 * 100, 2)</f>
        <v>2.73</v>
      </c>
    </row>
    <row r="243" spans="1:16" x14ac:dyDescent="0.25">
      <c r="A243" s="3" t="s">
        <v>38</v>
      </c>
      <c r="D243">
        <v>9200</v>
      </c>
      <c r="E243">
        <v>6</v>
      </c>
      <c r="F243">
        <v>9200</v>
      </c>
      <c r="G243">
        <v>6</v>
      </c>
      <c r="I243" t="s">
        <v>43</v>
      </c>
      <c r="L243">
        <v>6587</v>
      </c>
      <c r="M243">
        <v>87</v>
      </c>
      <c r="N243">
        <v>7</v>
      </c>
      <c r="O243">
        <f>ROUND(Table20[[#This Row],[Sum of G-cash Expenses]]/Table20[[#This Row],[Total Expenses]] * 100, 2)</f>
        <v>0</v>
      </c>
      <c r="P243">
        <f>ROUND(Table20[[#This Row],[Total Expenses]] / $B$4 * 100, 2)</f>
        <v>2.56</v>
      </c>
    </row>
    <row r="244" spans="1:16" x14ac:dyDescent="0.25">
      <c r="A244" s="3" t="s">
        <v>323</v>
      </c>
      <c r="B244">
        <v>150</v>
      </c>
      <c r="C244">
        <v>1</v>
      </c>
      <c r="D244">
        <v>7050</v>
      </c>
      <c r="E244">
        <v>3</v>
      </c>
      <c r="F244">
        <v>7200</v>
      </c>
      <c r="G244">
        <v>4</v>
      </c>
      <c r="I244" t="s">
        <v>28</v>
      </c>
      <c r="J244">
        <v>6154</v>
      </c>
      <c r="K244">
        <v>66</v>
      </c>
      <c r="L244">
        <v>6154</v>
      </c>
      <c r="M244">
        <v>66</v>
      </c>
      <c r="N244">
        <v>8</v>
      </c>
      <c r="O244">
        <f>ROUND(Table20[[#This Row],[Sum of G-cash Expenses]]/Table20[[#This Row],[Total Expenses]] * 100, 2)</f>
        <v>100</v>
      </c>
      <c r="P244">
        <f>ROUND(Table20[[#This Row],[Total Expenses]] / $B$4 * 100, 2)</f>
        <v>2.4</v>
      </c>
    </row>
    <row r="245" spans="1:16" x14ac:dyDescent="0.25">
      <c r="A245" s="3" t="s">
        <v>138</v>
      </c>
      <c r="D245">
        <v>7000</v>
      </c>
      <c r="E245">
        <v>1</v>
      </c>
      <c r="F245">
        <v>7000</v>
      </c>
      <c r="G245">
        <v>1</v>
      </c>
      <c r="I245" t="s">
        <v>285</v>
      </c>
      <c r="L245">
        <v>5490</v>
      </c>
      <c r="M245">
        <v>1</v>
      </c>
      <c r="N245">
        <v>9</v>
      </c>
      <c r="O245">
        <f>ROUND(Table20[[#This Row],[Sum of G-cash Expenses]]/Table20[[#This Row],[Total Expenses]] * 100, 2)</f>
        <v>0</v>
      </c>
      <c r="P245">
        <f>ROUND(Table20[[#This Row],[Total Expenses]] / $B$4 * 100, 2)</f>
        <v>2.14</v>
      </c>
    </row>
    <row r="246" spans="1:16" x14ac:dyDescent="0.25">
      <c r="A246" s="3" t="s">
        <v>43</v>
      </c>
      <c r="D246">
        <v>6587</v>
      </c>
      <c r="E246">
        <v>87</v>
      </c>
      <c r="F246">
        <v>6587</v>
      </c>
      <c r="G246">
        <v>87</v>
      </c>
      <c r="I246" t="s">
        <v>50</v>
      </c>
      <c r="J246">
        <v>4494</v>
      </c>
      <c r="K246">
        <v>7</v>
      </c>
      <c r="L246">
        <v>4494</v>
      </c>
      <c r="M246">
        <v>7</v>
      </c>
      <c r="N246">
        <v>10</v>
      </c>
      <c r="O246">
        <f>ROUND(Table20[[#This Row],[Sum of G-cash Expenses]]/Table20[[#This Row],[Total Expenses]] * 100, 2)</f>
        <v>100</v>
      </c>
      <c r="P246">
        <f>ROUND(Table20[[#This Row],[Total Expenses]] / $B$4 * 100, 2)</f>
        <v>1.75</v>
      </c>
    </row>
    <row r="247" spans="1:16" x14ac:dyDescent="0.25">
      <c r="A247" s="3" t="s">
        <v>28</v>
      </c>
      <c r="B247">
        <v>6154</v>
      </c>
      <c r="C247">
        <v>66</v>
      </c>
      <c r="F247">
        <v>6154</v>
      </c>
      <c r="G247">
        <v>66</v>
      </c>
      <c r="I247" t="s">
        <v>194</v>
      </c>
      <c r="L247">
        <v>4000</v>
      </c>
      <c r="M247">
        <v>1</v>
      </c>
      <c r="N247">
        <v>11</v>
      </c>
      <c r="O247">
        <f>ROUND(Table20[[#This Row],[Sum of G-cash Expenses]]/Table20[[#This Row],[Total Expenses]] * 100, 2)</f>
        <v>0</v>
      </c>
      <c r="P247">
        <f>ROUND(Table20[[#This Row],[Total Expenses]] / $B$4 * 100, 2)</f>
        <v>1.56</v>
      </c>
    </row>
    <row r="248" spans="1:16" x14ac:dyDescent="0.25">
      <c r="A248" s="3" t="s">
        <v>285</v>
      </c>
      <c r="D248">
        <v>5490</v>
      </c>
      <c r="E248">
        <v>1</v>
      </c>
      <c r="F248">
        <v>5490</v>
      </c>
      <c r="G248">
        <v>1</v>
      </c>
      <c r="I248" t="s">
        <v>64</v>
      </c>
      <c r="J248">
        <v>3981</v>
      </c>
      <c r="K248">
        <v>20</v>
      </c>
      <c r="L248">
        <v>3981</v>
      </c>
      <c r="M248">
        <v>20</v>
      </c>
      <c r="N248">
        <v>12</v>
      </c>
      <c r="O248">
        <f>ROUND(Table20[[#This Row],[Sum of G-cash Expenses]]/Table20[[#This Row],[Total Expenses]] * 100, 2)</f>
        <v>100</v>
      </c>
      <c r="P248">
        <f>ROUND(Table20[[#This Row],[Total Expenses]] / $B$4 * 100, 2)</f>
        <v>1.55</v>
      </c>
    </row>
    <row r="249" spans="1:16" x14ac:dyDescent="0.25">
      <c r="A249" s="3" t="s">
        <v>50</v>
      </c>
      <c r="B249">
        <v>4494</v>
      </c>
      <c r="C249">
        <v>7</v>
      </c>
      <c r="F249">
        <v>4494</v>
      </c>
      <c r="G249">
        <v>7</v>
      </c>
      <c r="I249" t="s">
        <v>329</v>
      </c>
      <c r="L249">
        <v>3800</v>
      </c>
      <c r="M249">
        <v>17</v>
      </c>
      <c r="N249">
        <v>13</v>
      </c>
      <c r="O249">
        <f>ROUND(Table20[[#This Row],[Sum of G-cash Expenses]]/Table20[[#This Row],[Total Expenses]] * 100, 2)</f>
        <v>0</v>
      </c>
      <c r="P249">
        <f>ROUND(Table20[[#This Row],[Total Expenses]] / $B$4 * 100, 2)</f>
        <v>1.48</v>
      </c>
    </row>
    <row r="250" spans="1:16" x14ac:dyDescent="0.25">
      <c r="A250" s="3" t="s">
        <v>194</v>
      </c>
      <c r="D250">
        <v>4000</v>
      </c>
      <c r="E250">
        <v>1</v>
      </c>
      <c r="F250">
        <v>4000</v>
      </c>
      <c r="G250">
        <v>1</v>
      </c>
      <c r="I250" t="s">
        <v>56</v>
      </c>
      <c r="L250">
        <v>3600</v>
      </c>
      <c r="M250">
        <v>1</v>
      </c>
      <c r="N250">
        <v>14</v>
      </c>
      <c r="O250">
        <f>ROUND(Table20[[#This Row],[Sum of G-cash Expenses]]/Table20[[#This Row],[Total Expenses]] * 100, 2)</f>
        <v>0</v>
      </c>
      <c r="P250">
        <f>ROUND(Table20[[#This Row],[Total Expenses]] / $B$4 * 100, 2)</f>
        <v>1.4</v>
      </c>
    </row>
    <row r="251" spans="1:16" x14ac:dyDescent="0.25">
      <c r="A251" s="3" t="s">
        <v>64</v>
      </c>
      <c r="B251">
        <v>3981</v>
      </c>
      <c r="C251">
        <v>20</v>
      </c>
      <c r="F251">
        <v>3981</v>
      </c>
      <c r="G251">
        <v>20</v>
      </c>
      <c r="I251" t="s">
        <v>319</v>
      </c>
      <c r="L251">
        <v>3340</v>
      </c>
      <c r="M251">
        <v>8</v>
      </c>
      <c r="N251">
        <v>15</v>
      </c>
      <c r="O251">
        <f>ROUND(Table20[[#This Row],[Sum of G-cash Expenses]]/Table20[[#This Row],[Total Expenses]] * 100, 2)</f>
        <v>0</v>
      </c>
      <c r="P251">
        <f>ROUND(Table20[[#This Row],[Total Expenses]] / $B$4 * 100, 2)</f>
        <v>1.3</v>
      </c>
    </row>
    <row r="252" spans="1:16" x14ac:dyDescent="0.25">
      <c r="A252" s="3" t="s">
        <v>329</v>
      </c>
      <c r="D252">
        <v>3800</v>
      </c>
      <c r="E252">
        <v>17</v>
      </c>
      <c r="F252">
        <v>3800</v>
      </c>
      <c r="G252">
        <v>17</v>
      </c>
      <c r="I252" t="s">
        <v>77</v>
      </c>
      <c r="L252">
        <v>3000</v>
      </c>
      <c r="M252">
        <v>1</v>
      </c>
      <c r="N252">
        <v>16</v>
      </c>
      <c r="O252">
        <f>ROUND(Table20[[#This Row],[Sum of G-cash Expenses]]/Table20[[#This Row],[Total Expenses]] * 100, 2)</f>
        <v>0</v>
      </c>
      <c r="P252">
        <f>ROUND(Table20[[#This Row],[Total Expenses]] / $B$4 * 100, 2)</f>
        <v>1.17</v>
      </c>
    </row>
    <row r="253" spans="1:16" x14ac:dyDescent="0.25">
      <c r="A253" s="3" t="s">
        <v>56</v>
      </c>
      <c r="D253">
        <v>3600</v>
      </c>
      <c r="E253">
        <v>1</v>
      </c>
      <c r="F253">
        <v>3600</v>
      </c>
      <c r="G253">
        <v>1</v>
      </c>
      <c r="I253" t="s">
        <v>87</v>
      </c>
      <c r="L253">
        <v>2990</v>
      </c>
      <c r="M253">
        <v>7</v>
      </c>
      <c r="N253">
        <v>17</v>
      </c>
      <c r="O253">
        <f>ROUND(Table20[[#This Row],[Sum of G-cash Expenses]]/Table20[[#This Row],[Total Expenses]] * 100, 2)</f>
        <v>0</v>
      </c>
      <c r="P253">
        <f>ROUND(Table20[[#This Row],[Total Expenses]] / $B$4 * 100, 2)</f>
        <v>1.1599999999999999</v>
      </c>
    </row>
    <row r="254" spans="1:16" x14ac:dyDescent="0.25">
      <c r="A254" s="3" t="s">
        <v>319</v>
      </c>
      <c r="D254">
        <v>3340</v>
      </c>
      <c r="E254">
        <v>8</v>
      </c>
      <c r="F254">
        <v>3340</v>
      </c>
      <c r="G254">
        <v>8</v>
      </c>
      <c r="I254" t="s">
        <v>57</v>
      </c>
      <c r="L254">
        <v>2900</v>
      </c>
      <c r="M254">
        <v>1</v>
      </c>
      <c r="N254">
        <v>18</v>
      </c>
      <c r="O254">
        <f>ROUND(Table20[[#This Row],[Sum of G-cash Expenses]]/Table20[[#This Row],[Total Expenses]] * 100, 2)</f>
        <v>0</v>
      </c>
      <c r="P254">
        <f>ROUND(Table20[[#This Row],[Total Expenses]] / $B$4 * 100, 2)</f>
        <v>1.1299999999999999</v>
      </c>
    </row>
    <row r="255" spans="1:16" x14ac:dyDescent="0.25">
      <c r="A255" s="3" t="s">
        <v>77</v>
      </c>
      <c r="D255">
        <v>3000</v>
      </c>
      <c r="E255">
        <v>1</v>
      </c>
      <c r="F255">
        <v>3000</v>
      </c>
      <c r="G255">
        <v>1</v>
      </c>
      <c r="I255" t="s">
        <v>24</v>
      </c>
      <c r="J255">
        <v>2823</v>
      </c>
      <c r="K255">
        <v>12</v>
      </c>
      <c r="L255">
        <v>2823</v>
      </c>
      <c r="M255">
        <v>12</v>
      </c>
      <c r="N255">
        <v>19</v>
      </c>
      <c r="O255">
        <f>ROUND(Table20[[#This Row],[Sum of G-cash Expenses]]/Table20[[#This Row],[Total Expenses]] * 100, 2)</f>
        <v>100</v>
      </c>
      <c r="P255">
        <f>ROUND(Table20[[#This Row],[Total Expenses]] / $B$4 * 100, 2)</f>
        <v>1.1000000000000001</v>
      </c>
    </row>
    <row r="256" spans="1:16" x14ac:dyDescent="0.25">
      <c r="A256" s="3" t="s">
        <v>87</v>
      </c>
      <c r="D256">
        <v>2990</v>
      </c>
      <c r="E256">
        <v>7</v>
      </c>
      <c r="F256">
        <v>2990</v>
      </c>
      <c r="G256">
        <v>7</v>
      </c>
      <c r="I256" t="s">
        <v>83</v>
      </c>
      <c r="L256">
        <v>2600</v>
      </c>
      <c r="M256">
        <v>1</v>
      </c>
      <c r="N256">
        <v>20</v>
      </c>
      <c r="O256">
        <f>ROUND(Table20[[#This Row],[Sum of G-cash Expenses]]/Table20[[#This Row],[Total Expenses]] * 100, 2)</f>
        <v>0</v>
      </c>
      <c r="P256">
        <f>ROUND(Table20[[#This Row],[Total Expenses]] / $B$4 * 100, 2)</f>
        <v>1.01</v>
      </c>
    </row>
    <row r="257" spans="1:17" x14ac:dyDescent="0.25">
      <c r="A257" s="3" t="s">
        <v>57</v>
      </c>
      <c r="D257">
        <v>2900</v>
      </c>
      <c r="E257">
        <v>1</v>
      </c>
      <c r="F257">
        <v>2900</v>
      </c>
      <c r="G257">
        <v>1</v>
      </c>
    </row>
    <row r="258" spans="1:17" x14ac:dyDescent="0.25">
      <c r="A258" s="3" t="s">
        <v>24</v>
      </c>
      <c r="B258">
        <v>2823</v>
      </c>
      <c r="C258">
        <v>12</v>
      </c>
      <c r="F258">
        <v>2823</v>
      </c>
      <c r="G258">
        <v>12</v>
      </c>
    </row>
    <row r="259" spans="1:17" ht="21" x14ac:dyDescent="0.35">
      <c r="A259" s="3" t="s">
        <v>83</v>
      </c>
      <c r="D259">
        <v>2600</v>
      </c>
      <c r="E259">
        <v>1</v>
      </c>
      <c r="F259">
        <v>2600</v>
      </c>
      <c r="G259">
        <v>1</v>
      </c>
      <c r="I259" s="6" t="s">
        <v>443</v>
      </c>
      <c r="N259" s="42" t="s">
        <v>446</v>
      </c>
    </row>
    <row r="260" spans="1:17" x14ac:dyDescent="0.25">
      <c r="A260" s="3" t="s">
        <v>185</v>
      </c>
      <c r="D260">
        <v>2542</v>
      </c>
      <c r="E260">
        <v>1</v>
      </c>
      <c r="F260">
        <v>2542</v>
      </c>
      <c r="G260">
        <v>1</v>
      </c>
      <c r="I260" s="2" t="s">
        <v>294</v>
      </c>
      <c r="J260" t="s">
        <v>455</v>
      </c>
      <c r="K260" t="s">
        <v>453</v>
      </c>
      <c r="L260" t="s">
        <v>454</v>
      </c>
      <c r="N260" t="s">
        <v>439</v>
      </c>
      <c r="O260" t="s">
        <v>445</v>
      </c>
      <c r="P260" t="s">
        <v>342</v>
      </c>
      <c r="Q260" t="s">
        <v>341</v>
      </c>
    </row>
    <row r="261" spans="1:17" x14ac:dyDescent="0.25">
      <c r="A261" s="3" t="s">
        <v>151</v>
      </c>
      <c r="D261">
        <v>2000</v>
      </c>
      <c r="E261">
        <v>1</v>
      </c>
      <c r="F261">
        <v>2000</v>
      </c>
      <c r="G261">
        <v>1</v>
      </c>
      <c r="I261" s="3" t="s">
        <v>28</v>
      </c>
      <c r="J261">
        <v>8</v>
      </c>
      <c r="K261">
        <v>6154</v>
      </c>
      <c r="L261">
        <v>66</v>
      </c>
      <c r="N261" t="s">
        <v>28</v>
      </c>
      <c r="O261">
        <v>8</v>
      </c>
      <c r="P261">
        <v>6154</v>
      </c>
      <c r="Q261">
        <v>66</v>
      </c>
    </row>
    <row r="262" spans="1:17" x14ac:dyDescent="0.25">
      <c r="A262" s="3" t="s">
        <v>191</v>
      </c>
      <c r="D262">
        <v>2000</v>
      </c>
      <c r="E262">
        <v>1</v>
      </c>
      <c r="F262">
        <v>2000</v>
      </c>
      <c r="G262">
        <v>1</v>
      </c>
      <c r="I262" s="3" t="s">
        <v>50</v>
      </c>
      <c r="J262">
        <v>10</v>
      </c>
      <c r="K262">
        <v>4494</v>
      </c>
      <c r="L262">
        <v>7</v>
      </c>
      <c r="N262" t="s">
        <v>50</v>
      </c>
      <c r="O262">
        <v>10</v>
      </c>
      <c r="P262">
        <v>4494</v>
      </c>
      <c r="Q262">
        <v>7</v>
      </c>
    </row>
    <row r="263" spans="1:17" x14ac:dyDescent="0.25">
      <c r="A263" s="3" t="s">
        <v>97</v>
      </c>
      <c r="D263">
        <v>1990</v>
      </c>
      <c r="E263">
        <v>1</v>
      </c>
      <c r="F263">
        <v>1990</v>
      </c>
      <c r="G263">
        <v>1</v>
      </c>
      <c r="I263" s="3" t="s">
        <v>64</v>
      </c>
      <c r="J263">
        <v>12</v>
      </c>
      <c r="K263">
        <v>3981</v>
      </c>
      <c r="L263">
        <v>20</v>
      </c>
      <c r="N263" t="s">
        <v>64</v>
      </c>
      <c r="O263">
        <v>12</v>
      </c>
      <c r="P263">
        <v>3981</v>
      </c>
      <c r="Q263">
        <v>20</v>
      </c>
    </row>
    <row r="264" spans="1:17" x14ac:dyDescent="0.25">
      <c r="A264" s="3" t="s">
        <v>35</v>
      </c>
      <c r="B264">
        <v>1960</v>
      </c>
      <c r="C264">
        <v>7</v>
      </c>
      <c r="F264">
        <v>1960</v>
      </c>
      <c r="G264">
        <v>7</v>
      </c>
      <c r="I264" s="3" t="s">
        <v>24</v>
      </c>
      <c r="J264">
        <v>19</v>
      </c>
      <c r="K264">
        <v>2823</v>
      </c>
      <c r="L264">
        <v>12</v>
      </c>
      <c r="N264" t="s">
        <v>24</v>
      </c>
      <c r="O264">
        <v>19</v>
      </c>
      <c r="P264">
        <v>2823</v>
      </c>
      <c r="Q264">
        <v>12</v>
      </c>
    </row>
    <row r="265" spans="1:17" x14ac:dyDescent="0.25">
      <c r="A265" s="3" t="s">
        <v>40</v>
      </c>
      <c r="D265">
        <v>1953</v>
      </c>
      <c r="E265">
        <v>17</v>
      </c>
      <c r="F265">
        <v>1953</v>
      </c>
      <c r="G265">
        <v>17</v>
      </c>
      <c r="I265" s="3" t="s">
        <v>323</v>
      </c>
      <c r="J265">
        <v>5</v>
      </c>
      <c r="K265">
        <v>150</v>
      </c>
      <c r="L265">
        <v>1</v>
      </c>
      <c r="N265" t="s">
        <v>323</v>
      </c>
      <c r="O265">
        <v>5</v>
      </c>
      <c r="P265">
        <v>150</v>
      </c>
      <c r="Q265">
        <v>1</v>
      </c>
    </row>
    <row r="266" spans="1:17" x14ac:dyDescent="0.25">
      <c r="A266" s="3" t="s">
        <v>262</v>
      </c>
      <c r="D266">
        <v>1850</v>
      </c>
      <c r="E266">
        <v>10</v>
      </c>
      <c r="F266">
        <v>1850</v>
      </c>
      <c r="G266">
        <v>10</v>
      </c>
      <c r="I266" s="3" t="s">
        <v>295</v>
      </c>
      <c r="J266">
        <v>54</v>
      </c>
      <c r="K266">
        <v>17602</v>
      </c>
      <c r="L266">
        <v>106</v>
      </c>
    </row>
    <row r="267" spans="1:17" x14ac:dyDescent="0.25">
      <c r="A267" s="3" t="s">
        <v>81</v>
      </c>
      <c r="D267">
        <v>1723</v>
      </c>
      <c r="E267">
        <v>2</v>
      </c>
      <c r="F267">
        <v>1723</v>
      </c>
      <c r="G267">
        <v>2</v>
      </c>
    </row>
    <row r="268" spans="1:17" x14ac:dyDescent="0.25">
      <c r="A268" s="3" t="s">
        <v>324</v>
      </c>
      <c r="B268">
        <v>1705</v>
      </c>
      <c r="C268">
        <v>7</v>
      </c>
      <c r="F268">
        <v>1705</v>
      </c>
      <c r="G268">
        <v>7</v>
      </c>
    </row>
    <row r="269" spans="1:17" x14ac:dyDescent="0.25">
      <c r="A269" s="3" t="s">
        <v>85</v>
      </c>
      <c r="D269">
        <v>1690</v>
      </c>
      <c r="E269">
        <v>5</v>
      </c>
      <c r="F269">
        <v>1690</v>
      </c>
      <c r="G269">
        <v>5</v>
      </c>
    </row>
    <row r="270" spans="1:17" x14ac:dyDescent="0.25">
      <c r="A270" s="3" t="s">
        <v>55</v>
      </c>
      <c r="D270">
        <v>1500</v>
      </c>
      <c r="E270">
        <v>1</v>
      </c>
      <c r="F270">
        <v>1500</v>
      </c>
      <c r="G270">
        <v>1</v>
      </c>
    </row>
    <row r="271" spans="1:17" x14ac:dyDescent="0.25">
      <c r="A271" s="3" t="s">
        <v>78</v>
      </c>
      <c r="D271">
        <v>1400</v>
      </c>
      <c r="E271">
        <v>6</v>
      </c>
      <c r="F271">
        <v>1400</v>
      </c>
      <c r="G271">
        <v>6</v>
      </c>
    </row>
    <row r="272" spans="1:17" x14ac:dyDescent="0.25">
      <c r="A272" s="3" t="s">
        <v>269</v>
      </c>
      <c r="D272">
        <v>1397</v>
      </c>
      <c r="E272">
        <v>2</v>
      </c>
      <c r="F272">
        <v>1397</v>
      </c>
      <c r="G272">
        <v>2</v>
      </c>
    </row>
    <row r="273" spans="1:7" x14ac:dyDescent="0.25">
      <c r="A273" s="3" t="s">
        <v>34</v>
      </c>
      <c r="B273">
        <v>1290</v>
      </c>
      <c r="C273">
        <v>10</v>
      </c>
      <c r="F273">
        <v>1290</v>
      </c>
      <c r="G273">
        <v>10</v>
      </c>
    </row>
    <row r="274" spans="1:7" x14ac:dyDescent="0.25">
      <c r="A274" s="3" t="s">
        <v>279</v>
      </c>
      <c r="D274">
        <v>1289</v>
      </c>
      <c r="E274">
        <v>1</v>
      </c>
      <c r="F274">
        <v>1289</v>
      </c>
      <c r="G274">
        <v>1</v>
      </c>
    </row>
    <row r="275" spans="1:7" x14ac:dyDescent="0.25">
      <c r="A275" s="3" t="s">
        <v>204</v>
      </c>
      <c r="D275">
        <v>1255</v>
      </c>
      <c r="E275">
        <v>4</v>
      </c>
      <c r="F275">
        <v>1255</v>
      </c>
      <c r="G275">
        <v>4</v>
      </c>
    </row>
    <row r="276" spans="1:7" x14ac:dyDescent="0.25">
      <c r="A276" s="3" t="s">
        <v>188</v>
      </c>
      <c r="D276">
        <v>1195</v>
      </c>
      <c r="E276">
        <v>1</v>
      </c>
      <c r="F276">
        <v>1195</v>
      </c>
      <c r="G276">
        <v>1</v>
      </c>
    </row>
    <row r="277" spans="1:7" x14ac:dyDescent="0.25">
      <c r="A277" s="3" t="s">
        <v>273</v>
      </c>
      <c r="D277">
        <v>1150</v>
      </c>
      <c r="E277">
        <v>1</v>
      </c>
      <c r="F277">
        <v>1150</v>
      </c>
      <c r="G277">
        <v>1</v>
      </c>
    </row>
    <row r="278" spans="1:7" x14ac:dyDescent="0.25">
      <c r="A278" s="3" t="s">
        <v>265</v>
      </c>
      <c r="D278">
        <v>1050</v>
      </c>
      <c r="E278">
        <v>1</v>
      </c>
      <c r="F278">
        <v>1050</v>
      </c>
      <c r="G278">
        <v>1</v>
      </c>
    </row>
    <row r="279" spans="1:7" x14ac:dyDescent="0.25">
      <c r="A279" s="3" t="s">
        <v>167</v>
      </c>
      <c r="D279">
        <v>1026</v>
      </c>
      <c r="E279">
        <v>4</v>
      </c>
      <c r="F279">
        <v>1026</v>
      </c>
      <c r="G279">
        <v>4</v>
      </c>
    </row>
    <row r="280" spans="1:7" x14ac:dyDescent="0.25">
      <c r="A280" s="3" t="s">
        <v>150</v>
      </c>
      <c r="D280">
        <v>1000</v>
      </c>
      <c r="E280">
        <v>1</v>
      </c>
      <c r="F280">
        <v>1000</v>
      </c>
      <c r="G280">
        <v>1</v>
      </c>
    </row>
    <row r="281" spans="1:7" x14ac:dyDescent="0.25">
      <c r="A281" s="3" t="s">
        <v>152</v>
      </c>
      <c r="D281">
        <v>1000</v>
      </c>
      <c r="E281">
        <v>1</v>
      </c>
      <c r="F281">
        <v>1000</v>
      </c>
      <c r="G281">
        <v>1</v>
      </c>
    </row>
    <row r="282" spans="1:7" x14ac:dyDescent="0.25">
      <c r="A282" s="3" t="s">
        <v>216</v>
      </c>
      <c r="B282">
        <v>1000</v>
      </c>
      <c r="C282">
        <v>1</v>
      </c>
      <c r="F282">
        <v>1000</v>
      </c>
      <c r="G282">
        <v>1</v>
      </c>
    </row>
    <row r="283" spans="1:7" x14ac:dyDescent="0.25">
      <c r="A283" s="3" t="s">
        <v>22</v>
      </c>
      <c r="D283">
        <v>1000</v>
      </c>
      <c r="E283">
        <v>1</v>
      </c>
      <c r="F283">
        <v>1000</v>
      </c>
      <c r="G283">
        <v>1</v>
      </c>
    </row>
    <row r="284" spans="1:7" x14ac:dyDescent="0.25">
      <c r="A284" s="3" t="s">
        <v>96</v>
      </c>
      <c r="D284">
        <v>930</v>
      </c>
      <c r="E284">
        <v>1</v>
      </c>
      <c r="F284">
        <v>930</v>
      </c>
      <c r="G284">
        <v>1</v>
      </c>
    </row>
    <row r="285" spans="1:7" x14ac:dyDescent="0.25">
      <c r="A285" s="3" t="s">
        <v>277</v>
      </c>
      <c r="D285">
        <v>917</v>
      </c>
      <c r="E285">
        <v>2</v>
      </c>
      <c r="F285">
        <v>917</v>
      </c>
      <c r="G285">
        <v>2</v>
      </c>
    </row>
    <row r="286" spans="1:7" x14ac:dyDescent="0.25">
      <c r="A286" s="3" t="s">
        <v>130</v>
      </c>
      <c r="D286">
        <v>899</v>
      </c>
      <c r="E286">
        <v>1</v>
      </c>
      <c r="F286">
        <v>899</v>
      </c>
      <c r="G286">
        <v>1</v>
      </c>
    </row>
    <row r="287" spans="1:7" x14ac:dyDescent="0.25">
      <c r="A287" s="3" t="s">
        <v>106</v>
      </c>
      <c r="D287">
        <v>891</v>
      </c>
      <c r="E287">
        <v>10</v>
      </c>
      <c r="F287">
        <v>891</v>
      </c>
      <c r="G287">
        <v>10</v>
      </c>
    </row>
    <row r="288" spans="1:7" x14ac:dyDescent="0.25">
      <c r="A288" s="3" t="s">
        <v>322</v>
      </c>
      <c r="D288">
        <v>720</v>
      </c>
      <c r="E288">
        <v>1</v>
      </c>
      <c r="F288">
        <v>720</v>
      </c>
      <c r="G288">
        <v>1</v>
      </c>
    </row>
    <row r="289" spans="1:7" x14ac:dyDescent="0.25">
      <c r="A289" s="3" t="s">
        <v>280</v>
      </c>
      <c r="D289">
        <v>720</v>
      </c>
      <c r="E289">
        <v>1</v>
      </c>
      <c r="F289">
        <v>720</v>
      </c>
      <c r="G289">
        <v>1</v>
      </c>
    </row>
    <row r="290" spans="1:7" x14ac:dyDescent="0.25">
      <c r="A290" s="3" t="s">
        <v>214</v>
      </c>
      <c r="D290">
        <v>700</v>
      </c>
      <c r="E290">
        <v>2</v>
      </c>
      <c r="F290">
        <v>700</v>
      </c>
      <c r="G290">
        <v>2</v>
      </c>
    </row>
    <row r="291" spans="1:7" x14ac:dyDescent="0.25">
      <c r="A291" s="3" t="s">
        <v>98</v>
      </c>
      <c r="D291">
        <v>695</v>
      </c>
      <c r="E291">
        <v>1</v>
      </c>
      <c r="F291">
        <v>695</v>
      </c>
      <c r="G291">
        <v>1</v>
      </c>
    </row>
    <row r="292" spans="1:7" x14ac:dyDescent="0.25">
      <c r="A292" s="3" t="s">
        <v>195</v>
      </c>
      <c r="B292">
        <v>650</v>
      </c>
      <c r="C292">
        <v>1</v>
      </c>
      <c r="F292">
        <v>650</v>
      </c>
      <c r="G292">
        <v>1</v>
      </c>
    </row>
    <row r="293" spans="1:7" x14ac:dyDescent="0.25">
      <c r="A293" s="3" t="s">
        <v>207</v>
      </c>
      <c r="D293">
        <v>650</v>
      </c>
      <c r="E293">
        <v>5</v>
      </c>
      <c r="F293">
        <v>650</v>
      </c>
      <c r="G293">
        <v>5</v>
      </c>
    </row>
    <row r="294" spans="1:7" x14ac:dyDescent="0.25">
      <c r="A294" s="3" t="s">
        <v>170</v>
      </c>
      <c r="D294">
        <v>640</v>
      </c>
      <c r="E294">
        <v>2</v>
      </c>
      <c r="F294">
        <v>640</v>
      </c>
      <c r="G294">
        <v>2</v>
      </c>
    </row>
    <row r="295" spans="1:7" x14ac:dyDescent="0.25">
      <c r="A295" s="3" t="s">
        <v>72</v>
      </c>
      <c r="D295">
        <v>600</v>
      </c>
      <c r="E295">
        <v>1</v>
      </c>
      <c r="F295">
        <v>600</v>
      </c>
      <c r="G295">
        <v>1</v>
      </c>
    </row>
    <row r="296" spans="1:7" x14ac:dyDescent="0.25">
      <c r="A296" s="3" t="s">
        <v>58</v>
      </c>
      <c r="D296">
        <v>599</v>
      </c>
      <c r="E296">
        <v>1</v>
      </c>
      <c r="F296">
        <v>599</v>
      </c>
      <c r="G296">
        <v>1</v>
      </c>
    </row>
    <row r="297" spans="1:7" x14ac:dyDescent="0.25">
      <c r="A297" s="3" t="s">
        <v>190</v>
      </c>
      <c r="D297">
        <v>550</v>
      </c>
      <c r="E297">
        <v>1</v>
      </c>
      <c r="F297">
        <v>550</v>
      </c>
      <c r="G297">
        <v>1</v>
      </c>
    </row>
    <row r="298" spans="1:7" x14ac:dyDescent="0.25">
      <c r="A298" s="3" t="s">
        <v>198</v>
      </c>
      <c r="B298">
        <v>125</v>
      </c>
      <c r="C298">
        <v>1</v>
      </c>
      <c r="D298">
        <v>400</v>
      </c>
      <c r="E298">
        <v>4</v>
      </c>
      <c r="F298">
        <v>525</v>
      </c>
      <c r="G298">
        <v>5</v>
      </c>
    </row>
    <row r="299" spans="1:7" x14ac:dyDescent="0.25">
      <c r="A299" s="3" t="s">
        <v>218</v>
      </c>
      <c r="D299">
        <v>505</v>
      </c>
      <c r="E299">
        <v>15</v>
      </c>
      <c r="F299">
        <v>505</v>
      </c>
      <c r="G299">
        <v>15</v>
      </c>
    </row>
    <row r="300" spans="1:7" x14ac:dyDescent="0.25">
      <c r="A300" s="3" t="s">
        <v>321</v>
      </c>
      <c r="D300">
        <v>500</v>
      </c>
      <c r="E300">
        <v>3</v>
      </c>
      <c r="F300">
        <v>500</v>
      </c>
      <c r="G300">
        <v>3</v>
      </c>
    </row>
    <row r="301" spans="1:7" x14ac:dyDescent="0.25">
      <c r="A301" s="3" t="s">
        <v>149</v>
      </c>
      <c r="B301">
        <v>500</v>
      </c>
      <c r="C301">
        <v>1</v>
      </c>
      <c r="F301">
        <v>500</v>
      </c>
      <c r="G301">
        <v>1</v>
      </c>
    </row>
    <row r="302" spans="1:7" x14ac:dyDescent="0.25">
      <c r="A302" s="3" t="s">
        <v>230</v>
      </c>
      <c r="D302">
        <v>500</v>
      </c>
      <c r="E302">
        <v>1</v>
      </c>
      <c r="F302">
        <v>500</v>
      </c>
      <c r="G302">
        <v>1</v>
      </c>
    </row>
    <row r="303" spans="1:7" x14ac:dyDescent="0.25">
      <c r="A303" s="3" t="s">
        <v>244</v>
      </c>
      <c r="D303">
        <v>500</v>
      </c>
      <c r="E303">
        <v>1</v>
      </c>
      <c r="F303">
        <v>500</v>
      </c>
      <c r="G303">
        <v>1</v>
      </c>
    </row>
    <row r="304" spans="1:7" x14ac:dyDescent="0.25">
      <c r="A304" s="3" t="s">
        <v>84</v>
      </c>
      <c r="D304">
        <v>500</v>
      </c>
      <c r="E304">
        <v>1</v>
      </c>
      <c r="F304">
        <v>500</v>
      </c>
      <c r="G304">
        <v>1</v>
      </c>
    </row>
    <row r="305" spans="1:7" x14ac:dyDescent="0.25">
      <c r="A305" s="3" t="s">
        <v>47</v>
      </c>
      <c r="D305">
        <v>463</v>
      </c>
      <c r="E305">
        <v>11</v>
      </c>
      <c r="F305">
        <v>463</v>
      </c>
      <c r="G305">
        <v>11</v>
      </c>
    </row>
    <row r="306" spans="1:7" x14ac:dyDescent="0.25">
      <c r="A306" s="3" t="s">
        <v>82</v>
      </c>
      <c r="D306">
        <v>407</v>
      </c>
      <c r="E306">
        <v>2</v>
      </c>
      <c r="F306">
        <v>407</v>
      </c>
      <c r="G306">
        <v>2</v>
      </c>
    </row>
    <row r="307" spans="1:7" x14ac:dyDescent="0.25">
      <c r="A307" s="3" t="s">
        <v>154</v>
      </c>
      <c r="B307">
        <v>399</v>
      </c>
      <c r="C307">
        <v>1</v>
      </c>
      <c r="F307">
        <v>399</v>
      </c>
      <c r="G307">
        <v>1</v>
      </c>
    </row>
    <row r="308" spans="1:7" x14ac:dyDescent="0.25">
      <c r="A308" s="3" t="s">
        <v>67</v>
      </c>
      <c r="D308">
        <v>382</v>
      </c>
      <c r="E308">
        <v>15</v>
      </c>
      <c r="F308">
        <v>382</v>
      </c>
      <c r="G308">
        <v>15</v>
      </c>
    </row>
    <row r="309" spans="1:7" x14ac:dyDescent="0.25">
      <c r="A309" s="3" t="s">
        <v>260</v>
      </c>
      <c r="D309">
        <v>365</v>
      </c>
      <c r="E309">
        <v>1</v>
      </c>
      <c r="F309">
        <v>365</v>
      </c>
      <c r="G309">
        <v>1</v>
      </c>
    </row>
    <row r="310" spans="1:7" x14ac:dyDescent="0.25">
      <c r="A310" s="3" t="s">
        <v>161</v>
      </c>
      <c r="D310">
        <v>328</v>
      </c>
      <c r="E310">
        <v>1</v>
      </c>
      <c r="F310">
        <v>328</v>
      </c>
      <c r="G310">
        <v>1</v>
      </c>
    </row>
    <row r="311" spans="1:7" x14ac:dyDescent="0.25">
      <c r="A311" s="3" t="s">
        <v>251</v>
      </c>
      <c r="D311">
        <v>300</v>
      </c>
      <c r="E311">
        <v>1</v>
      </c>
      <c r="F311">
        <v>300</v>
      </c>
      <c r="G311">
        <v>1</v>
      </c>
    </row>
    <row r="312" spans="1:7" x14ac:dyDescent="0.25">
      <c r="A312" s="3" t="s">
        <v>213</v>
      </c>
      <c r="D312">
        <v>300</v>
      </c>
      <c r="E312">
        <v>1</v>
      </c>
      <c r="F312">
        <v>300</v>
      </c>
      <c r="G312">
        <v>1</v>
      </c>
    </row>
    <row r="313" spans="1:7" x14ac:dyDescent="0.25">
      <c r="A313" s="3" t="s">
        <v>116</v>
      </c>
      <c r="D313">
        <v>300</v>
      </c>
      <c r="E313">
        <v>1</v>
      </c>
      <c r="F313">
        <v>300</v>
      </c>
      <c r="G313">
        <v>1</v>
      </c>
    </row>
    <row r="314" spans="1:7" x14ac:dyDescent="0.25">
      <c r="A314" s="3" t="s">
        <v>226</v>
      </c>
      <c r="D314">
        <v>300</v>
      </c>
      <c r="E314">
        <v>2</v>
      </c>
      <c r="F314">
        <v>300</v>
      </c>
      <c r="G314">
        <v>2</v>
      </c>
    </row>
    <row r="315" spans="1:7" x14ac:dyDescent="0.25">
      <c r="A315" s="3" t="s">
        <v>31</v>
      </c>
      <c r="D315">
        <v>300</v>
      </c>
      <c r="E315">
        <v>1</v>
      </c>
      <c r="F315">
        <v>300</v>
      </c>
      <c r="G315">
        <v>1</v>
      </c>
    </row>
    <row r="316" spans="1:7" x14ac:dyDescent="0.25">
      <c r="A316" s="3" t="s">
        <v>201</v>
      </c>
      <c r="D316">
        <v>275</v>
      </c>
      <c r="E316">
        <v>4</v>
      </c>
      <c r="F316">
        <v>275</v>
      </c>
      <c r="G316">
        <v>4</v>
      </c>
    </row>
    <row r="317" spans="1:7" x14ac:dyDescent="0.25">
      <c r="A317" s="3" t="s">
        <v>275</v>
      </c>
      <c r="D317">
        <v>269</v>
      </c>
      <c r="E317">
        <v>1</v>
      </c>
      <c r="F317">
        <v>269</v>
      </c>
      <c r="G317">
        <v>1</v>
      </c>
    </row>
    <row r="318" spans="1:7" x14ac:dyDescent="0.25">
      <c r="A318" s="3" t="s">
        <v>276</v>
      </c>
      <c r="D318">
        <v>263</v>
      </c>
      <c r="E318">
        <v>1</v>
      </c>
      <c r="F318">
        <v>263</v>
      </c>
      <c r="G318">
        <v>1</v>
      </c>
    </row>
    <row r="319" spans="1:7" x14ac:dyDescent="0.25">
      <c r="A319" s="3" t="s">
        <v>176</v>
      </c>
      <c r="B319">
        <v>258</v>
      </c>
      <c r="C319">
        <v>2</v>
      </c>
      <c r="F319">
        <v>258</v>
      </c>
      <c r="G319">
        <v>2</v>
      </c>
    </row>
    <row r="320" spans="1:7" x14ac:dyDescent="0.25">
      <c r="A320" s="3" t="s">
        <v>79</v>
      </c>
      <c r="D320">
        <v>250</v>
      </c>
      <c r="E320">
        <v>2</v>
      </c>
      <c r="F320">
        <v>250</v>
      </c>
      <c r="G320">
        <v>2</v>
      </c>
    </row>
    <row r="321" spans="1:7" x14ac:dyDescent="0.25">
      <c r="A321" s="3" t="s">
        <v>320</v>
      </c>
      <c r="D321">
        <v>245</v>
      </c>
      <c r="E321">
        <v>2</v>
      </c>
      <c r="F321">
        <v>245</v>
      </c>
      <c r="G321">
        <v>2</v>
      </c>
    </row>
    <row r="322" spans="1:7" x14ac:dyDescent="0.25">
      <c r="A322" s="3" t="s">
        <v>282</v>
      </c>
      <c r="D322">
        <v>230</v>
      </c>
      <c r="E322">
        <v>1</v>
      </c>
      <c r="F322">
        <v>230</v>
      </c>
      <c r="G322">
        <v>1</v>
      </c>
    </row>
    <row r="323" spans="1:7" x14ac:dyDescent="0.25">
      <c r="A323" s="3" t="s">
        <v>258</v>
      </c>
      <c r="D323">
        <v>225</v>
      </c>
      <c r="E323">
        <v>1</v>
      </c>
      <c r="F323">
        <v>225</v>
      </c>
      <c r="G323">
        <v>1</v>
      </c>
    </row>
    <row r="324" spans="1:7" x14ac:dyDescent="0.25">
      <c r="A324" s="3" t="s">
        <v>29</v>
      </c>
      <c r="D324">
        <v>220</v>
      </c>
      <c r="E324">
        <v>9</v>
      </c>
      <c r="F324">
        <v>220</v>
      </c>
      <c r="G324">
        <v>9</v>
      </c>
    </row>
    <row r="325" spans="1:7" x14ac:dyDescent="0.25">
      <c r="A325" s="3" t="s">
        <v>107</v>
      </c>
      <c r="D325">
        <v>213</v>
      </c>
      <c r="E325">
        <v>5</v>
      </c>
      <c r="F325">
        <v>213</v>
      </c>
      <c r="G325">
        <v>5</v>
      </c>
    </row>
    <row r="326" spans="1:7" x14ac:dyDescent="0.25">
      <c r="A326" s="3" t="s">
        <v>267</v>
      </c>
      <c r="D326">
        <v>210</v>
      </c>
      <c r="E326">
        <v>1</v>
      </c>
      <c r="F326">
        <v>210</v>
      </c>
      <c r="G326">
        <v>1</v>
      </c>
    </row>
    <row r="327" spans="1:7" x14ac:dyDescent="0.25">
      <c r="A327" s="3" t="s">
        <v>117</v>
      </c>
      <c r="D327">
        <v>200</v>
      </c>
      <c r="E327">
        <v>1</v>
      </c>
      <c r="F327">
        <v>200</v>
      </c>
      <c r="G327">
        <v>1</v>
      </c>
    </row>
    <row r="328" spans="1:7" x14ac:dyDescent="0.25">
      <c r="A328" s="3" t="s">
        <v>140</v>
      </c>
      <c r="D328">
        <v>200</v>
      </c>
      <c r="E328">
        <v>1</v>
      </c>
      <c r="F328">
        <v>200</v>
      </c>
      <c r="G328">
        <v>1</v>
      </c>
    </row>
    <row r="329" spans="1:7" x14ac:dyDescent="0.25">
      <c r="A329" s="3" t="s">
        <v>259</v>
      </c>
      <c r="D329">
        <v>200</v>
      </c>
      <c r="E329">
        <v>1</v>
      </c>
      <c r="F329">
        <v>200</v>
      </c>
      <c r="G329">
        <v>1</v>
      </c>
    </row>
    <row r="330" spans="1:7" x14ac:dyDescent="0.25">
      <c r="A330" s="3" t="s">
        <v>245</v>
      </c>
      <c r="D330">
        <v>200</v>
      </c>
      <c r="E330">
        <v>1</v>
      </c>
      <c r="F330">
        <v>200</v>
      </c>
      <c r="G330">
        <v>1</v>
      </c>
    </row>
    <row r="331" spans="1:7" x14ac:dyDescent="0.25">
      <c r="A331" s="3" t="s">
        <v>271</v>
      </c>
      <c r="D331">
        <v>200</v>
      </c>
      <c r="E331">
        <v>1</v>
      </c>
      <c r="F331">
        <v>200</v>
      </c>
      <c r="G331">
        <v>1</v>
      </c>
    </row>
    <row r="332" spans="1:7" x14ac:dyDescent="0.25">
      <c r="A332" s="3" t="s">
        <v>268</v>
      </c>
      <c r="D332">
        <v>190</v>
      </c>
      <c r="E332">
        <v>1</v>
      </c>
      <c r="F332">
        <v>190</v>
      </c>
      <c r="G332">
        <v>1</v>
      </c>
    </row>
    <row r="333" spans="1:7" x14ac:dyDescent="0.25">
      <c r="A333" s="3" t="s">
        <v>270</v>
      </c>
      <c r="D333">
        <v>180</v>
      </c>
      <c r="E333">
        <v>1</v>
      </c>
      <c r="F333">
        <v>180</v>
      </c>
      <c r="G333">
        <v>1</v>
      </c>
    </row>
    <row r="334" spans="1:7" x14ac:dyDescent="0.25">
      <c r="A334" s="3" t="s">
        <v>124</v>
      </c>
      <c r="D334">
        <v>180</v>
      </c>
      <c r="E334">
        <v>1</v>
      </c>
      <c r="F334">
        <v>180</v>
      </c>
      <c r="G334">
        <v>1</v>
      </c>
    </row>
    <row r="335" spans="1:7" x14ac:dyDescent="0.25">
      <c r="A335" s="3" t="s">
        <v>25</v>
      </c>
      <c r="D335">
        <v>180</v>
      </c>
      <c r="E335">
        <v>6</v>
      </c>
      <c r="F335">
        <v>180</v>
      </c>
      <c r="G335">
        <v>6</v>
      </c>
    </row>
    <row r="336" spans="1:7" x14ac:dyDescent="0.25">
      <c r="A336" s="3" t="s">
        <v>261</v>
      </c>
      <c r="D336">
        <v>180</v>
      </c>
      <c r="E336">
        <v>1</v>
      </c>
      <c r="F336">
        <v>180</v>
      </c>
      <c r="G336">
        <v>1</v>
      </c>
    </row>
    <row r="337" spans="1:7" x14ac:dyDescent="0.25">
      <c r="A337" s="3" t="s">
        <v>263</v>
      </c>
      <c r="D337">
        <v>175</v>
      </c>
      <c r="E337">
        <v>1</v>
      </c>
      <c r="F337">
        <v>175</v>
      </c>
      <c r="G337">
        <v>1</v>
      </c>
    </row>
    <row r="338" spans="1:7" x14ac:dyDescent="0.25">
      <c r="A338" s="3" t="s">
        <v>196</v>
      </c>
      <c r="D338">
        <v>150</v>
      </c>
      <c r="E338">
        <v>1</v>
      </c>
      <c r="F338">
        <v>150</v>
      </c>
      <c r="G338">
        <v>1</v>
      </c>
    </row>
    <row r="339" spans="1:7" x14ac:dyDescent="0.25">
      <c r="A339" s="3" t="s">
        <v>288</v>
      </c>
      <c r="D339">
        <v>135</v>
      </c>
      <c r="E339">
        <v>1</v>
      </c>
      <c r="F339">
        <v>135</v>
      </c>
      <c r="G339">
        <v>1</v>
      </c>
    </row>
    <row r="340" spans="1:7" x14ac:dyDescent="0.25">
      <c r="A340" s="3" t="s">
        <v>18</v>
      </c>
      <c r="D340">
        <v>112</v>
      </c>
      <c r="E340">
        <v>2</v>
      </c>
      <c r="F340">
        <v>112</v>
      </c>
      <c r="G340">
        <v>2</v>
      </c>
    </row>
    <row r="341" spans="1:7" x14ac:dyDescent="0.25">
      <c r="A341" s="3" t="s">
        <v>228</v>
      </c>
      <c r="D341">
        <v>100</v>
      </c>
      <c r="E341">
        <v>1</v>
      </c>
      <c r="F341">
        <v>100</v>
      </c>
      <c r="G341">
        <v>1</v>
      </c>
    </row>
    <row r="342" spans="1:7" x14ac:dyDescent="0.25">
      <c r="A342" s="3" t="s">
        <v>137</v>
      </c>
      <c r="D342">
        <v>100</v>
      </c>
      <c r="E342">
        <v>1</v>
      </c>
      <c r="F342">
        <v>100</v>
      </c>
      <c r="G342">
        <v>1</v>
      </c>
    </row>
    <row r="343" spans="1:7" x14ac:dyDescent="0.25">
      <c r="A343" s="3" t="s">
        <v>266</v>
      </c>
      <c r="D343">
        <v>100</v>
      </c>
      <c r="E343">
        <v>1</v>
      </c>
      <c r="F343">
        <v>100</v>
      </c>
      <c r="G343">
        <v>1</v>
      </c>
    </row>
    <row r="344" spans="1:7" x14ac:dyDescent="0.25">
      <c r="A344" s="3" t="s">
        <v>66</v>
      </c>
      <c r="D344">
        <v>100</v>
      </c>
      <c r="E344">
        <v>9</v>
      </c>
      <c r="F344">
        <v>100</v>
      </c>
      <c r="G344">
        <v>9</v>
      </c>
    </row>
    <row r="345" spans="1:7" x14ac:dyDescent="0.25">
      <c r="A345" s="3" t="s">
        <v>115</v>
      </c>
      <c r="D345">
        <v>98</v>
      </c>
      <c r="E345">
        <v>1</v>
      </c>
      <c r="F345">
        <v>98</v>
      </c>
      <c r="G345">
        <v>1</v>
      </c>
    </row>
    <row r="346" spans="1:7" x14ac:dyDescent="0.25">
      <c r="A346" s="3" t="s">
        <v>135</v>
      </c>
      <c r="D346">
        <v>95</v>
      </c>
      <c r="E346">
        <v>3</v>
      </c>
      <c r="F346">
        <v>95</v>
      </c>
      <c r="G346">
        <v>3</v>
      </c>
    </row>
    <row r="347" spans="1:7" x14ac:dyDescent="0.25">
      <c r="A347" s="3" t="s">
        <v>179</v>
      </c>
      <c r="D347">
        <v>90</v>
      </c>
      <c r="E347">
        <v>4</v>
      </c>
      <c r="F347">
        <v>90</v>
      </c>
      <c r="G347">
        <v>4</v>
      </c>
    </row>
    <row r="348" spans="1:7" x14ac:dyDescent="0.25">
      <c r="A348" s="3" t="s">
        <v>278</v>
      </c>
      <c r="D348">
        <v>87</v>
      </c>
      <c r="E348">
        <v>1</v>
      </c>
      <c r="F348">
        <v>87</v>
      </c>
      <c r="G348">
        <v>1</v>
      </c>
    </row>
    <row r="349" spans="1:7" x14ac:dyDescent="0.25">
      <c r="A349" s="3" t="s">
        <v>229</v>
      </c>
      <c r="D349">
        <v>87</v>
      </c>
      <c r="E349">
        <v>2</v>
      </c>
      <c r="F349">
        <v>87</v>
      </c>
      <c r="G349">
        <v>2</v>
      </c>
    </row>
    <row r="350" spans="1:7" x14ac:dyDescent="0.25">
      <c r="A350" s="3" t="s">
        <v>99</v>
      </c>
      <c r="D350">
        <v>77</v>
      </c>
      <c r="E350">
        <v>1</v>
      </c>
      <c r="F350">
        <v>77</v>
      </c>
      <c r="G350">
        <v>1</v>
      </c>
    </row>
    <row r="351" spans="1:7" x14ac:dyDescent="0.25">
      <c r="A351" s="3" t="s">
        <v>242</v>
      </c>
      <c r="D351">
        <v>75</v>
      </c>
      <c r="E351">
        <v>5</v>
      </c>
      <c r="F351">
        <v>75</v>
      </c>
      <c r="G351">
        <v>5</v>
      </c>
    </row>
    <row r="352" spans="1:7" x14ac:dyDescent="0.25">
      <c r="A352" s="3" t="s">
        <v>169</v>
      </c>
      <c r="D352">
        <v>70</v>
      </c>
      <c r="E352">
        <v>1</v>
      </c>
      <c r="F352">
        <v>70</v>
      </c>
      <c r="G352">
        <v>1</v>
      </c>
    </row>
    <row r="353" spans="1:7" x14ac:dyDescent="0.25">
      <c r="A353" s="3" t="s">
        <v>274</v>
      </c>
      <c r="D353">
        <v>69</v>
      </c>
      <c r="E353">
        <v>1</v>
      </c>
      <c r="F353">
        <v>69</v>
      </c>
      <c r="G353">
        <v>1</v>
      </c>
    </row>
    <row r="354" spans="1:7" x14ac:dyDescent="0.25">
      <c r="A354" s="3" t="s">
        <v>139</v>
      </c>
      <c r="D354">
        <v>60</v>
      </c>
      <c r="E354">
        <v>2</v>
      </c>
      <c r="F354">
        <v>60</v>
      </c>
      <c r="G354">
        <v>2</v>
      </c>
    </row>
    <row r="355" spans="1:7" x14ac:dyDescent="0.25">
      <c r="A355" s="3" t="s">
        <v>32</v>
      </c>
      <c r="D355">
        <v>60</v>
      </c>
      <c r="E355">
        <v>3</v>
      </c>
      <c r="F355">
        <v>60</v>
      </c>
      <c r="G355">
        <v>3</v>
      </c>
    </row>
    <row r="356" spans="1:7" x14ac:dyDescent="0.25">
      <c r="A356" s="3" t="s">
        <v>60</v>
      </c>
      <c r="D356">
        <v>60</v>
      </c>
      <c r="E356">
        <v>1</v>
      </c>
      <c r="F356">
        <v>60</v>
      </c>
      <c r="G356">
        <v>1</v>
      </c>
    </row>
    <row r="357" spans="1:7" x14ac:dyDescent="0.25">
      <c r="A357" s="3" t="s">
        <v>237</v>
      </c>
      <c r="D357">
        <v>59</v>
      </c>
      <c r="E357">
        <v>3</v>
      </c>
      <c r="F357">
        <v>59</v>
      </c>
      <c r="G357">
        <v>3</v>
      </c>
    </row>
    <row r="358" spans="1:7" x14ac:dyDescent="0.25">
      <c r="A358" s="3" t="s">
        <v>289</v>
      </c>
      <c r="D358">
        <v>58</v>
      </c>
      <c r="E358">
        <v>1</v>
      </c>
      <c r="F358">
        <v>58</v>
      </c>
      <c r="G358">
        <v>1</v>
      </c>
    </row>
    <row r="359" spans="1:7" x14ac:dyDescent="0.25">
      <c r="A359" s="3" t="s">
        <v>49</v>
      </c>
      <c r="D359">
        <v>50</v>
      </c>
      <c r="E359">
        <v>1</v>
      </c>
      <c r="F359">
        <v>50</v>
      </c>
      <c r="G359">
        <v>1</v>
      </c>
    </row>
    <row r="360" spans="1:7" x14ac:dyDescent="0.25">
      <c r="A360" s="3" t="s">
        <v>146</v>
      </c>
      <c r="D360">
        <v>50</v>
      </c>
      <c r="E360">
        <v>1</v>
      </c>
      <c r="F360">
        <v>50</v>
      </c>
      <c r="G360">
        <v>1</v>
      </c>
    </row>
    <row r="361" spans="1:7" x14ac:dyDescent="0.25">
      <c r="A361" s="3" t="s">
        <v>105</v>
      </c>
      <c r="D361">
        <v>50</v>
      </c>
      <c r="E361">
        <v>1</v>
      </c>
      <c r="F361">
        <v>50</v>
      </c>
      <c r="G361">
        <v>1</v>
      </c>
    </row>
    <row r="362" spans="1:7" x14ac:dyDescent="0.25">
      <c r="A362" s="3" t="s">
        <v>236</v>
      </c>
      <c r="D362">
        <v>50</v>
      </c>
      <c r="E362">
        <v>1</v>
      </c>
      <c r="F362">
        <v>50</v>
      </c>
      <c r="G362">
        <v>1</v>
      </c>
    </row>
    <row r="363" spans="1:7" x14ac:dyDescent="0.25">
      <c r="A363" s="3" t="s">
        <v>69</v>
      </c>
      <c r="D363">
        <v>50</v>
      </c>
      <c r="E363">
        <v>1</v>
      </c>
      <c r="F363">
        <v>50</v>
      </c>
      <c r="G363">
        <v>1</v>
      </c>
    </row>
    <row r="364" spans="1:7" x14ac:dyDescent="0.25">
      <c r="A364" s="3" t="s">
        <v>141</v>
      </c>
      <c r="D364">
        <v>50</v>
      </c>
      <c r="E364">
        <v>1</v>
      </c>
      <c r="F364">
        <v>50</v>
      </c>
      <c r="G364">
        <v>1</v>
      </c>
    </row>
    <row r="365" spans="1:7" x14ac:dyDescent="0.25">
      <c r="A365" s="3" t="s">
        <v>156</v>
      </c>
      <c r="D365">
        <v>50</v>
      </c>
      <c r="E365">
        <v>1</v>
      </c>
      <c r="F365">
        <v>50</v>
      </c>
      <c r="G365">
        <v>1</v>
      </c>
    </row>
    <row r="366" spans="1:7" x14ac:dyDescent="0.25">
      <c r="A366" s="3" t="s">
        <v>187</v>
      </c>
      <c r="D366">
        <v>45</v>
      </c>
      <c r="E366">
        <v>1</v>
      </c>
      <c r="F366">
        <v>45</v>
      </c>
      <c r="G366">
        <v>1</v>
      </c>
    </row>
    <row r="367" spans="1:7" x14ac:dyDescent="0.25">
      <c r="A367" s="3" t="s">
        <v>26</v>
      </c>
      <c r="D367">
        <v>43</v>
      </c>
      <c r="E367">
        <v>1</v>
      </c>
      <c r="F367">
        <v>43</v>
      </c>
      <c r="G367">
        <v>1</v>
      </c>
    </row>
    <row r="368" spans="1:7" x14ac:dyDescent="0.25">
      <c r="A368" s="3" t="s">
        <v>143</v>
      </c>
      <c r="D368">
        <v>40</v>
      </c>
      <c r="E368">
        <v>1</v>
      </c>
      <c r="F368">
        <v>40</v>
      </c>
      <c r="G368">
        <v>1</v>
      </c>
    </row>
    <row r="369" spans="1:7" x14ac:dyDescent="0.25">
      <c r="A369" s="3" t="s">
        <v>247</v>
      </c>
      <c r="D369">
        <v>40</v>
      </c>
      <c r="E369">
        <v>1</v>
      </c>
      <c r="F369">
        <v>40</v>
      </c>
      <c r="G369">
        <v>1</v>
      </c>
    </row>
    <row r="370" spans="1:7" x14ac:dyDescent="0.25">
      <c r="A370" s="3" t="s">
        <v>42</v>
      </c>
      <c r="D370">
        <v>40</v>
      </c>
      <c r="E370">
        <v>1</v>
      </c>
      <c r="F370">
        <v>40</v>
      </c>
      <c r="G370">
        <v>1</v>
      </c>
    </row>
    <row r="371" spans="1:7" x14ac:dyDescent="0.25">
      <c r="A371" s="3" t="s">
        <v>59</v>
      </c>
      <c r="D371">
        <v>40</v>
      </c>
      <c r="E371">
        <v>2</v>
      </c>
      <c r="F371">
        <v>40</v>
      </c>
      <c r="G371">
        <v>2</v>
      </c>
    </row>
    <row r="372" spans="1:7" x14ac:dyDescent="0.25">
      <c r="A372" s="3" t="s">
        <v>224</v>
      </c>
      <c r="D372">
        <v>35</v>
      </c>
      <c r="E372">
        <v>1</v>
      </c>
      <c r="F372">
        <v>35</v>
      </c>
      <c r="G372">
        <v>1</v>
      </c>
    </row>
    <row r="373" spans="1:7" x14ac:dyDescent="0.25">
      <c r="A373" s="3" t="s">
        <v>241</v>
      </c>
      <c r="D373">
        <v>30</v>
      </c>
      <c r="E373">
        <v>1</v>
      </c>
      <c r="F373">
        <v>30</v>
      </c>
      <c r="G373">
        <v>1</v>
      </c>
    </row>
    <row r="374" spans="1:7" x14ac:dyDescent="0.25">
      <c r="A374" s="3" t="s">
        <v>186</v>
      </c>
      <c r="D374">
        <v>30</v>
      </c>
      <c r="E374">
        <v>1</v>
      </c>
      <c r="F374">
        <v>30</v>
      </c>
      <c r="G374">
        <v>1</v>
      </c>
    </row>
    <row r="375" spans="1:7" x14ac:dyDescent="0.25">
      <c r="A375" s="3" t="s">
        <v>63</v>
      </c>
      <c r="D375">
        <v>30</v>
      </c>
      <c r="E375">
        <v>1</v>
      </c>
      <c r="F375">
        <v>30</v>
      </c>
      <c r="G375">
        <v>1</v>
      </c>
    </row>
    <row r="376" spans="1:7" x14ac:dyDescent="0.25">
      <c r="A376" s="3" t="s">
        <v>197</v>
      </c>
      <c r="D376">
        <v>30</v>
      </c>
      <c r="E376">
        <v>1</v>
      </c>
      <c r="F376">
        <v>30</v>
      </c>
      <c r="G376">
        <v>1</v>
      </c>
    </row>
    <row r="377" spans="1:7" x14ac:dyDescent="0.25">
      <c r="A377" s="3" t="s">
        <v>202</v>
      </c>
      <c r="D377">
        <v>25</v>
      </c>
      <c r="E377">
        <v>1</v>
      </c>
      <c r="F377">
        <v>25</v>
      </c>
      <c r="G377">
        <v>1</v>
      </c>
    </row>
    <row r="378" spans="1:7" x14ac:dyDescent="0.25">
      <c r="A378" s="3" t="s">
        <v>114</v>
      </c>
      <c r="D378">
        <v>25</v>
      </c>
      <c r="E378">
        <v>1</v>
      </c>
      <c r="F378">
        <v>25</v>
      </c>
      <c r="G378">
        <v>1</v>
      </c>
    </row>
    <row r="379" spans="1:7" x14ac:dyDescent="0.25">
      <c r="A379" s="3" t="s">
        <v>220</v>
      </c>
      <c r="D379">
        <v>22</v>
      </c>
      <c r="E379">
        <v>1</v>
      </c>
      <c r="F379">
        <v>22</v>
      </c>
      <c r="G379">
        <v>1</v>
      </c>
    </row>
    <row r="380" spans="1:7" x14ac:dyDescent="0.25">
      <c r="A380" s="3" t="s">
        <v>41</v>
      </c>
      <c r="D380">
        <v>20</v>
      </c>
      <c r="E380">
        <v>1</v>
      </c>
      <c r="F380">
        <v>20</v>
      </c>
      <c r="G380">
        <v>1</v>
      </c>
    </row>
    <row r="381" spans="1:7" x14ac:dyDescent="0.25">
      <c r="A381" s="3" t="s">
        <v>74</v>
      </c>
      <c r="D381">
        <v>20</v>
      </c>
      <c r="E381">
        <v>1</v>
      </c>
      <c r="F381">
        <v>20</v>
      </c>
      <c r="G381">
        <v>1</v>
      </c>
    </row>
    <row r="382" spans="1:7" x14ac:dyDescent="0.25">
      <c r="A382" s="3" t="s">
        <v>246</v>
      </c>
      <c r="D382">
        <v>20</v>
      </c>
      <c r="E382">
        <v>1</v>
      </c>
      <c r="F382">
        <v>20</v>
      </c>
      <c r="G382">
        <v>1</v>
      </c>
    </row>
    <row r="383" spans="1:7" x14ac:dyDescent="0.25">
      <c r="A383" s="3" t="s">
        <v>23</v>
      </c>
      <c r="D383">
        <v>20</v>
      </c>
      <c r="E383">
        <v>1</v>
      </c>
      <c r="F383">
        <v>20</v>
      </c>
      <c r="G383">
        <v>1</v>
      </c>
    </row>
    <row r="384" spans="1:7" x14ac:dyDescent="0.25">
      <c r="A384" s="3" t="s">
        <v>243</v>
      </c>
      <c r="D384">
        <v>20</v>
      </c>
      <c r="E384">
        <v>1</v>
      </c>
      <c r="F384">
        <v>20</v>
      </c>
      <c r="G384">
        <v>1</v>
      </c>
    </row>
    <row r="385" spans="1:15" x14ac:dyDescent="0.25">
      <c r="A385" s="3" t="s">
        <v>291</v>
      </c>
      <c r="D385">
        <v>20</v>
      </c>
      <c r="E385">
        <v>1</v>
      </c>
      <c r="F385">
        <v>20</v>
      </c>
      <c r="G385">
        <v>1</v>
      </c>
    </row>
    <row r="386" spans="1:15" x14ac:dyDescent="0.25">
      <c r="A386" s="3" t="s">
        <v>290</v>
      </c>
      <c r="D386">
        <v>18</v>
      </c>
      <c r="E386">
        <v>1</v>
      </c>
      <c r="F386">
        <v>18</v>
      </c>
      <c r="G386">
        <v>1</v>
      </c>
    </row>
    <row r="387" spans="1:15" x14ac:dyDescent="0.25">
      <c r="A387" s="3" t="s">
        <v>219</v>
      </c>
      <c r="B387">
        <v>15</v>
      </c>
      <c r="C387">
        <v>1</v>
      </c>
      <c r="F387">
        <v>15</v>
      </c>
      <c r="G387">
        <v>1</v>
      </c>
    </row>
    <row r="388" spans="1:15" x14ac:dyDescent="0.25">
      <c r="A388" s="3" t="s">
        <v>199</v>
      </c>
      <c r="D388">
        <v>14</v>
      </c>
      <c r="E388">
        <v>1</v>
      </c>
      <c r="F388">
        <v>14</v>
      </c>
      <c r="G388">
        <v>1</v>
      </c>
    </row>
    <row r="389" spans="1:15" x14ac:dyDescent="0.25">
      <c r="A389" s="3" t="s">
        <v>44</v>
      </c>
      <c r="D389">
        <v>13</v>
      </c>
      <c r="E389">
        <v>1</v>
      </c>
      <c r="F389">
        <v>13</v>
      </c>
      <c r="G389">
        <v>1</v>
      </c>
    </row>
    <row r="390" spans="1:15" x14ac:dyDescent="0.25">
      <c r="A390" s="3" t="s">
        <v>256</v>
      </c>
      <c r="D390">
        <v>12</v>
      </c>
      <c r="E390">
        <v>1</v>
      </c>
      <c r="F390">
        <v>12</v>
      </c>
      <c r="G390">
        <v>1</v>
      </c>
    </row>
    <row r="391" spans="1:15" x14ac:dyDescent="0.25">
      <c r="A391" s="3" t="s">
        <v>27</v>
      </c>
      <c r="D391">
        <v>12</v>
      </c>
      <c r="E391">
        <v>1</v>
      </c>
      <c r="F391">
        <v>12</v>
      </c>
      <c r="G391">
        <v>1</v>
      </c>
    </row>
    <row r="392" spans="1:15" x14ac:dyDescent="0.25">
      <c r="A392" s="3" t="s">
        <v>30</v>
      </c>
      <c r="D392">
        <v>12</v>
      </c>
      <c r="E392">
        <v>1</v>
      </c>
      <c r="F392">
        <v>12</v>
      </c>
      <c r="G392">
        <v>1</v>
      </c>
    </row>
    <row r="393" spans="1:15" x14ac:dyDescent="0.25">
      <c r="A393" s="3" t="s">
        <v>70</v>
      </c>
      <c r="D393">
        <v>10</v>
      </c>
      <c r="E393">
        <v>1</v>
      </c>
      <c r="F393">
        <v>10</v>
      </c>
      <c r="G393">
        <v>1</v>
      </c>
    </row>
    <row r="394" spans="1:15" x14ac:dyDescent="0.25">
      <c r="A394" s="3" t="s">
        <v>295</v>
      </c>
      <c r="B394">
        <v>25504</v>
      </c>
      <c r="C394">
        <v>138</v>
      </c>
      <c r="D394">
        <v>229061</v>
      </c>
      <c r="E394">
        <v>440</v>
      </c>
      <c r="F394">
        <v>254565</v>
      </c>
      <c r="G394">
        <v>578</v>
      </c>
    </row>
    <row r="398" spans="1:15" ht="33.6" customHeight="1" x14ac:dyDescent="0.4">
      <c r="A398" s="24" t="s">
        <v>464</v>
      </c>
      <c r="B398" s="29"/>
      <c r="C398" s="29"/>
      <c r="D398" s="29"/>
      <c r="E398" s="29"/>
      <c r="F398" s="29"/>
      <c r="G398" s="29"/>
      <c r="H398" s="29"/>
    </row>
    <row r="400" spans="1:15" ht="21" x14ac:dyDescent="0.35">
      <c r="A400" s="6" t="s">
        <v>479</v>
      </c>
      <c r="F400" s="6" t="s">
        <v>478</v>
      </c>
      <c r="K400" s="6" t="s">
        <v>469</v>
      </c>
      <c r="O400" s="14" t="s">
        <v>473</v>
      </c>
    </row>
    <row r="401" spans="1:16" x14ac:dyDescent="0.25">
      <c r="A401" s="2" t="s">
        <v>294</v>
      </c>
      <c r="B401" t="s">
        <v>299</v>
      </c>
      <c r="C401" t="s">
        <v>406</v>
      </c>
      <c r="D401" t="s">
        <v>407</v>
      </c>
      <c r="F401" t="s">
        <v>466</v>
      </c>
      <c r="G401" t="s">
        <v>465</v>
      </c>
      <c r="H401" t="s">
        <v>467</v>
      </c>
      <c r="I401" t="s">
        <v>468</v>
      </c>
      <c r="K401" t="s">
        <v>2</v>
      </c>
      <c r="L401" t="s">
        <v>460</v>
      </c>
      <c r="O401" t="s">
        <v>465</v>
      </c>
      <c r="P401" t="s">
        <v>467</v>
      </c>
    </row>
    <row r="402" spans="1:16" x14ac:dyDescent="0.25">
      <c r="A402" s="3" t="s">
        <v>296</v>
      </c>
      <c r="F402" s="25">
        <v>45231</v>
      </c>
      <c r="G402">
        <v>400</v>
      </c>
      <c r="H402">
        <v>4</v>
      </c>
      <c r="I402">
        <v>100</v>
      </c>
      <c r="K402" s="43" t="s">
        <v>461</v>
      </c>
      <c r="L402">
        <f>ROUND(SKEW(Table15[Monthly Expenses]), 2)</f>
        <v>1.41</v>
      </c>
      <c r="O402">
        <f>ABS(Table15[[#This Row],[Monthly Expenses]] - $L$404)</f>
        <v>23</v>
      </c>
      <c r="P402">
        <f>ABS(Table15[[#This Row],[Purchase Count]] - $G$420)</f>
        <v>0</v>
      </c>
    </row>
    <row r="403" spans="1:16" x14ac:dyDescent="0.25">
      <c r="A403" s="4" t="s">
        <v>301</v>
      </c>
      <c r="F403" s="25">
        <v>45261</v>
      </c>
      <c r="G403">
        <v>250</v>
      </c>
      <c r="H403">
        <v>2</v>
      </c>
      <c r="I403">
        <v>125</v>
      </c>
      <c r="K403" s="43" t="s">
        <v>462</v>
      </c>
      <c r="L403">
        <f>ROUND(KURT(Table15[Monthly Expenses]), 2)</f>
        <v>1.1299999999999999</v>
      </c>
      <c r="O403">
        <f>ABS(Table15[[#This Row],[Monthly Expenses]] - $L$404)</f>
        <v>127</v>
      </c>
      <c r="P403">
        <f>ABS(Table15[[#This Row],[Purchase Count]] - $G$420)</f>
        <v>2</v>
      </c>
    </row>
    <row r="404" spans="1:16" x14ac:dyDescent="0.25">
      <c r="A404" s="22" t="s">
        <v>28</v>
      </c>
      <c r="B404">
        <v>400</v>
      </c>
      <c r="C404">
        <v>4</v>
      </c>
      <c r="D404">
        <v>100</v>
      </c>
      <c r="F404" s="25">
        <v>45292</v>
      </c>
      <c r="G404">
        <v>1275</v>
      </c>
      <c r="H404">
        <v>13</v>
      </c>
      <c r="I404">
        <v>98.08</v>
      </c>
      <c r="K404" s="43" t="s">
        <v>471</v>
      </c>
      <c r="L404">
        <f>MEDIAN(Table15[Monthly Expenses])</f>
        <v>377</v>
      </c>
      <c r="O404">
        <f>ABS(Table15[[#This Row],[Monthly Expenses]] - $L$404)</f>
        <v>898</v>
      </c>
      <c r="P404">
        <f>ABS(Table15[[#This Row],[Purchase Count]] - $G$420)</f>
        <v>9</v>
      </c>
    </row>
    <row r="405" spans="1:16" x14ac:dyDescent="0.25">
      <c r="A405" s="4" t="s">
        <v>302</v>
      </c>
      <c r="F405" s="25">
        <v>45323</v>
      </c>
      <c r="G405">
        <v>354</v>
      </c>
      <c r="H405">
        <v>4</v>
      </c>
      <c r="I405">
        <v>88.5</v>
      </c>
      <c r="K405" s="43" t="s">
        <v>472</v>
      </c>
      <c r="L405">
        <f>ROUND(SUM(Table30[Monthly Expenses]) / COUNT(Table30[Monthly Expenses]), 2)</f>
        <v>237.17</v>
      </c>
      <c r="O405">
        <f>ABS(Table15[[#This Row],[Monthly Expenses]] - $L$404)</f>
        <v>23</v>
      </c>
      <c r="P405">
        <f>ABS(Table15[[#This Row],[Purchase Count]] - $G$420)</f>
        <v>0</v>
      </c>
    </row>
    <row r="406" spans="1:16" x14ac:dyDescent="0.25">
      <c r="A406" s="22" t="s">
        <v>28</v>
      </c>
      <c r="B406">
        <v>250</v>
      </c>
      <c r="C406">
        <v>2</v>
      </c>
      <c r="D406">
        <v>125</v>
      </c>
      <c r="F406" s="25">
        <v>45352</v>
      </c>
      <c r="G406">
        <v>300</v>
      </c>
      <c r="H406">
        <v>3</v>
      </c>
      <c r="I406">
        <v>100</v>
      </c>
      <c r="K406" s="43" t="s">
        <v>474</v>
      </c>
      <c r="L406">
        <f>ROUND(AVERAGE(Table15[Monthly Expenses]), 2)</f>
        <v>512.83000000000004</v>
      </c>
      <c r="O406">
        <f>ABS(Table15[[#This Row],[Monthly Expenses]] - $L$404)</f>
        <v>77</v>
      </c>
      <c r="P406">
        <f>ABS(Table15[[#This Row],[Purchase Count]] - $G$420)</f>
        <v>1</v>
      </c>
    </row>
    <row r="407" spans="1:16" x14ac:dyDescent="0.25">
      <c r="A407" s="3" t="s">
        <v>297</v>
      </c>
      <c r="F407" s="25">
        <v>45383</v>
      </c>
      <c r="G407">
        <v>300</v>
      </c>
      <c r="H407">
        <v>3</v>
      </c>
      <c r="I407">
        <v>100</v>
      </c>
      <c r="K407" s="43" t="s">
        <v>475</v>
      </c>
      <c r="L407">
        <f>ROUND(_xlfn.STDEV.S(Table15[Monthly Expenses]), 2)</f>
        <v>353.63</v>
      </c>
      <c r="O407">
        <f>ABS(Table15[[#This Row],[Monthly Expenses]] - $L$404)</f>
        <v>77</v>
      </c>
      <c r="P407">
        <f>ABS(Table15[[#This Row],[Purchase Count]] - $G$420)</f>
        <v>1</v>
      </c>
    </row>
    <row r="408" spans="1:16" x14ac:dyDescent="0.25">
      <c r="A408" s="4" t="s">
        <v>303</v>
      </c>
      <c r="F408" s="25">
        <v>45413</v>
      </c>
      <c r="G408">
        <v>525</v>
      </c>
      <c r="H408">
        <v>6</v>
      </c>
      <c r="I408">
        <v>87.5</v>
      </c>
      <c r="K408" s="45" t="s">
        <v>476</v>
      </c>
      <c r="L408">
        <f>ROUND(L407 / L406 * 100, 2)</f>
        <v>68.959999999999994</v>
      </c>
      <c r="O408">
        <f>ABS(Table15[[#This Row],[Monthly Expenses]] - $L$404)</f>
        <v>148</v>
      </c>
      <c r="P408">
        <f>ABS(Table15[[#This Row],[Purchase Count]] - $G$420)</f>
        <v>2</v>
      </c>
    </row>
    <row r="409" spans="1:16" x14ac:dyDescent="0.25">
      <c r="A409" s="22" t="s">
        <v>28</v>
      </c>
      <c r="B409">
        <v>1275</v>
      </c>
      <c r="C409">
        <v>13</v>
      </c>
      <c r="D409">
        <v>98.07692307692308</v>
      </c>
      <c r="F409" s="25">
        <v>45444</v>
      </c>
      <c r="G409">
        <v>1125</v>
      </c>
      <c r="H409">
        <v>14</v>
      </c>
      <c r="I409">
        <v>80.36</v>
      </c>
      <c r="K409" s="45">
        <v>0.25</v>
      </c>
      <c r="L409">
        <f>_xlfn.PERCENTILE.INC(Table15[Monthly Expenses], 0.25)</f>
        <v>300</v>
      </c>
      <c r="O409">
        <f>ABS(Table15[[#This Row],[Monthly Expenses]] - $L$404)</f>
        <v>748</v>
      </c>
      <c r="P409">
        <f>ABS(Table15[[#This Row],[Purchase Count]] - $G$420)</f>
        <v>10</v>
      </c>
    </row>
    <row r="410" spans="1:16" x14ac:dyDescent="0.25">
      <c r="A410" s="4" t="s">
        <v>304</v>
      </c>
      <c r="F410" s="25">
        <v>45474</v>
      </c>
      <c r="G410">
        <v>475</v>
      </c>
      <c r="H410">
        <v>5</v>
      </c>
      <c r="I410">
        <v>95</v>
      </c>
      <c r="K410" s="45">
        <v>0.75</v>
      </c>
      <c r="L410">
        <f>_xlfn.PERCENTILE.EXC(Table15[Monthly Expenses], 0.75)</f>
        <v>656.25</v>
      </c>
      <c r="O410">
        <f>ABS(Table15[[#This Row],[Monthly Expenses]] - $L$404)</f>
        <v>98</v>
      </c>
      <c r="P410">
        <f>ABS(Table15[[#This Row],[Purchase Count]] - $G$420)</f>
        <v>1</v>
      </c>
    </row>
    <row r="411" spans="1:16" x14ac:dyDescent="0.25">
      <c r="A411" s="22" t="s">
        <v>28</v>
      </c>
      <c r="B411">
        <v>354</v>
      </c>
      <c r="C411">
        <v>4</v>
      </c>
      <c r="D411">
        <v>88.5</v>
      </c>
      <c r="F411" s="25">
        <v>45505</v>
      </c>
      <c r="G411">
        <v>125</v>
      </c>
      <c r="H411">
        <v>1</v>
      </c>
      <c r="I411">
        <v>125</v>
      </c>
      <c r="K411" s="43" t="s">
        <v>463</v>
      </c>
      <c r="L411" t="s">
        <v>457</v>
      </c>
      <c r="O411">
        <f>ABS(Table15[[#This Row],[Monthly Expenses]] - $L$404)</f>
        <v>252</v>
      </c>
      <c r="P411">
        <f>ABS(Table15[[#This Row],[Purchase Count]] - $G$420)</f>
        <v>3</v>
      </c>
    </row>
    <row r="412" spans="1:16" x14ac:dyDescent="0.25">
      <c r="A412" s="4" t="s">
        <v>305</v>
      </c>
      <c r="F412" s="25">
        <v>45536</v>
      </c>
      <c r="G412">
        <v>325</v>
      </c>
      <c r="H412">
        <v>4</v>
      </c>
      <c r="I412">
        <v>81.25</v>
      </c>
      <c r="O412">
        <f>ABS(Table15[[#This Row],[Monthly Expenses]] - $L$404)</f>
        <v>52</v>
      </c>
      <c r="P412">
        <f>ABS(Table15[[#This Row],[Purchase Count]] - $G$420)</f>
        <v>0</v>
      </c>
    </row>
    <row r="413" spans="1:16" x14ac:dyDescent="0.25">
      <c r="A413" s="22" t="s">
        <v>28</v>
      </c>
      <c r="B413">
        <v>300</v>
      </c>
      <c r="C413">
        <v>3</v>
      </c>
      <c r="D413">
        <v>100</v>
      </c>
      <c r="F413" s="25">
        <v>45566</v>
      </c>
      <c r="G413">
        <v>700</v>
      </c>
      <c r="H413">
        <v>7</v>
      </c>
      <c r="I413">
        <v>100</v>
      </c>
      <c r="O413">
        <f>ABS(Table15[[#This Row],[Monthly Expenses]] - $L$404)</f>
        <v>323</v>
      </c>
      <c r="P413">
        <f>ABS(Table15[[#This Row],[Purchase Count]] - $G$420)</f>
        <v>3</v>
      </c>
    </row>
    <row r="414" spans="1:16" x14ac:dyDescent="0.25">
      <c r="A414" s="4" t="s">
        <v>306</v>
      </c>
    </row>
    <row r="415" spans="1:16" x14ac:dyDescent="0.25">
      <c r="A415" s="22" t="s">
        <v>28</v>
      </c>
      <c r="B415">
        <v>300</v>
      </c>
      <c r="C415">
        <v>3</v>
      </c>
      <c r="D415">
        <v>100</v>
      </c>
    </row>
    <row r="416" spans="1:16" ht="21" x14ac:dyDescent="0.35">
      <c r="A416" s="4" t="s">
        <v>307</v>
      </c>
      <c r="F416" s="6" t="s">
        <v>470</v>
      </c>
      <c r="I416" s="6" t="s">
        <v>481</v>
      </c>
    </row>
    <row r="417" spans="1:16" x14ac:dyDescent="0.25">
      <c r="A417" s="22" t="s">
        <v>28</v>
      </c>
      <c r="B417">
        <v>525</v>
      </c>
      <c r="C417">
        <v>6</v>
      </c>
      <c r="D417">
        <v>87.5</v>
      </c>
      <c r="F417" t="s">
        <v>346</v>
      </c>
      <c r="G417" t="s">
        <v>460</v>
      </c>
      <c r="I417" t="s">
        <v>466</v>
      </c>
      <c r="J417" t="s">
        <v>484</v>
      </c>
      <c r="K417" t="s">
        <v>485</v>
      </c>
    </row>
    <row r="418" spans="1:16" ht="21" x14ac:dyDescent="0.35">
      <c r="A418" s="4" t="s">
        <v>308</v>
      </c>
      <c r="F418" s="43" t="s">
        <v>461</v>
      </c>
      <c r="G418">
        <f>ROUND(SKEW(Table15[Purchase Count]), 2)</f>
        <v>1.39</v>
      </c>
      <c r="I418" s="25">
        <v>45292</v>
      </c>
      <c r="J418">
        <v>1275</v>
      </c>
      <c r="K418">
        <v>641.66999999999996</v>
      </c>
      <c r="P418" s="6" t="s">
        <v>482</v>
      </c>
    </row>
    <row r="419" spans="1:16" ht="21" x14ac:dyDescent="0.35">
      <c r="A419" s="22" t="s">
        <v>28</v>
      </c>
      <c r="B419">
        <v>1125</v>
      </c>
      <c r="C419">
        <v>14</v>
      </c>
      <c r="D419">
        <v>80.357142857142861</v>
      </c>
      <c r="F419" s="43" t="s">
        <v>462</v>
      </c>
      <c r="G419">
        <f>ROUND(KURT(Table15[Purchase Count]), 2)</f>
        <v>1.1200000000000001</v>
      </c>
      <c r="I419" s="25">
        <v>45323</v>
      </c>
      <c r="J419">
        <v>354</v>
      </c>
      <c r="K419">
        <v>626.33000000000004</v>
      </c>
      <c r="M419" s="6" t="s">
        <v>477</v>
      </c>
      <c r="P419" cm="1">
        <f t="array" ref="P419:P484">ABS(Table18[amount] - $N$423)</f>
        <v>100</v>
      </c>
    </row>
    <row r="420" spans="1:16" x14ac:dyDescent="0.25">
      <c r="A420" s="4" t="s">
        <v>309</v>
      </c>
      <c r="F420" s="43" t="s">
        <v>471</v>
      </c>
      <c r="G420">
        <f>MEDIAN(Table15[Purchase Count])</f>
        <v>4</v>
      </c>
      <c r="I420" s="25">
        <v>45352</v>
      </c>
      <c r="J420">
        <v>300</v>
      </c>
      <c r="K420">
        <v>643</v>
      </c>
      <c r="M420" t="s">
        <v>346</v>
      </c>
      <c r="N420" t="s">
        <v>460</v>
      </c>
      <c r="P420" s="23">
        <v>0</v>
      </c>
    </row>
    <row r="421" spans="1:16" x14ac:dyDescent="0.25">
      <c r="A421" s="22" t="s">
        <v>28</v>
      </c>
      <c r="B421">
        <v>475</v>
      </c>
      <c r="C421">
        <v>5</v>
      </c>
      <c r="D421">
        <v>95</v>
      </c>
      <c r="F421" s="43" t="s">
        <v>472</v>
      </c>
      <c r="G421">
        <f>ROUND(SUM(Table30[Purchase Count]) / COUNT(Table30[Purchase Count]), 2)</f>
        <v>2.67</v>
      </c>
      <c r="I421" s="25">
        <v>45383</v>
      </c>
      <c r="J421">
        <v>300</v>
      </c>
      <c r="K421">
        <v>318</v>
      </c>
      <c r="M421" s="43" t="s">
        <v>461</v>
      </c>
      <c r="N421">
        <f>ROUND(SKEW(Table18[amount]), 2)</f>
        <v>-0.54</v>
      </c>
      <c r="P421" s="23">
        <v>0</v>
      </c>
    </row>
    <row r="422" spans="1:16" x14ac:dyDescent="0.25">
      <c r="A422" s="4" t="s">
        <v>310</v>
      </c>
      <c r="F422" s="43" t="s">
        <v>474</v>
      </c>
      <c r="G422">
        <f>AVERAGE(Table15[Purchase Count])</f>
        <v>5.5</v>
      </c>
      <c r="I422" s="25">
        <v>45413</v>
      </c>
      <c r="J422">
        <v>525</v>
      </c>
      <c r="K422">
        <v>375</v>
      </c>
      <c r="M422" s="43" t="s">
        <v>462</v>
      </c>
      <c r="N422">
        <f>ROUND(KURT(Table18[amount]), 2)</f>
        <v>-1.61</v>
      </c>
      <c r="P422" s="23">
        <v>0</v>
      </c>
    </row>
    <row r="423" spans="1:16" x14ac:dyDescent="0.25">
      <c r="A423" s="22" t="s">
        <v>28</v>
      </c>
      <c r="B423">
        <v>125</v>
      </c>
      <c r="C423">
        <v>1</v>
      </c>
      <c r="D423">
        <v>125</v>
      </c>
      <c r="F423" s="43" t="s">
        <v>475</v>
      </c>
      <c r="G423">
        <f>ROUND(_xlfn.STDEV.S(Table15[Purchase Count]), 2)</f>
        <v>4.08</v>
      </c>
      <c r="I423" s="25">
        <v>45444</v>
      </c>
      <c r="J423">
        <v>1125</v>
      </c>
      <c r="K423">
        <v>650</v>
      </c>
      <c r="M423" s="43" t="s">
        <v>471</v>
      </c>
      <c r="N423">
        <f>MEDIAN(Table18[amount])</f>
        <v>125</v>
      </c>
      <c r="P423" s="23">
        <v>0</v>
      </c>
    </row>
    <row r="424" spans="1:16" x14ac:dyDescent="0.25">
      <c r="A424" s="4" t="s">
        <v>311</v>
      </c>
      <c r="F424" s="45" t="s">
        <v>476</v>
      </c>
      <c r="G424">
        <f>ROUND(G423/G422 * 100, 2)</f>
        <v>74.180000000000007</v>
      </c>
      <c r="I424" s="25">
        <v>45474</v>
      </c>
      <c r="J424">
        <v>475</v>
      </c>
      <c r="K424">
        <v>708.33</v>
      </c>
      <c r="M424" s="43" t="s">
        <v>472</v>
      </c>
      <c r="N424">
        <f>ROUND(SUM(_xlfn.ANCHORARRAY(P419)) / COUNT(_xlfn.ANCHORARRAY(P419)), 2)</f>
        <v>31.88</v>
      </c>
      <c r="P424" s="23">
        <v>0</v>
      </c>
    </row>
    <row r="425" spans="1:16" x14ac:dyDescent="0.25">
      <c r="A425" s="22" t="s">
        <v>28</v>
      </c>
      <c r="B425">
        <v>325</v>
      </c>
      <c r="C425">
        <v>4</v>
      </c>
      <c r="D425">
        <v>81.25</v>
      </c>
      <c r="F425" s="45">
        <v>0.25</v>
      </c>
      <c r="G425">
        <f>_xlfn.PERCENTILE.INC(Table15[Purchase Count], 0.25)</f>
        <v>3</v>
      </c>
      <c r="I425" s="25">
        <v>45505</v>
      </c>
      <c r="J425">
        <v>125</v>
      </c>
      <c r="K425">
        <v>575</v>
      </c>
      <c r="M425" s="43" t="s">
        <v>474</v>
      </c>
      <c r="N425">
        <f>ROUND(AVERAGE(Table18[amount]), 2)</f>
        <v>93.24</v>
      </c>
      <c r="P425" s="23">
        <v>0</v>
      </c>
    </row>
    <row r="426" spans="1:16" x14ac:dyDescent="0.25">
      <c r="A426" s="4" t="s">
        <v>312</v>
      </c>
      <c r="F426" s="45">
        <v>0.75</v>
      </c>
      <c r="G426">
        <f>_xlfn.PERCENTILE.INC(Table15[Purchase Count], 0.75)</f>
        <v>6.25</v>
      </c>
      <c r="I426" s="25">
        <v>45536</v>
      </c>
      <c r="J426">
        <v>325</v>
      </c>
      <c r="K426">
        <v>308.33</v>
      </c>
      <c r="M426" s="43" t="s">
        <v>475</v>
      </c>
      <c r="N426">
        <f>ROUND(_xlfn.STDEV.S(Table18[amount]), 2)</f>
        <v>40.369999999999997</v>
      </c>
      <c r="P426" s="23">
        <v>75</v>
      </c>
    </row>
    <row r="427" spans="1:16" x14ac:dyDescent="0.25">
      <c r="A427" s="22" t="s">
        <v>28</v>
      </c>
      <c r="B427">
        <v>700</v>
      </c>
      <c r="C427">
        <v>7</v>
      </c>
      <c r="D427">
        <v>100</v>
      </c>
      <c r="F427" s="43" t="s">
        <v>463</v>
      </c>
      <c r="G427" t="s">
        <v>457</v>
      </c>
      <c r="I427" s="25">
        <v>45566</v>
      </c>
      <c r="J427">
        <v>700</v>
      </c>
      <c r="K427">
        <v>383.33</v>
      </c>
      <c r="M427" s="45" t="s">
        <v>476</v>
      </c>
      <c r="N427">
        <f>ROUND(N426/N425 * 100, 2)</f>
        <v>43.3</v>
      </c>
      <c r="P427" s="23">
        <v>100</v>
      </c>
    </row>
    <row r="428" spans="1:16" x14ac:dyDescent="0.25">
      <c r="A428" s="3" t="s">
        <v>295</v>
      </c>
      <c r="B428">
        <v>6154</v>
      </c>
      <c r="C428">
        <v>66</v>
      </c>
      <c r="D428">
        <v>93.242424242424249</v>
      </c>
      <c r="M428" s="45">
        <v>0.25</v>
      </c>
      <c r="N428">
        <f>_xlfn.PERCENTILE.INC(Table18[amount], 0.25)</f>
        <v>50</v>
      </c>
      <c r="P428" s="23">
        <v>75</v>
      </c>
    </row>
    <row r="429" spans="1:16" x14ac:dyDescent="0.25">
      <c r="M429" s="45">
        <v>0.75</v>
      </c>
      <c r="N429">
        <f>_xlfn.PERCENTILE.INC(Table18[amount], 0.75)</f>
        <v>125</v>
      </c>
      <c r="P429">
        <v>0</v>
      </c>
    </row>
    <row r="430" spans="1:16" x14ac:dyDescent="0.25">
      <c r="M430" s="43" t="s">
        <v>463</v>
      </c>
      <c r="N430" t="s">
        <v>480</v>
      </c>
      <c r="P430">
        <v>0</v>
      </c>
    </row>
    <row r="431" spans="1:16" x14ac:dyDescent="0.25">
      <c r="P431">
        <v>0</v>
      </c>
    </row>
    <row r="432" spans="1:16" x14ac:dyDescent="0.25">
      <c r="P432">
        <v>0</v>
      </c>
    </row>
    <row r="433" spans="11:16" x14ac:dyDescent="0.25">
      <c r="P433">
        <v>0</v>
      </c>
    </row>
    <row r="434" spans="11:16" ht="21" x14ac:dyDescent="0.35">
      <c r="K434" s="6" t="s">
        <v>483</v>
      </c>
      <c r="P434">
        <v>0</v>
      </c>
    </row>
    <row r="435" spans="11:16" x14ac:dyDescent="0.25">
      <c r="K435" s="2" t="s">
        <v>294</v>
      </c>
      <c r="L435" t="s">
        <v>411</v>
      </c>
      <c r="M435" t="s">
        <v>299</v>
      </c>
      <c r="N435" t="s">
        <v>486</v>
      </c>
      <c r="P435">
        <v>100</v>
      </c>
    </row>
    <row r="436" spans="11:16" x14ac:dyDescent="0.25">
      <c r="K436" s="3">
        <v>25</v>
      </c>
      <c r="L436">
        <v>6</v>
      </c>
      <c r="M436">
        <v>150</v>
      </c>
      <c r="N436" s="17">
        <v>2.4374390640233994E-2</v>
      </c>
      <c r="P436">
        <v>0</v>
      </c>
    </row>
    <row r="437" spans="11:16" x14ac:dyDescent="0.25">
      <c r="K437" s="3">
        <v>50</v>
      </c>
      <c r="L437">
        <v>20</v>
      </c>
      <c r="M437">
        <v>1000</v>
      </c>
      <c r="N437" s="17">
        <v>0.16249593760155995</v>
      </c>
      <c r="P437">
        <v>0</v>
      </c>
    </row>
    <row r="438" spans="11:16" x14ac:dyDescent="0.25">
      <c r="K438" s="3">
        <v>125</v>
      </c>
      <c r="L438">
        <v>39</v>
      </c>
      <c r="M438">
        <v>4875</v>
      </c>
      <c r="N438" s="17">
        <v>0.79216769580760482</v>
      </c>
      <c r="P438">
        <v>0</v>
      </c>
    </row>
    <row r="439" spans="11:16" x14ac:dyDescent="0.25">
      <c r="K439" s="3">
        <v>129</v>
      </c>
      <c r="L439">
        <v>1</v>
      </c>
      <c r="M439">
        <v>129</v>
      </c>
      <c r="N439" s="17">
        <v>2.0961975950601234E-2</v>
      </c>
      <c r="P439">
        <v>75</v>
      </c>
    </row>
    <row r="440" spans="11:16" x14ac:dyDescent="0.25">
      <c r="K440" s="3" t="s">
        <v>295</v>
      </c>
      <c r="L440">
        <v>66</v>
      </c>
      <c r="M440">
        <v>6154</v>
      </c>
      <c r="N440" s="17">
        <v>1</v>
      </c>
      <c r="P440">
        <v>75</v>
      </c>
    </row>
    <row r="441" spans="11:16" x14ac:dyDescent="0.25">
      <c r="P441">
        <v>4</v>
      </c>
    </row>
    <row r="442" spans="11:16" x14ac:dyDescent="0.25">
      <c r="P442">
        <v>0</v>
      </c>
    </row>
    <row r="443" spans="11:16" ht="21" x14ac:dyDescent="0.35">
      <c r="K443" s="42" t="s">
        <v>446</v>
      </c>
      <c r="P443">
        <v>75</v>
      </c>
    </row>
    <row r="444" spans="11:16" x14ac:dyDescent="0.25">
      <c r="K444" t="s">
        <v>487</v>
      </c>
      <c r="L444" t="s">
        <v>341</v>
      </c>
      <c r="M444" t="s">
        <v>342</v>
      </c>
      <c r="N444" t="s">
        <v>488</v>
      </c>
      <c r="P444">
        <v>0</v>
      </c>
    </row>
    <row r="445" spans="11:16" x14ac:dyDescent="0.25">
      <c r="K445" s="46">
        <v>25</v>
      </c>
      <c r="L445">
        <v>6</v>
      </c>
      <c r="M445">
        <v>150</v>
      </c>
      <c r="N445">
        <v>2.44</v>
      </c>
      <c r="P445">
        <v>75</v>
      </c>
    </row>
    <row r="446" spans="11:16" x14ac:dyDescent="0.25">
      <c r="K446" s="46">
        <v>50</v>
      </c>
      <c r="L446">
        <v>20</v>
      </c>
      <c r="M446">
        <v>1000</v>
      </c>
      <c r="N446">
        <v>16.25</v>
      </c>
      <c r="P446">
        <v>0</v>
      </c>
    </row>
    <row r="447" spans="11:16" x14ac:dyDescent="0.25">
      <c r="K447" s="46">
        <v>125</v>
      </c>
      <c r="L447">
        <v>39</v>
      </c>
      <c r="M447">
        <v>4875</v>
      </c>
      <c r="N447">
        <v>79.22</v>
      </c>
      <c r="P447">
        <v>0</v>
      </c>
    </row>
    <row r="448" spans="11:16" x14ac:dyDescent="0.25">
      <c r="K448" s="46">
        <v>129</v>
      </c>
      <c r="L448">
        <v>1</v>
      </c>
      <c r="M448">
        <v>129</v>
      </c>
      <c r="N448">
        <v>2.1</v>
      </c>
      <c r="P448">
        <v>75</v>
      </c>
    </row>
    <row r="449" spans="16:16" x14ac:dyDescent="0.25">
      <c r="P449">
        <v>0</v>
      </c>
    </row>
    <row r="450" spans="16:16" x14ac:dyDescent="0.25">
      <c r="P450">
        <v>0</v>
      </c>
    </row>
    <row r="451" spans="16:16" x14ac:dyDescent="0.25">
      <c r="P451">
        <v>75</v>
      </c>
    </row>
    <row r="452" spans="16:16" x14ac:dyDescent="0.25">
      <c r="P452">
        <v>75</v>
      </c>
    </row>
    <row r="453" spans="16:16" x14ac:dyDescent="0.25">
      <c r="P453">
        <v>0</v>
      </c>
    </row>
    <row r="454" spans="16:16" x14ac:dyDescent="0.25">
      <c r="P454">
        <v>0</v>
      </c>
    </row>
    <row r="455" spans="16:16" x14ac:dyDescent="0.25">
      <c r="P455">
        <v>0</v>
      </c>
    </row>
    <row r="456" spans="16:16" x14ac:dyDescent="0.25">
      <c r="P456">
        <v>100</v>
      </c>
    </row>
    <row r="457" spans="16:16" x14ac:dyDescent="0.25">
      <c r="P457">
        <v>0</v>
      </c>
    </row>
    <row r="458" spans="16:16" x14ac:dyDescent="0.25">
      <c r="P458">
        <v>75</v>
      </c>
    </row>
    <row r="459" spans="16:16" x14ac:dyDescent="0.25">
      <c r="P459">
        <v>0</v>
      </c>
    </row>
    <row r="460" spans="16:16" x14ac:dyDescent="0.25">
      <c r="P460">
        <v>75</v>
      </c>
    </row>
    <row r="461" spans="16:16" x14ac:dyDescent="0.25">
      <c r="P461">
        <v>75</v>
      </c>
    </row>
    <row r="462" spans="16:16" x14ac:dyDescent="0.25">
      <c r="P462">
        <v>75</v>
      </c>
    </row>
    <row r="463" spans="16:16" x14ac:dyDescent="0.25">
      <c r="P463">
        <v>75</v>
      </c>
    </row>
    <row r="464" spans="16:16" x14ac:dyDescent="0.25">
      <c r="P464">
        <v>0</v>
      </c>
    </row>
    <row r="465" spans="16:16" x14ac:dyDescent="0.25">
      <c r="P465">
        <v>75</v>
      </c>
    </row>
    <row r="466" spans="16:16" x14ac:dyDescent="0.25">
      <c r="P466">
        <v>75</v>
      </c>
    </row>
    <row r="467" spans="16:16" x14ac:dyDescent="0.25">
      <c r="P467">
        <v>0</v>
      </c>
    </row>
    <row r="468" spans="16:16" x14ac:dyDescent="0.25">
      <c r="P468">
        <v>75</v>
      </c>
    </row>
    <row r="469" spans="16:16" x14ac:dyDescent="0.25">
      <c r="P469">
        <v>0</v>
      </c>
    </row>
    <row r="470" spans="16:16" x14ac:dyDescent="0.25">
      <c r="P470">
        <v>75</v>
      </c>
    </row>
    <row r="471" spans="16:16" x14ac:dyDescent="0.25">
      <c r="P471">
        <v>0</v>
      </c>
    </row>
    <row r="472" spans="16:16" x14ac:dyDescent="0.25">
      <c r="P472">
        <v>0</v>
      </c>
    </row>
    <row r="473" spans="16:16" x14ac:dyDescent="0.25">
      <c r="P473">
        <v>0</v>
      </c>
    </row>
    <row r="474" spans="16:16" x14ac:dyDescent="0.25">
      <c r="P474">
        <v>0</v>
      </c>
    </row>
    <row r="475" spans="16:16" x14ac:dyDescent="0.25">
      <c r="P475">
        <v>75</v>
      </c>
    </row>
    <row r="476" spans="16:16" x14ac:dyDescent="0.25">
      <c r="P476">
        <v>100</v>
      </c>
    </row>
    <row r="477" spans="16:16" x14ac:dyDescent="0.25">
      <c r="P477">
        <v>0</v>
      </c>
    </row>
    <row r="478" spans="16:16" x14ac:dyDescent="0.25">
      <c r="P478">
        <v>0</v>
      </c>
    </row>
    <row r="479" spans="16:16" x14ac:dyDescent="0.25">
      <c r="P479">
        <v>75</v>
      </c>
    </row>
    <row r="480" spans="16:16" x14ac:dyDescent="0.25">
      <c r="P480">
        <v>0</v>
      </c>
    </row>
    <row r="481" spans="16:16" x14ac:dyDescent="0.25">
      <c r="P481">
        <v>0</v>
      </c>
    </row>
    <row r="482" spans="16:16" x14ac:dyDescent="0.25">
      <c r="P482">
        <v>0</v>
      </c>
    </row>
    <row r="483" spans="16:16" x14ac:dyDescent="0.25">
      <c r="P483">
        <v>0</v>
      </c>
    </row>
    <row r="484" spans="16:16" x14ac:dyDescent="0.25">
      <c r="P484">
        <v>100</v>
      </c>
    </row>
    <row r="519" spans="1:12" ht="26.25" x14ac:dyDescent="0.4">
      <c r="A519" s="24" t="s">
        <v>489</v>
      </c>
      <c r="B519" s="29"/>
      <c r="C519" s="29"/>
      <c r="D519" s="29"/>
      <c r="E519" s="29"/>
      <c r="F519" s="29"/>
      <c r="G519" s="29"/>
      <c r="H519" s="29"/>
    </row>
    <row r="520" spans="1:12" ht="21" x14ac:dyDescent="0.35">
      <c r="G520" s="6" t="s">
        <v>420</v>
      </c>
      <c r="J520" s="6" t="s">
        <v>421</v>
      </c>
    </row>
    <row r="521" spans="1:12" x14ac:dyDescent="0.25">
      <c r="G521" s="2" t="s">
        <v>299</v>
      </c>
      <c r="H521" s="2" t="s">
        <v>300</v>
      </c>
      <c r="J521" s="4" t="s">
        <v>1</v>
      </c>
      <c r="K521" t="s">
        <v>346</v>
      </c>
      <c r="L521" t="s">
        <v>372</v>
      </c>
    </row>
    <row r="522" spans="1:12" x14ac:dyDescent="0.25">
      <c r="G522" s="2" t="s">
        <v>294</v>
      </c>
      <c r="H522" t="s">
        <v>7</v>
      </c>
      <c r="J522" s="25">
        <v>45231</v>
      </c>
      <c r="K522" s="22" t="s">
        <v>424</v>
      </c>
      <c r="L522">
        <v>31966</v>
      </c>
    </row>
    <row r="523" spans="1:12" x14ac:dyDescent="0.25">
      <c r="G523" s="3">
        <v>2023</v>
      </c>
      <c r="H523">
        <v>113491</v>
      </c>
      <c r="J523" s="25">
        <v>45231</v>
      </c>
      <c r="K523" s="22" t="s">
        <v>318</v>
      </c>
      <c r="L523">
        <v>12734</v>
      </c>
    </row>
    <row r="524" spans="1:12" x14ac:dyDescent="0.25">
      <c r="G524" s="4">
        <v>11</v>
      </c>
      <c r="H524">
        <v>70026</v>
      </c>
      <c r="J524" s="25">
        <v>45231</v>
      </c>
      <c r="K524" t="s">
        <v>419</v>
      </c>
      <c r="L524">
        <v>12766</v>
      </c>
    </row>
    <row r="525" spans="1:12" x14ac:dyDescent="0.25">
      <c r="G525" s="22" t="s">
        <v>33</v>
      </c>
      <c r="H525">
        <v>44732</v>
      </c>
      <c r="J525" s="25">
        <v>45231</v>
      </c>
      <c r="K525" s="22" t="s">
        <v>17</v>
      </c>
      <c r="L525">
        <v>12560</v>
      </c>
    </row>
    <row r="526" spans="1:12" x14ac:dyDescent="0.25">
      <c r="G526" s="22" t="s">
        <v>318</v>
      </c>
      <c r="H526">
        <v>12734</v>
      </c>
      <c r="J526" s="25"/>
      <c r="K526" s="22"/>
    </row>
    <row r="527" spans="1:12" ht="21" x14ac:dyDescent="0.35">
      <c r="G527" s="22" t="s">
        <v>17</v>
      </c>
      <c r="H527">
        <v>12560</v>
      </c>
      <c r="J527" s="6" t="s">
        <v>423</v>
      </c>
    </row>
    <row r="528" spans="1:12" x14ac:dyDescent="0.25">
      <c r="G528" s="4">
        <v>12</v>
      </c>
      <c r="H528">
        <v>43465</v>
      </c>
      <c r="J528" s="2" t="s">
        <v>294</v>
      </c>
      <c r="K528" t="s">
        <v>422</v>
      </c>
    </row>
    <row r="529" spans="7:11" x14ac:dyDescent="0.25">
      <c r="G529" s="22" t="s">
        <v>318</v>
      </c>
      <c r="H529">
        <v>25465</v>
      </c>
      <c r="J529" s="3" t="s">
        <v>301</v>
      </c>
      <c r="K529">
        <v>70026</v>
      </c>
    </row>
    <row r="530" spans="7:11" x14ac:dyDescent="0.25">
      <c r="G530" s="22" t="s">
        <v>71</v>
      </c>
      <c r="H530">
        <v>18000</v>
      </c>
      <c r="J530" s="4" t="s">
        <v>318</v>
      </c>
      <c r="K530">
        <v>12734</v>
      </c>
    </row>
    <row r="531" spans="7:11" x14ac:dyDescent="0.25">
      <c r="G531" s="3" t="s">
        <v>295</v>
      </c>
      <c r="H531">
        <v>113491</v>
      </c>
      <c r="J531" s="4" t="s">
        <v>419</v>
      </c>
      <c r="K531">
        <v>12766</v>
      </c>
    </row>
    <row r="532" spans="7:11" x14ac:dyDescent="0.25">
      <c r="J532" s="4" t="s">
        <v>17</v>
      </c>
      <c r="K532">
        <v>12560</v>
      </c>
    </row>
    <row r="533" spans="7:11" x14ac:dyDescent="0.25">
      <c r="J533" s="4" t="s">
        <v>424</v>
      </c>
      <c r="K533">
        <v>31966</v>
      </c>
    </row>
    <row r="534" spans="7:11" x14ac:dyDescent="0.25">
      <c r="J534" s="3" t="s">
        <v>295</v>
      </c>
      <c r="K534">
        <v>70026</v>
      </c>
    </row>
    <row r="570" spans="1:9" ht="33.6" customHeight="1" x14ac:dyDescent="0.4">
      <c r="A570" s="24" t="s">
        <v>490</v>
      </c>
      <c r="B570" s="29"/>
      <c r="C570" s="29"/>
      <c r="D570" s="29"/>
      <c r="E570" s="29"/>
      <c r="F570" s="29"/>
      <c r="G570" s="29"/>
      <c r="H570" s="29"/>
    </row>
    <row r="572" spans="1:9" ht="21" x14ac:dyDescent="0.35">
      <c r="H572" s="6" t="s">
        <v>425</v>
      </c>
    </row>
    <row r="573" spans="1:9" x14ac:dyDescent="0.25">
      <c r="H573" s="2" t="s">
        <v>299</v>
      </c>
      <c r="I573" s="2" t="s">
        <v>300</v>
      </c>
    </row>
    <row r="574" spans="1:9" x14ac:dyDescent="0.25">
      <c r="H574" s="2" t="s">
        <v>294</v>
      </c>
      <c r="I574" t="s">
        <v>7</v>
      </c>
    </row>
    <row r="575" spans="1:9" x14ac:dyDescent="0.25">
      <c r="H575" s="3">
        <v>2023</v>
      </c>
      <c r="I575">
        <v>70026</v>
      </c>
    </row>
    <row r="576" spans="1:9" x14ac:dyDescent="0.25">
      <c r="H576" s="4">
        <v>11</v>
      </c>
      <c r="I576">
        <v>70026</v>
      </c>
    </row>
    <row r="577" spans="1:12" x14ac:dyDescent="0.25">
      <c r="H577" s="22" t="s">
        <v>33</v>
      </c>
      <c r="I577">
        <v>44732</v>
      </c>
    </row>
    <row r="578" spans="1:12" x14ac:dyDescent="0.25">
      <c r="H578" s="22" t="s">
        <v>318</v>
      </c>
      <c r="I578">
        <v>12734</v>
      </c>
    </row>
    <row r="579" spans="1:12" x14ac:dyDescent="0.25">
      <c r="H579" s="22" t="s">
        <v>17</v>
      </c>
      <c r="I579">
        <v>12560</v>
      </c>
    </row>
    <row r="580" spans="1:12" x14ac:dyDescent="0.25">
      <c r="H580" s="3">
        <v>2024</v>
      </c>
      <c r="I580">
        <v>59992</v>
      </c>
    </row>
    <row r="581" spans="1:12" x14ac:dyDescent="0.25">
      <c r="H581" s="4">
        <v>11</v>
      </c>
      <c r="I581">
        <v>59992</v>
      </c>
    </row>
    <row r="582" spans="1:12" x14ac:dyDescent="0.25">
      <c r="H582" s="22" t="s">
        <v>249</v>
      </c>
      <c r="I582">
        <v>5000</v>
      </c>
    </row>
    <row r="583" spans="1:12" x14ac:dyDescent="0.25">
      <c r="H583" s="22" t="s">
        <v>318</v>
      </c>
      <c r="I583">
        <v>27992</v>
      </c>
    </row>
    <row r="584" spans="1:12" x14ac:dyDescent="0.25">
      <c r="H584" s="22" t="s">
        <v>327</v>
      </c>
      <c r="I584">
        <v>27000</v>
      </c>
    </row>
    <row r="585" spans="1:12" x14ac:dyDescent="0.25">
      <c r="H585" s="3" t="s">
        <v>295</v>
      </c>
      <c r="I585">
        <v>130018</v>
      </c>
    </row>
    <row r="587" spans="1:12" x14ac:dyDescent="0.25">
      <c r="J587" s="2" t="s">
        <v>4</v>
      </c>
      <c r="K587" t="s">
        <v>7</v>
      </c>
    </row>
    <row r="588" spans="1:12" ht="21" x14ac:dyDescent="0.35">
      <c r="A588" s="6" t="s">
        <v>428</v>
      </c>
      <c r="J588" s="6" t="s">
        <v>429</v>
      </c>
    </row>
    <row r="589" spans="1:12" ht="21" x14ac:dyDescent="0.35">
      <c r="B589" s="2" t="s">
        <v>300</v>
      </c>
      <c r="E589" s="6" t="s">
        <v>428</v>
      </c>
      <c r="J589" s="2" t="s">
        <v>294</v>
      </c>
      <c r="K589" t="s">
        <v>299</v>
      </c>
      <c r="L589" t="s">
        <v>406</v>
      </c>
    </row>
    <row r="590" spans="1:12" x14ac:dyDescent="0.25">
      <c r="B590" t="s">
        <v>7</v>
      </c>
      <c r="E590" t="s">
        <v>1</v>
      </c>
      <c r="F590" t="s">
        <v>346</v>
      </c>
      <c r="G590" t="s">
        <v>426</v>
      </c>
      <c r="H590" t="s">
        <v>427</v>
      </c>
      <c r="J590" s="3" t="s">
        <v>296</v>
      </c>
    </row>
    <row r="591" spans="1:12" x14ac:dyDescent="0.25">
      <c r="A591" s="2" t="s">
        <v>294</v>
      </c>
      <c r="B591" t="s">
        <v>299</v>
      </c>
      <c r="C591" t="s">
        <v>406</v>
      </c>
      <c r="E591" s="25">
        <v>45170</v>
      </c>
      <c r="F591" t="s">
        <v>318</v>
      </c>
      <c r="G591">
        <v>17732</v>
      </c>
      <c r="H591">
        <v>1</v>
      </c>
      <c r="J591" s="4" t="s">
        <v>311</v>
      </c>
      <c r="K591">
        <v>17732</v>
      </c>
      <c r="L591">
        <v>1</v>
      </c>
    </row>
    <row r="592" spans="1:12" x14ac:dyDescent="0.25">
      <c r="A592" s="3" t="s">
        <v>296</v>
      </c>
      <c r="E592" s="25">
        <v>45200</v>
      </c>
      <c r="F592" t="s">
        <v>318</v>
      </c>
      <c r="G592">
        <v>25588</v>
      </c>
      <c r="H592">
        <v>2</v>
      </c>
      <c r="J592" s="4" t="s">
        <v>312</v>
      </c>
      <c r="K592">
        <v>25588</v>
      </c>
      <c r="L592">
        <v>2</v>
      </c>
    </row>
    <row r="593" spans="1:12" x14ac:dyDescent="0.25">
      <c r="A593" s="4" t="s">
        <v>311</v>
      </c>
      <c r="E593" s="25">
        <v>45231</v>
      </c>
      <c r="F593" t="s">
        <v>33</v>
      </c>
      <c r="G593">
        <v>44732</v>
      </c>
      <c r="H593">
        <v>1</v>
      </c>
      <c r="J593" s="4" t="s">
        <v>301</v>
      </c>
      <c r="K593">
        <v>70026</v>
      </c>
      <c r="L593">
        <v>3</v>
      </c>
    </row>
    <row r="594" spans="1:12" x14ac:dyDescent="0.25">
      <c r="A594" s="22" t="s">
        <v>318</v>
      </c>
      <c r="B594">
        <v>17732</v>
      </c>
      <c r="C594">
        <v>1</v>
      </c>
      <c r="E594" s="25">
        <v>45231</v>
      </c>
      <c r="F594" t="s">
        <v>318</v>
      </c>
      <c r="G594">
        <v>12734</v>
      </c>
      <c r="H594">
        <v>1</v>
      </c>
      <c r="J594" s="4" t="s">
        <v>302</v>
      </c>
      <c r="K594">
        <v>43465</v>
      </c>
      <c r="L594">
        <v>3</v>
      </c>
    </row>
    <row r="595" spans="1:12" x14ac:dyDescent="0.25">
      <c r="A595" s="4" t="s">
        <v>312</v>
      </c>
      <c r="E595" s="25">
        <v>45231</v>
      </c>
      <c r="F595" t="s">
        <v>17</v>
      </c>
      <c r="G595">
        <v>12560</v>
      </c>
      <c r="H595">
        <v>1</v>
      </c>
      <c r="J595" s="3" t="s">
        <v>297</v>
      </c>
    </row>
    <row r="596" spans="1:12" x14ac:dyDescent="0.25">
      <c r="A596" s="22" t="s">
        <v>318</v>
      </c>
      <c r="B596">
        <v>25588</v>
      </c>
      <c r="C596">
        <v>2</v>
      </c>
      <c r="E596" s="25">
        <v>45261</v>
      </c>
      <c r="F596" t="s">
        <v>318</v>
      </c>
      <c r="G596">
        <v>25465</v>
      </c>
      <c r="H596">
        <v>2</v>
      </c>
      <c r="J596" s="4" t="s">
        <v>303</v>
      </c>
      <c r="K596">
        <v>25466</v>
      </c>
      <c r="L596">
        <v>2</v>
      </c>
    </row>
    <row r="597" spans="1:12" x14ac:dyDescent="0.25">
      <c r="A597" s="4" t="s">
        <v>301</v>
      </c>
      <c r="E597" s="25">
        <v>45261</v>
      </c>
      <c r="F597" t="s">
        <v>71</v>
      </c>
      <c r="G597">
        <v>18000</v>
      </c>
      <c r="H597">
        <v>1</v>
      </c>
      <c r="J597" s="4" t="s">
        <v>304</v>
      </c>
      <c r="K597">
        <v>25195</v>
      </c>
      <c r="L597">
        <v>2</v>
      </c>
    </row>
    <row r="598" spans="1:12" x14ac:dyDescent="0.25">
      <c r="A598" s="22" t="s">
        <v>33</v>
      </c>
      <c r="B598">
        <v>44732</v>
      </c>
      <c r="C598">
        <v>1</v>
      </c>
      <c r="E598" s="25">
        <v>45292</v>
      </c>
      <c r="F598" t="s">
        <v>318</v>
      </c>
      <c r="G598">
        <v>25466</v>
      </c>
      <c r="H598">
        <v>2</v>
      </c>
      <c r="J598" s="4" t="s">
        <v>305</v>
      </c>
      <c r="K598">
        <v>25195</v>
      </c>
      <c r="L598">
        <v>2</v>
      </c>
    </row>
    <row r="599" spans="1:12" x14ac:dyDescent="0.25">
      <c r="A599" s="22" t="s">
        <v>318</v>
      </c>
      <c r="B599">
        <v>12734</v>
      </c>
      <c r="C599">
        <v>1</v>
      </c>
      <c r="E599" s="25">
        <v>45323</v>
      </c>
      <c r="F599" t="s">
        <v>318</v>
      </c>
      <c r="G599">
        <v>25195</v>
      </c>
      <c r="H599">
        <v>2</v>
      </c>
      <c r="J599" s="4" t="s">
        <v>306</v>
      </c>
      <c r="K599">
        <v>32231</v>
      </c>
      <c r="L599">
        <v>3</v>
      </c>
    </row>
    <row r="600" spans="1:12" x14ac:dyDescent="0.25">
      <c r="A600" s="22" t="s">
        <v>17</v>
      </c>
      <c r="B600">
        <v>12560</v>
      </c>
      <c r="C600">
        <v>1</v>
      </c>
      <c r="E600" s="25">
        <v>45352</v>
      </c>
      <c r="F600" t="s">
        <v>318</v>
      </c>
      <c r="G600">
        <v>25195</v>
      </c>
      <c r="H600">
        <v>2</v>
      </c>
      <c r="J600" s="4" t="s">
        <v>307</v>
      </c>
      <c r="K600">
        <v>52230</v>
      </c>
      <c r="L600">
        <v>3</v>
      </c>
    </row>
    <row r="601" spans="1:12" x14ac:dyDescent="0.25">
      <c r="A601" s="4" t="s">
        <v>302</v>
      </c>
      <c r="E601" s="25">
        <v>45383</v>
      </c>
      <c r="F601" t="s">
        <v>147</v>
      </c>
      <c r="G601">
        <v>6000</v>
      </c>
      <c r="H601">
        <v>1</v>
      </c>
      <c r="J601" s="4" t="s">
        <v>308</v>
      </c>
      <c r="K601">
        <v>25231</v>
      </c>
      <c r="L601">
        <v>2</v>
      </c>
    </row>
    <row r="602" spans="1:12" x14ac:dyDescent="0.25">
      <c r="A602" s="22" t="s">
        <v>318</v>
      </c>
      <c r="B602">
        <v>25465</v>
      </c>
      <c r="C602">
        <v>2</v>
      </c>
      <c r="E602" s="25">
        <v>45383</v>
      </c>
      <c r="F602" t="s">
        <v>318</v>
      </c>
      <c r="G602">
        <v>26231</v>
      </c>
      <c r="H602">
        <v>2</v>
      </c>
      <c r="J602" s="4" t="s">
        <v>309</v>
      </c>
      <c r="K602">
        <v>30278</v>
      </c>
      <c r="L602">
        <v>3</v>
      </c>
    </row>
    <row r="603" spans="1:12" x14ac:dyDescent="0.25">
      <c r="A603" s="22" t="s">
        <v>71</v>
      </c>
      <c r="B603">
        <v>18000</v>
      </c>
      <c r="C603">
        <v>1</v>
      </c>
      <c r="E603" s="25">
        <v>45413</v>
      </c>
      <c r="F603" t="s">
        <v>330</v>
      </c>
      <c r="G603">
        <v>27000</v>
      </c>
      <c r="H603">
        <v>1</v>
      </c>
      <c r="J603" s="4" t="s">
        <v>310</v>
      </c>
      <c r="K603">
        <v>42632</v>
      </c>
      <c r="L603">
        <v>4</v>
      </c>
    </row>
    <row r="604" spans="1:12" x14ac:dyDescent="0.25">
      <c r="A604" s="3" t="s">
        <v>297</v>
      </c>
      <c r="E604" s="25">
        <v>45413</v>
      </c>
      <c r="F604" t="s">
        <v>318</v>
      </c>
      <c r="G604">
        <v>25230</v>
      </c>
      <c r="H604">
        <v>2</v>
      </c>
      <c r="J604" s="4" t="s">
        <v>311</v>
      </c>
      <c r="K604">
        <v>38620</v>
      </c>
      <c r="L604">
        <v>2</v>
      </c>
    </row>
    <row r="605" spans="1:12" x14ac:dyDescent="0.25">
      <c r="A605" s="4" t="s">
        <v>303</v>
      </c>
      <c r="E605" s="25">
        <v>45444</v>
      </c>
      <c r="F605" t="s">
        <v>318</v>
      </c>
      <c r="G605">
        <v>25231</v>
      </c>
      <c r="H605">
        <v>2</v>
      </c>
      <c r="J605" s="4" t="s">
        <v>312</v>
      </c>
      <c r="K605">
        <v>27502</v>
      </c>
      <c r="L605">
        <v>3</v>
      </c>
    </row>
    <row r="606" spans="1:12" x14ac:dyDescent="0.25">
      <c r="A606" s="22" t="s">
        <v>318</v>
      </c>
      <c r="B606">
        <v>25466</v>
      </c>
      <c r="C606">
        <v>2</v>
      </c>
      <c r="E606" s="25">
        <v>45474</v>
      </c>
      <c r="F606" t="s">
        <v>200</v>
      </c>
      <c r="G606">
        <v>5000</v>
      </c>
      <c r="H606">
        <v>1</v>
      </c>
      <c r="J606" s="4" t="s">
        <v>301</v>
      </c>
      <c r="K606">
        <v>59992</v>
      </c>
      <c r="L606">
        <v>4</v>
      </c>
    </row>
    <row r="607" spans="1:12" x14ac:dyDescent="0.25">
      <c r="A607" s="4" t="s">
        <v>304</v>
      </c>
      <c r="E607" s="25">
        <v>45474</v>
      </c>
      <c r="F607" t="s">
        <v>318</v>
      </c>
      <c r="G607">
        <v>25278</v>
      </c>
      <c r="H607">
        <v>2</v>
      </c>
      <c r="J607" s="4" t="s">
        <v>302</v>
      </c>
      <c r="K607">
        <v>51481</v>
      </c>
      <c r="L607">
        <v>3</v>
      </c>
    </row>
    <row r="608" spans="1:12" x14ac:dyDescent="0.25">
      <c r="A608" s="22" t="s">
        <v>318</v>
      </c>
      <c r="B608">
        <v>25195</v>
      </c>
      <c r="C608">
        <v>2</v>
      </c>
      <c r="E608" s="25">
        <v>45505</v>
      </c>
      <c r="F608" t="s">
        <v>210</v>
      </c>
      <c r="G608">
        <v>5000</v>
      </c>
      <c r="H608">
        <v>1</v>
      </c>
      <c r="J608" s="3" t="s">
        <v>298</v>
      </c>
    </row>
    <row r="609" spans="1:12" x14ac:dyDescent="0.25">
      <c r="A609" s="4" t="s">
        <v>305</v>
      </c>
      <c r="E609" s="25">
        <v>45505</v>
      </c>
      <c r="F609" t="s">
        <v>325</v>
      </c>
      <c r="G609">
        <v>12400</v>
      </c>
      <c r="H609">
        <v>1</v>
      </c>
      <c r="J609" s="4" t="s">
        <v>303</v>
      </c>
      <c r="K609">
        <v>26403</v>
      </c>
      <c r="L609">
        <v>2</v>
      </c>
    </row>
    <row r="610" spans="1:12" x14ac:dyDescent="0.25">
      <c r="A610" s="22" t="s">
        <v>318</v>
      </c>
      <c r="B610">
        <v>25195</v>
      </c>
      <c r="C610">
        <v>2</v>
      </c>
      <c r="E610" s="25">
        <v>45505</v>
      </c>
      <c r="F610" t="s">
        <v>318</v>
      </c>
      <c r="G610">
        <v>25232</v>
      </c>
      <c r="H610">
        <v>2</v>
      </c>
      <c r="J610" s="3" t="s">
        <v>295</v>
      </c>
      <c r="K610">
        <v>619267</v>
      </c>
      <c r="L610">
        <v>44</v>
      </c>
    </row>
    <row r="611" spans="1:12" x14ac:dyDescent="0.25">
      <c r="A611" s="4" t="s">
        <v>306</v>
      </c>
      <c r="E611" s="25">
        <v>45536</v>
      </c>
      <c r="F611" t="s">
        <v>318</v>
      </c>
      <c r="G611">
        <v>38620</v>
      </c>
      <c r="H611">
        <v>2</v>
      </c>
    </row>
    <row r="612" spans="1:12" x14ac:dyDescent="0.25">
      <c r="A612" s="22" t="s">
        <v>147</v>
      </c>
      <c r="B612">
        <v>6000</v>
      </c>
      <c r="C612">
        <v>1</v>
      </c>
      <c r="E612" s="25">
        <v>45566</v>
      </c>
      <c r="F612" t="s">
        <v>231</v>
      </c>
      <c r="G612">
        <v>1021</v>
      </c>
      <c r="H612">
        <v>1</v>
      </c>
    </row>
    <row r="613" spans="1:12" ht="21" x14ac:dyDescent="0.35">
      <c r="A613" s="22" t="s">
        <v>318</v>
      </c>
      <c r="B613">
        <v>26231</v>
      </c>
      <c r="C613">
        <v>2</v>
      </c>
      <c r="E613" s="25">
        <v>45566</v>
      </c>
      <c r="F613" t="s">
        <v>318</v>
      </c>
      <c r="G613">
        <v>26481</v>
      </c>
      <c r="H613">
        <v>2</v>
      </c>
      <c r="J613" s="6" t="s">
        <v>430</v>
      </c>
    </row>
    <row r="614" spans="1:12" x14ac:dyDescent="0.25">
      <c r="A614" s="4" t="s">
        <v>307</v>
      </c>
      <c r="E614" s="25">
        <v>45597</v>
      </c>
      <c r="F614" t="s">
        <v>249</v>
      </c>
      <c r="G614">
        <v>5000</v>
      </c>
      <c r="H614">
        <v>1</v>
      </c>
      <c r="J614" s="2" t="s">
        <v>294</v>
      </c>
      <c r="K614" t="s">
        <v>422</v>
      </c>
    </row>
    <row r="615" spans="1:12" x14ac:dyDescent="0.25">
      <c r="A615" s="22" t="s">
        <v>330</v>
      </c>
      <c r="B615">
        <v>27000</v>
      </c>
      <c r="C615">
        <v>1</v>
      </c>
      <c r="E615" s="25">
        <v>45597</v>
      </c>
      <c r="F615" t="s">
        <v>318</v>
      </c>
      <c r="G615">
        <v>27992</v>
      </c>
      <c r="H615">
        <v>2</v>
      </c>
      <c r="J615" s="34">
        <v>45231</v>
      </c>
      <c r="K615">
        <v>57292</v>
      </c>
    </row>
    <row r="616" spans="1:12" x14ac:dyDescent="0.25">
      <c r="A616" s="22" t="s">
        <v>318</v>
      </c>
      <c r="B616">
        <v>25230</v>
      </c>
      <c r="C616">
        <v>2</v>
      </c>
      <c r="E616" s="25">
        <v>45597</v>
      </c>
      <c r="F616" t="s">
        <v>327</v>
      </c>
      <c r="G616">
        <v>27000</v>
      </c>
      <c r="H616">
        <v>1</v>
      </c>
      <c r="J616" s="4" t="s">
        <v>33</v>
      </c>
      <c r="K616">
        <v>44732</v>
      </c>
    </row>
    <row r="617" spans="1:12" x14ac:dyDescent="0.25">
      <c r="A617" s="4" t="s">
        <v>308</v>
      </c>
      <c r="E617" s="25">
        <v>45627</v>
      </c>
      <c r="F617" t="s">
        <v>326</v>
      </c>
      <c r="G617">
        <v>25000</v>
      </c>
      <c r="H617">
        <v>1</v>
      </c>
      <c r="J617" s="4" t="s">
        <v>17</v>
      </c>
      <c r="K617">
        <v>12560</v>
      </c>
    </row>
    <row r="618" spans="1:12" x14ac:dyDescent="0.25">
      <c r="A618" s="22" t="s">
        <v>318</v>
      </c>
      <c r="B618">
        <v>25231</v>
      </c>
      <c r="C618">
        <v>2</v>
      </c>
      <c r="E618" s="25">
        <v>45627</v>
      </c>
      <c r="F618" t="s">
        <v>318</v>
      </c>
      <c r="G618">
        <v>26481</v>
      </c>
      <c r="H618">
        <v>2</v>
      </c>
      <c r="J618" s="34">
        <v>45261</v>
      </c>
      <c r="K618">
        <v>18000</v>
      </c>
    </row>
    <row r="619" spans="1:12" x14ac:dyDescent="0.25">
      <c r="A619" s="4" t="s">
        <v>309</v>
      </c>
      <c r="E619" s="25">
        <v>45658</v>
      </c>
      <c r="F619" t="s">
        <v>318</v>
      </c>
      <c r="G619">
        <v>26403</v>
      </c>
      <c r="H619">
        <v>2</v>
      </c>
      <c r="J619" s="4" t="s">
        <v>71</v>
      </c>
      <c r="K619">
        <v>18000</v>
      </c>
    </row>
    <row r="620" spans="1:12" x14ac:dyDescent="0.25">
      <c r="A620" s="22" t="s">
        <v>200</v>
      </c>
      <c r="B620">
        <v>5000</v>
      </c>
      <c r="C620">
        <v>1</v>
      </c>
      <c r="J620" s="34">
        <v>45383</v>
      </c>
      <c r="K620">
        <v>6000</v>
      </c>
    </row>
    <row r="621" spans="1:12" x14ac:dyDescent="0.25">
      <c r="A621" s="22" t="s">
        <v>318</v>
      </c>
      <c r="B621">
        <v>25278</v>
      </c>
      <c r="C621">
        <v>2</v>
      </c>
      <c r="J621" s="4" t="s">
        <v>147</v>
      </c>
      <c r="K621">
        <v>6000</v>
      </c>
    </row>
    <row r="622" spans="1:12" x14ac:dyDescent="0.25">
      <c r="A622" s="4" t="s">
        <v>310</v>
      </c>
      <c r="J622" s="34">
        <v>45413</v>
      </c>
      <c r="K622">
        <v>27000</v>
      </c>
    </row>
    <row r="623" spans="1:12" x14ac:dyDescent="0.25">
      <c r="A623" s="22" t="s">
        <v>210</v>
      </c>
      <c r="B623">
        <v>5000</v>
      </c>
      <c r="C623">
        <v>1</v>
      </c>
      <c r="J623" s="4" t="s">
        <v>330</v>
      </c>
      <c r="K623">
        <v>27000</v>
      </c>
    </row>
    <row r="624" spans="1:12" x14ac:dyDescent="0.25">
      <c r="A624" s="22" t="s">
        <v>325</v>
      </c>
      <c r="B624">
        <v>12400</v>
      </c>
      <c r="C624">
        <v>1</v>
      </c>
      <c r="J624" s="34">
        <v>45474</v>
      </c>
      <c r="K624">
        <v>5000</v>
      </c>
    </row>
    <row r="625" spans="1:11" x14ac:dyDescent="0.25">
      <c r="A625" s="22" t="s">
        <v>318</v>
      </c>
      <c r="B625">
        <v>25232</v>
      </c>
      <c r="C625">
        <v>2</v>
      </c>
      <c r="J625" s="4" t="s">
        <v>200</v>
      </c>
      <c r="K625">
        <v>5000</v>
      </c>
    </row>
    <row r="626" spans="1:11" x14ac:dyDescent="0.25">
      <c r="A626" s="4" t="s">
        <v>311</v>
      </c>
      <c r="J626" s="34">
        <v>45505</v>
      </c>
      <c r="K626">
        <v>17400</v>
      </c>
    </row>
    <row r="627" spans="1:11" x14ac:dyDescent="0.25">
      <c r="A627" s="22" t="s">
        <v>318</v>
      </c>
      <c r="B627">
        <v>38620</v>
      </c>
      <c r="C627">
        <v>2</v>
      </c>
      <c r="J627" s="4" t="s">
        <v>210</v>
      </c>
      <c r="K627">
        <v>5000</v>
      </c>
    </row>
    <row r="628" spans="1:11" x14ac:dyDescent="0.25">
      <c r="A628" s="4" t="s">
        <v>312</v>
      </c>
      <c r="J628" s="4" t="s">
        <v>325</v>
      </c>
      <c r="K628">
        <v>12400</v>
      </c>
    </row>
    <row r="629" spans="1:11" x14ac:dyDescent="0.25">
      <c r="A629" s="22" t="s">
        <v>231</v>
      </c>
      <c r="B629">
        <v>1021</v>
      </c>
      <c r="C629">
        <v>1</v>
      </c>
      <c r="J629" s="34">
        <v>45566</v>
      </c>
      <c r="K629">
        <v>1021</v>
      </c>
    </row>
    <row r="630" spans="1:11" x14ac:dyDescent="0.25">
      <c r="A630" s="22" t="s">
        <v>318</v>
      </c>
      <c r="B630">
        <v>26481</v>
      </c>
      <c r="C630">
        <v>2</v>
      </c>
      <c r="J630" s="4" t="s">
        <v>231</v>
      </c>
      <c r="K630">
        <v>1021</v>
      </c>
    </row>
    <row r="631" spans="1:11" x14ac:dyDescent="0.25">
      <c r="A631" s="4" t="s">
        <v>301</v>
      </c>
      <c r="J631" s="34">
        <v>45597</v>
      </c>
      <c r="K631">
        <v>32000</v>
      </c>
    </row>
    <row r="632" spans="1:11" x14ac:dyDescent="0.25">
      <c r="A632" s="22" t="s">
        <v>249</v>
      </c>
      <c r="B632">
        <v>5000</v>
      </c>
      <c r="C632">
        <v>1</v>
      </c>
      <c r="J632" s="4" t="s">
        <v>249</v>
      </c>
      <c r="K632">
        <v>5000</v>
      </c>
    </row>
    <row r="633" spans="1:11" x14ac:dyDescent="0.25">
      <c r="A633" s="22" t="s">
        <v>318</v>
      </c>
      <c r="B633">
        <v>27992</v>
      </c>
      <c r="C633">
        <v>2</v>
      </c>
      <c r="J633" s="4" t="s">
        <v>327</v>
      </c>
      <c r="K633">
        <v>27000</v>
      </c>
    </row>
    <row r="634" spans="1:11" x14ac:dyDescent="0.25">
      <c r="A634" s="22" t="s">
        <v>327</v>
      </c>
      <c r="B634">
        <v>27000</v>
      </c>
      <c r="C634">
        <v>1</v>
      </c>
      <c r="J634" s="34">
        <v>45627</v>
      </c>
      <c r="K634">
        <v>25000</v>
      </c>
    </row>
    <row r="635" spans="1:11" x14ac:dyDescent="0.25">
      <c r="A635" s="4" t="s">
        <v>302</v>
      </c>
      <c r="J635" s="4" t="s">
        <v>326</v>
      </c>
      <c r="K635">
        <v>25000</v>
      </c>
    </row>
    <row r="636" spans="1:11" x14ac:dyDescent="0.25">
      <c r="A636" s="22" t="s">
        <v>326</v>
      </c>
      <c r="B636">
        <v>25000</v>
      </c>
      <c r="C636">
        <v>1</v>
      </c>
      <c r="J636" s="34" t="s">
        <v>295</v>
      </c>
      <c r="K636">
        <v>188713</v>
      </c>
    </row>
    <row r="637" spans="1:11" x14ac:dyDescent="0.25">
      <c r="A637" s="22" t="s">
        <v>318</v>
      </c>
      <c r="B637">
        <v>26481</v>
      </c>
      <c r="C637">
        <v>2</v>
      </c>
    </row>
    <row r="638" spans="1:11" x14ac:dyDescent="0.25">
      <c r="A638" s="3" t="s">
        <v>298</v>
      </c>
    </row>
    <row r="639" spans="1:11" x14ac:dyDescent="0.25">
      <c r="A639" s="4" t="s">
        <v>303</v>
      </c>
    </row>
    <row r="640" spans="1:11" x14ac:dyDescent="0.25">
      <c r="A640" s="22" t="s">
        <v>318</v>
      </c>
      <c r="B640">
        <v>26403</v>
      </c>
      <c r="C640">
        <v>2</v>
      </c>
    </row>
    <row r="641" spans="1:3" x14ac:dyDescent="0.25">
      <c r="A641" s="3" t="s">
        <v>295</v>
      </c>
      <c r="B641">
        <v>619267</v>
      </c>
      <c r="C641">
        <v>44</v>
      </c>
    </row>
  </sheetData>
  <conditionalFormatting sqref="E5:E6">
    <cfRule type="cellIs" dxfId="74" priority="44" operator="equal">
      <formula>0</formula>
    </cfRule>
    <cfRule type="cellIs" dxfId="73" priority="45" operator="lessThan">
      <formula>0</formula>
    </cfRule>
    <cfRule type="cellIs" dxfId="72" priority="46" operator="greaterThan">
      <formula>0</formula>
    </cfRule>
  </conditionalFormatting>
  <conditionalFormatting sqref="E4">
    <cfRule type="cellIs" dxfId="71" priority="41" operator="equal">
      <formula>0</formula>
    </cfRule>
    <cfRule type="cellIs" dxfId="70" priority="42" operator="lessThan">
      <formula>0</formula>
    </cfRule>
    <cfRule type="cellIs" dxfId="69" priority="43" operator="greaterThan">
      <formula>0</formula>
    </cfRule>
  </conditionalFormatting>
  <conditionalFormatting pivot="1">
    <cfRule type="dataBar" priority="40">
      <dataBar>
        <cfvo type="min"/>
        <cfvo type="max"/>
        <color rgb="FF638EC6"/>
      </dataBar>
      <extLst>
        <ext xmlns:x14="http://schemas.microsoft.com/office/spreadsheetml/2009/9/main" uri="{B025F937-C7B1-47D3-B67F-A62EFF666E3E}">
          <x14:id>{4560A70B-FB79-45C1-92BE-F1794695787A}</x14:id>
        </ext>
      </extLst>
    </cfRule>
  </conditionalFormatting>
  <conditionalFormatting pivot="1">
    <cfRule type="dataBar" priority="39">
      <dataBar>
        <cfvo type="min"/>
        <cfvo type="max"/>
        <color rgb="FF638EC6"/>
      </dataBar>
      <extLst>
        <ext xmlns:x14="http://schemas.microsoft.com/office/spreadsheetml/2009/9/main" uri="{B025F937-C7B1-47D3-B67F-A62EFF666E3E}">
          <x14:id>{71D4D72B-DF54-4326-9178-9693083A2253}</x14:id>
        </ext>
      </extLst>
    </cfRule>
  </conditionalFormatting>
  <conditionalFormatting pivot="1" sqref="B77:B118">
    <cfRule type="dataBar" priority="38">
      <dataBar>
        <cfvo type="min"/>
        <cfvo type="max"/>
        <color rgb="FF638EC6"/>
      </dataBar>
      <extLst>
        <ext xmlns:x14="http://schemas.microsoft.com/office/spreadsheetml/2009/9/main" uri="{B025F937-C7B1-47D3-B67F-A62EFF666E3E}">
          <x14:id>{B56D79A2-D97D-4E6B-9FB4-ADB823FE3B65}</x14:id>
        </ext>
      </extLst>
    </cfRule>
  </conditionalFormatting>
  <conditionalFormatting pivot="1" sqref="D77:D118">
    <cfRule type="dataBar" priority="37">
      <dataBar>
        <cfvo type="min"/>
        <cfvo type="max"/>
        <color rgb="FF63C384"/>
      </dataBar>
      <extLst>
        <ext xmlns:x14="http://schemas.microsoft.com/office/spreadsheetml/2009/9/main" uri="{B025F937-C7B1-47D3-B67F-A62EFF666E3E}">
          <x14:id>{2909459A-611E-41EF-9E27-9707882D1F40}</x14:id>
        </ext>
      </extLst>
    </cfRule>
  </conditionalFormatting>
  <conditionalFormatting sqref="G73:G114">
    <cfRule type="dataBar" priority="36">
      <dataBar>
        <cfvo type="min"/>
        <cfvo type="max"/>
        <color rgb="FF638EC6"/>
      </dataBar>
      <extLst>
        <ext xmlns:x14="http://schemas.microsoft.com/office/spreadsheetml/2009/9/main" uri="{B025F937-C7B1-47D3-B67F-A62EFF666E3E}">
          <x14:id>{FA2B7913-F087-4566-9CB4-95591BF78ECF}</x14:id>
        </ext>
      </extLst>
    </cfRule>
  </conditionalFormatting>
  <conditionalFormatting sqref="I73:I114">
    <cfRule type="dataBar" priority="35">
      <dataBar>
        <cfvo type="min"/>
        <cfvo type="max"/>
        <color rgb="FF63C384"/>
      </dataBar>
      <extLst>
        <ext xmlns:x14="http://schemas.microsoft.com/office/spreadsheetml/2009/9/main" uri="{B025F937-C7B1-47D3-B67F-A62EFF666E3E}">
          <x14:id>{9074FA4E-E645-4C2E-A928-ABAC3485E88D}</x14:id>
        </ext>
      </extLst>
    </cfRule>
  </conditionalFormatting>
  <conditionalFormatting pivot="1" sqref="B124:B131">
    <cfRule type="dataBar" priority="32">
      <dataBar>
        <cfvo type="min"/>
        <cfvo type="max"/>
        <color rgb="FF638EC6"/>
      </dataBar>
      <extLst>
        <ext xmlns:x14="http://schemas.microsoft.com/office/spreadsheetml/2009/9/main" uri="{B025F937-C7B1-47D3-B67F-A62EFF666E3E}">
          <x14:id>{2AD0002D-FA81-4FCA-B589-948A1CB97288}</x14:id>
        </ext>
      </extLst>
    </cfRule>
  </conditionalFormatting>
  <conditionalFormatting pivot="1" sqref="D124:D131">
    <cfRule type="dataBar" priority="31">
      <dataBar>
        <cfvo type="min"/>
        <cfvo type="max"/>
        <color rgb="FF638EC6"/>
      </dataBar>
      <extLst>
        <ext xmlns:x14="http://schemas.microsoft.com/office/spreadsheetml/2009/9/main" uri="{B025F937-C7B1-47D3-B67F-A62EFF666E3E}">
          <x14:id>{C9AC28FF-7E0E-4A98-86B4-877A8B5AE9A8}</x14:id>
        </ext>
      </extLst>
    </cfRule>
  </conditionalFormatting>
  <conditionalFormatting pivot="1" sqref="K591:K594 K595 K596:K607 K608 K609">
    <cfRule type="dataBar" priority="30">
      <dataBar>
        <cfvo type="min"/>
        <cfvo type="max"/>
        <color rgb="FF638EC6"/>
      </dataBar>
      <extLst>
        <ext xmlns:x14="http://schemas.microsoft.com/office/spreadsheetml/2009/9/main" uri="{B025F937-C7B1-47D3-B67F-A62EFF666E3E}">
          <x14:id>{C00C7BFA-11C8-4CF9-84CD-CF83D9565127}</x14:id>
        </ext>
      </extLst>
    </cfRule>
  </conditionalFormatting>
  <conditionalFormatting pivot="1" sqref="L591:L594 L595 L596:L607 L608 L609">
    <cfRule type="dataBar" priority="29">
      <dataBar>
        <cfvo type="min"/>
        <cfvo type="max"/>
        <color rgb="FFFFB628"/>
      </dataBar>
      <extLst>
        <ext xmlns:x14="http://schemas.microsoft.com/office/spreadsheetml/2009/9/main" uri="{B025F937-C7B1-47D3-B67F-A62EFF666E3E}">
          <x14:id>{19B4F8E7-889C-4E2B-B57A-2F1A782559DC}</x14:id>
        </ext>
      </extLst>
    </cfRule>
  </conditionalFormatting>
  <conditionalFormatting sqref="G591:G619">
    <cfRule type="dataBar" priority="28">
      <dataBar>
        <cfvo type="min"/>
        <cfvo type="max"/>
        <color rgb="FF63C384"/>
      </dataBar>
      <extLst>
        <ext xmlns:x14="http://schemas.microsoft.com/office/spreadsheetml/2009/9/main" uri="{B025F937-C7B1-47D3-B67F-A62EFF666E3E}">
          <x14:id>{59D18D33-BDD9-40FF-B509-781E7F31DF27}</x14:id>
        </ext>
      </extLst>
    </cfRule>
  </conditionalFormatting>
  <conditionalFormatting sqref="H591:H619">
    <cfRule type="dataBar" priority="26">
      <dataBar>
        <cfvo type="min"/>
        <cfvo type="max"/>
        <color theme="4" tint="0.59999389629810485"/>
      </dataBar>
      <extLst>
        <ext xmlns:x14="http://schemas.microsoft.com/office/spreadsheetml/2009/9/main" uri="{B025F937-C7B1-47D3-B67F-A62EFF666E3E}">
          <x14:id>{ED06F6FE-CC39-4606-BA1B-741D9B163681}</x14:id>
        </ext>
      </extLst>
    </cfRule>
  </conditionalFormatting>
  <conditionalFormatting pivot="1" sqref="I577:I579 I582:I584">
    <cfRule type="dataBar" priority="25">
      <dataBar>
        <cfvo type="min"/>
        <cfvo type="max"/>
        <color rgb="FF638EC6"/>
      </dataBar>
      <extLst>
        <ext xmlns:x14="http://schemas.microsoft.com/office/spreadsheetml/2009/9/main" uri="{B025F937-C7B1-47D3-B67F-A62EFF666E3E}">
          <x14:id>{54D58172-C61D-4455-AD9B-F92E9FFB3050}</x14:id>
        </ext>
      </extLst>
    </cfRule>
  </conditionalFormatting>
  <conditionalFormatting pivot="1" sqref="K615 K618 K620 K622 K624 K626 K629 K631 K634">
    <cfRule type="dataBar" priority="21">
      <dataBar>
        <cfvo type="min"/>
        <cfvo type="max"/>
        <color rgb="FFFF555A"/>
      </dataBar>
      <extLst>
        <ext xmlns:x14="http://schemas.microsoft.com/office/spreadsheetml/2009/9/main" uri="{B025F937-C7B1-47D3-B67F-A62EFF666E3E}">
          <x14:id>{982F5AD9-0014-4CD0-B332-6807E729FCA5}</x14:id>
        </ext>
      </extLst>
    </cfRule>
  </conditionalFormatting>
  <conditionalFormatting pivot="1" sqref="K616:K617 K619 K621 K623 K625 K627:K628 K630 K632:K633 K635">
    <cfRule type="dataBar" priority="20">
      <dataBar>
        <cfvo type="min"/>
        <cfvo type="max"/>
        <color rgb="FF63C384"/>
      </dataBar>
      <extLst>
        <ext xmlns:x14="http://schemas.microsoft.com/office/spreadsheetml/2009/9/main" uri="{B025F937-C7B1-47D3-B67F-A62EFF666E3E}">
          <x14:id>{BC1DC7F9-DD25-44D6-A4DC-4AEFF24543D8}</x14:id>
        </ext>
      </extLst>
    </cfRule>
  </conditionalFormatting>
  <conditionalFormatting pivot="1" sqref="B240:B393 D240:D393 F240:F393">
    <cfRule type="dataBar" priority="19">
      <dataBar>
        <cfvo type="min"/>
        <cfvo type="max"/>
        <color rgb="FF638EC6"/>
      </dataBar>
      <extLst>
        <ext xmlns:x14="http://schemas.microsoft.com/office/spreadsheetml/2009/9/main" uri="{B025F937-C7B1-47D3-B67F-A62EFF666E3E}">
          <x14:id>{87F3A1F7-3546-4B40-8F3E-4AC04D887B19}</x14:id>
        </ext>
      </extLst>
    </cfRule>
  </conditionalFormatting>
  <conditionalFormatting pivot="1" sqref="K261:K265">
    <cfRule type="dataBar" priority="12">
      <dataBar>
        <cfvo type="min"/>
        <cfvo type="max"/>
        <color rgb="FF638EC6"/>
      </dataBar>
      <extLst>
        <ext xmlns:x14="http://schemas.microsoft.com/office/spreadsheetml/2009/9/main" uri="{B025F937-C7B1-47D3-B67F-A62EFF666E3E}">
          <x14:id>{ED5446DB-C2E6-4564-B787-9AC79C473FCD}</x14:id>
        </ext>
      </extLst>
    </cfRule>
  </conditionalFormatting>
  <conditionalFormatting sqref="L237:L256">
    <cfRule type="dataBar" priority="11">
      <dataBar>
        <cfvo type="min"/>
        <cfvo type="max"/>
        <color rgb="FF638EC6"/>
      </dataBar>
      <extLst>
        <ext xmlns:x14="http://schemas.microsoft.com/office/spreadsheetml/2009/9/main" uri="{B025F937-C7B1-47D3-B67F-A62EFF666E3E}">
          <x14:id>{2A745AE1-9571-4021-B0C1-6CC5012EFCAD}</x14:id>
        </ext>
      </extLst>
    </cfRule>
  </conditionalFormatting>
  <conditionalFormatting sqref="J237:J256">
    <cfRule type="dataBar" priority="10">
      <dataBar>
        <cfvo type="min"/>
        <cfvo type="max"/>
        <color rgb="FF638EC6"/>
      </dataBar>
      <extLst>
        <ext xmlns:x14="http://schemas.microsoft.com/office/spreadsheetml/2009/9/main" uri="{B025F937-C7B1-47D3-B67F-A62EFF666E3E}">
          <x14:id>{89FC06EE-06D9-4FFE-91BF-8532AB5EA1E4}</x14:id>
        </ext>
      </extLst>
    </cfRule>
  </conditionalFormatting>
  <conditionalFormatting sqref="M237:M256">
    <cfRule type="dataBar" priority="9">
      <dataBar>
        <cfvo type="min"/>
        <cfvo type="max"/>
        <color rgb="FF638EC6"/>
      </dataBar>
      <extLst>
        <ext xmlns:x14="http://schemas.microsoft.com/office/spreadsheetml/2009/9/main" uri="{B025F937-C7B1-47D3-B67F-A62EFF666E3E}">
          <x14:id>{8277F90C-E071-4166-9E79-CD9E05FF7B1A}</x14:id>
        </ext>
      </extLst>
    </cfRule>
  </conditionalFormatting>
  <conditionalFormatting sqref="K237:K256">
    <cfRule type="dataBar" priority="8">
      <dataBar>
        <cfvo type="min"/>
        <cfvo type="max"/>
        <color rgb="FFFFB628"/>
      </dataBar>
      <extLst>
        <ext xmlns:x14="http://schemas.microsoft.com/office/spreadsheetml/2009/9/main" uri="{B025F937-C7B1-47D3-B67F-A62EFF666E3E}">
          <x14:id>{2D7C987E-C733-48C2-858D-CCCAF47E9C72}</x14:id>
        </ext>
      </extLst>
    </cfRule>
  </conditionalFormatting>
  <conditionalFormatting sqref="P237:P256">
    <cfRule type="dataBar" priority="7">
      <dataBar>
        <cfvo type="min"/>
        <cfvo type="max"/>
        <color rgb="FF638EC6"/>
      </dataBar>
      <extLst>
        <ext xmlns:x14="http://schemas.microsoft.com/office/spreadsheetml/2009/9/main" uri="{B025F937-C7B1-47D3-B67F-A62EFF666E3E}">
          <x14:id>{42BA2018-EC34-4E1B-B725-AEF9E94E1E4D}</x14:id>
        </ext>
      </extLst>
    </cfRule>
  </conditionalFormatting>
  <conditionalFormatting sqref="M445:M448">
    <cfRule type="dataBar" priority="6">
      <dataBar>
        <cfvo type="min"/>
        <cfvo type="max"/>
        <color rgb="FF638EC6"/>
      </dataBar>
      <extLst>
        <ext xmlns:x14="http://schemas.microsoft.com/office/spreadsheetml/2009/9/main" uri="{B025F937-C7B1-47D3-B67F-A62EFF666E3E}">
          <x14:id>{A264DE3A-E1E9-4C7B-81A7-09A1AF697DF6}</x14:id>
        </ext>
      </extLst>
    </cfRule>
  </conditionalFormatting>
  <conditionalFormatting sqref="L445:L448">
    <cfRule type="dataBar" priority="5">
      <dataBar>
        <cfvo type="min"/>
        <cfvo type="max"/>
        <color rgb="FF63C384"/>
      </dataBar>
      <extLst>
        <ext xmlns:x14="http://schemas.microsoft.com/office/spreadsheetml/2009/9/main" uri="{B025F937-C7B1-47D3-B67F-A62EFF666E3E}">
          <x14:id>{7AB88E8C-EC5F-4EED-905A-F1D5B7889A8E}</x14:id>
        </ext>
      </extLst>
    </cfRule>
  </conditionalFormatting>
  <conditionalFormatting sqref="C4:C6">
    <cfRule type="dataBar" priority="3">
      <dataBar>
        <cfvo type="min"/>
        <cfvo type="max"/>
        <color rgb="FF63C384"/>
      </dataBar>
      <extLst>
        <ext xmlns:x14="http://schemas.microsoft.com/office/spreadsheetml/2009/9/main" uri="{B025F937-C7B1-47D3-B67F-A62EFF666E3E}">
          <x14:id>{6122C645-30C9-4904-A535-116283DD5E3D}</x14:id>
        </ext>
      </extLst>
    </cfRule>
  </conditionalFormatting>
  <conditionalFormatting sqref="F4:F6">
    <cfRule type="dataBar" priority="2">
      <dataBar>
        <cfvo type="min"/>
        <cfvo type="max"/>
        <color rgb="FF63C384"/>
      </dataBar>
      <extLst>
        <ext xmlns:x14="http://schemas.microsoft.com/office/spreadsheetml/2009/9/main" uri="{B025F937-C7B1-47D3-B67F-A62EFF666E3E}">
          <x14:id>{090FAFEB-C7E4-4989-9F88-9C311B40F1CC}</x14:id>
        </ext>
      </extLst>
    </cfRule>
  </conditionalFormatting>
  <conditionalFormatting sqref="B4:B6">
    <cfRule type="dataBar" priority="1">
      <dataBar>
        <cfvo type="min"/>
        <cfvo type="max"/>
        <color rgb="FF63C384"/>
      </dataBar>
      <extLst>
        <ext xmlns:x14="http://schemas.microsoft.com/office/spreadsheetml/2009/9/main" uri="{B025F937-C7B1-47D3-B67F-A62EFF666E3E}">
          <x14:id>{1529E923-5164-4A7E-B64C-3634EAF50AB5}</x14:id>
        </ext>
      </extLst>
    </cfRule>
  </conditionalFormatting>
  <hyperlinks>
    <hyperlink ref="B1" location="Dashboard!A1" display="Dashboard" xr:uid="{188A2688-7F15-4FA0-8FFA-8A62E4A1ECF5}"/>
    <hyperlink ref="C1" location="Findings!A1" display="Findings" xr:uid="{B88CF7CE-EBEE-4990-8B2D-2E1A5A02620B}"/>
    <hyperlink ref="D1" location="'Pivot &amp; derived tables'!A1" display="Pivot &amp; Derived Tables" xr:uid="{5F2FEBAE-5113-4F79-8048-30FCDF44D8E7}"/>
    <hyperlink ref="E1" location="'Analysis &amp; Diagnostics'!A1" display="Analysis &amp; Diagnosis" xr:uid="{5BD22439-64B1-4E69-9F7E-D8F4433224D4}"/>
    <hyperlink ref="F1" location="data_visualization!A1" display="Data Visualization" xr:uid="{EBE404AE-0B75-4812-8A66-6B8C6B22D990}"/>
    <hyperlink ref="G1" location="cleaned_source_dataset!A1" display="Cleaned Data" xr:uid="{FFD31A26-6C09-49A1-B403-095EB4E9E5ED}"/>
    <hyperlink ref="H1" location="personal_finance_data!A1" display="Raw Data Source" xr:uid="{6C5C6664-5F97-4932-8E8B-41927C50E461}"/>
  </hyperlinks>
  <pageMargins left="0.7" right="0.7" top="0.75" bottom="0.75" header="0.3" footer="0.3"/>
  <drawing r:id="rId14"/>
  <legacyDrawing r:id="rId15"/>
  <tableParts count="17">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extLst>
    <ext xmlns:x14="http://schemas.microsoft.com/office/spreadsheetml/2009/9/main" uri="{78C0D931-6437-407d-A8EE-F0AAD7539E65}">
      <x14:conditionalFormattings>
        <x14:conditionalFormatting xmlns:xm="http://schemas.microsoft.com/office/excel/2006/main" pivot="1">
          <x14:cfRule type="dataBar" id="{4560A70B-FB79-45C1-92BE-F1794695787A}">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71D4D72B-DF54-4326-9178-9693083A2253}">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B56D79A2-D97D-4E6B-9FB4-ADB823FE3B65}">
            <x14:dataBar minLength="0" maxLength="100" gradient="0">
              <x14:cfvo type="autoMin"/>
              <x14:cfvo type="autoMax"/>
              <x14:negativeFillColor rgb="FFFF0000"/>
              <x14:axisColor rgb="FF000000"/>
            </x14:dataBar>
          </x14:cfRule>
          <xm:sqref>B77:B118</xm:sqref>
        </x14:conditionalFormatting>
        <x14:conditionalFormatting xmlns:xm="http://schemas.microsoft.com/office/excel/2006/main" pivot="1">
          <x14:cfRule type="dataBar" id="{2909459A-611E-41EF-9E27-9707882D1F40}">
            <x14:dataBar minLength="0" maxLength="100" gradient="0">
              <x14:cfvo type="autoMin"/>
              <x14:cfvo type="autoMax"/>
              <x14:negativeFillColor rgb="FFFF0000"/>
              <x14:axisColor rgb="FF000000"/>
            </x14:dataBar>
          </x14:cfRule>
          <xm:sqref>D77:D118</xm:sqref>
        </x14:conditionalFormatting>
        <x14:conditionalFormatting xmlns:xm="http://schemas.microsoft.com/office/excel/2006/main">
          <x14:cfRule type="dataBar" id="{FA2B7913-F087-4566-9CB4-95591BF78ECF}">
            <x14:dataBar minLength="0" maxLength="100" gradient="0">
              <x14:cfvo type="autoMin"/>
              <x14:cfvo type="autoMax"/>
              <x14:negativeFillColor rgb="FFFF0000"/>
              <x14:axisColor rgb="FF000000"/>
            </x14:dataBar>
          </x14:cfRule>
          <xm:sqref>G73:G114</xm:sqref>
        </x14:conditionalFormatting>
        <x14:conditionalFormatting xmlns:xm="http://schemas.microsoft.com/office/excel/2006/main">
          <x14:cfRule type="dataBar" id="{9074FA4E-E645-4C2E-A928-ABAC3485E88D}">
            <x14:dataBar minLength="0" maxLength="100" gradient="0">
              <x14:cfvo type="autoMin"/>
              <x14:cfvo type="autoMax"/>
              <x14:negativeFillColor rgb="FFFF0000"/>
              <x14:axisColor rgb="FF000000"/>
            </x14:dataBar>
          </x14:cfRule>
          <xm:sqref>I73:I114</xm:sqref>
        </x14:conditionalFormatting>
        <x14:conditionalFormatting xmlns:xm="http://schemas.microsoft.com/office/excel/2006/main" pivot="1">
          <x14:cfRule type="dataBar" id="{2AD0002D-FA81-4FCA-B589-948A1CB97288}">
            <x14:dataBar minLength="0" maxLength="100" gradient="0">
              <x14:cfvo type="autoMin"/>
              <x14:cfvo type="autoMax"/>
              <x14:negativeFillColor rgb="FFFF0000"/>
              <x14:axisColor rgb="FF000000"/>
            </x14:dataBar>
          </x14:cfRule>
          <xm:sqref>B124:B131</xm:sqref>
        </x14:conditionalFormatting>
        <x14:conditionalFormatting xmlns:xm="http://schemas.microsoft.com/office/excel/2006/main" pivot="1">
          <x14:cfRule type="dataBar" id="{C9AC28FF-7E0E-4A98-86B4-877A8B5AE9A8}">
            <x14:dataBar minLength="0" maxLength="100" gradient="0">
              <x14:cfvo type="autoMin"/>
              <x14:cfvo type="autoMax"/>
              <x14:negativeFillColor rgb="FFFF0000"/>
              <x14:axisColor rgb="FF000000"/>
            </x14:dataBar>
          </x14:cfRule>
          <xm:sqref>D124:D131</xm:sqref>
        </x14:conditionalFormatting>
        <x14:conditionalFormatting xmlns:xm="http://schemas.microsoft.com/office/excel/2006/main" pivot="1">
          <x14:cfRule type="dataBar" id="{C00C7BFA-11C8-4CF9-84CD-CF83D9565127}">
            <x14:dataBar minLength="0" maxLength="100" gradient="0">
              <x14:cfvo type="autoMin"/>
              <x14:cfvo type="autoMax"/>
              <x14:negativeFillColor rgb="FFFF0000"/>
              <x14:axisColor rgb="FF000000"/>
            </x14:dataBar>
          </x14:cfRule>
          <xm:sqref>K591:K594 K595 K596:K607 K608 K609</xm:sqref>
        </x14:conditionalFormatting>
        <x14:conditionalFormatting xmlns:xm="http://schemas.microsoft.com/office/excel/2006/main" pivot="1">
          <x14:cfRule type="dataBar" id="{19B4F8E7-889C-4E2B-B57A-2F1A782559DC}">
            <x14:dataBar minLength="0" maxLength="100" gradient="0">
              <x14:cfvo type="autoMin"/>
              <x14:cfvo type="autoMax"/>
              <x14:negativeFillColor rgb="FFFF0000"/>
              <x14:axisColor rgb="FF000000"/>
            </x14:dataBar>
          </x14:cfRule>
          <xm:sqref>L591:L594 L595 L596:L607 L608 L609</xm:sqref>
        </x14:conditionalFormatting>
        <x14:conditionalFormatting xmlns:xm="http://schemas.microsoft.com/office/excel/2006/main">
          <x14:cfRule type="dataBar" id="{59D18D33-BDD9-40FF-B509-781E7F31DF27}">
            <x14:dataBar minLength="0" maxLength="100" gradient="0">
              <x14:cfvo type="autoMin"/>
              <x14:cfvo type="autoMax"/>
              <x14:negativeFillColor rgb="FFFF0000"/>
              <x14:axisColor rgb="FF000000"/>
            </x14:dataBar>
          </x14:cfRule>
          <xm:sqref>G591:G619</xm:sqref>
        </x14:conditionalFormatting>
        <x14:conditionalFormatting xmlns:xm="http://schemas.microsoft.com/office/excel/2006/main">
          <x14:cfRule type="dataBar" id="{ED06F6FE-CC39-4606-BA1B-741D9B163681}">
            <x14:dataBar minLength="0" maxLength="100" gradient="0">
              <x14:cfvo type="autoMin"/>
              <x14:cfvo type="autoMax"/>
              <x14:negativeFillColor rgb="FFFF0000"/>
              <x14:axisColor rgb="FF000000"/>
            </x14:dataBar>
          </x14:cfRule>
          <xm:sqref>H591:H619</xm:sqref>
        </x14:conditionalFormatting>
        <x14:conditionalFormatting xmlns:xm="http://schemas.microsoft.com/office/excel/2006/main" pivot="1">
          <x14:cfRule type="dataBar" id="{54D58172-C61D-4455-AD9B-F92E9FFB3050}">
            <x14:dataBar minLength="0" maxLength="100" gradient="0">
              <x14:cfvo type="autoMin"/>
              <x14:cfvo type="autoMax"/>
              <x14:negativeFillColor rgb="FFFF0000"/>
              <x14:axisColor rgb="FF000000"/>
            </x14:dataBar>
          </x14:cfRule>
          <xm:sqref>I577:I579 I582:I584</xm:sqref>
        </x14:conditionalFormatting>
        <x14:conditionalFormatting xmlns:xm="http://schemas.microsoft.com/office/excel/2006/main" pivot="1">
          <x14:cfRule type="dataBar" id="{982F5AD9-0014-4CD0-B332-6807E729FCA5}">
            <x14:dataBar minLength="0" maxLength="100" gradient="0">
              <x14:cfvo type="autoMin"/>
              <x14:cfvo type="autoMax"/>
              <x14:negativeFillColor rgb="FFFF0000"/>
              <x14:axisColor rgb="FF000000"/>
            </x14:dataBar>
          </x14:cfRule>
          <xm:sqref>K615 K618 K620 K622 K624 K626 K629 K631 K634</xm:sqref>
        </x14:conditionalFormatting>
        <x14:conditionalFormatting xmlns:xm="http://schemas.microsoft.com/office/excel/2006/main" pivot="1">
          <x14:cfRule type="dataBar" id="{BC1DC7F9-DD25-44D6-A4DC-4AEFF24543D8}">
            <x14:dataBar minLength="0" maxLength="100" gradient="0">
              <x14:cfvo type="autoMin"/>
              <x14:cfvo type="autoMax"/>
              <x14:negativeFillColor rgb="FFFF0000"/>
              <x14:axisColor rgb="FF000000"/>
            </x14:dataBar>
          </x14:cfRule>
          <xm:sqref>K616:K617 K619 K621 K623 K625 K627:K628 K630 K632:K633 K635</xm:sqref>
        </x14:conditionalFormatting>
        <x14:conditionalFormatting xmlns:xm="http://schemas.microsoft.com/office/excel/2006/main" pivot="1">
          <x14:cfRule type="dataBar" id="{87F3A1F7-3546-4B40-8F3E-4AC04D887B19}">
            <x14:dataBar minLength="0" maxLength="100" gradient="0">
              <x14:cfvo type="autoMin"/>
              <x14:cfvo type="autoMax"/>
              <x14:negativeFillColor rgb="FFFF0000"/>
              <x14:axisColor rgb="FF000000"/>
            </x14:dataBar>
          </x14:cfRule>
          <xm:sqref>B240:B393 D240:D393 F240:F393</xm:sqref>
        </x14:conditionalFormatting>
        <x14:conditionalFormatting xmlns:xm="http://schemas.microsoft.com/office/excel/2006/main" pivot="1">
          <x14:cfRule type="dataBar" id="{ED5446DB-C2E6-4564-B787-9AC79C473FCD}">
            <x14:dataBar minLength="0" maxLength="100" gradient="0">
              <x14:cfvo type="autoMin"/>
              <x14:cfvo type="autoMax"/>
              <x14:negativeFillColor rgb="FFFF0000"/>
              <x14:axisColor rgb="FF000000"/>
            </x14:dataBar>
          </x14:cfRule>
          <xm:sqref>K261:K265</xm:sqref>
        </x14:conditionalFormatting>
        <x14:conditionalFormatting xmlns:xm="http://schemas.microsoft.com/office/excel/2006/main">
          <x14:cfRule type="dataBar" id="{2A745AE1-9571-4021-B0C1-6CC5012EFCAD}">
            <x14:dataBar minLength="0" maxLength="100" gradient="0">
              <x14:cfvo type="autoMin"/>
              <x14:cfvo type="autoMax"/>
              <x14:negativeFillColor rgb="FFFF0000"/>
              <x14:axisColor rgb="FF000000"/>
            </x14:dataBar>
          </x14:cfRule>
          <xm:sqref>L237:L256</xm:sqref>
        </x14:conditionalFormatting>
        <x14:conditionalFormatting xmlns:xm="http://schemas.microsoft.com/office/excel/2006/main">
          <x14:cfRule type="dataBar" id="{89FC06EE-06D9-4FFE-91BF-8532AB5EA1E4}">
            <x14:dataBar minLength="0" maxLength="100" gradient="0">
              <x14:cfvo type="autoMin"/>
              <x14:cfvo type="autoMax"/>
              <x14:negativeFillColor rgb="FFFF0000"/>
              <x14:axisColor rgb="FF000000"/>
            </x14:dataBar>
          </x14:cfRule>
          <xm:sqref>J237:J256</xm:sqref>
        </x14:conditionalFormatting>
        <x14:conditionalFormatting xmlns:xm="http://schemas.microsoft.com/office/excel/2006/main">
          <x14:cfRule type="dataBar" id="{8277F90C-E071-4166-9E79-CD9E05FF7B1A}">
            <x14:dataBar minLength="0" maxLength="100" gradient="0">
              <x14:cfvo type="autoMin"/>
              <x14:cfvo type="autoMax"/>
              <x14:negativeFillColor rgb="FFFF0000"/>
              <x14:axisColor rgb="FF000000"/>
            </x14:dataBar>
          </x14:cfRule>
          <xm:sqref>M237:M256</xm:sqref>
        </x14:conditionalFormatting>
        <x14:conditionalFormatting xmlns:xm="http://schemas.microsoft.com/office/excel/2006/main">
          <x14:cfRule type="dataBar" id="{2D7C987E-C733-48C2-858D-CCCAF47E9C72}">
            <x14:dataBar minLength="0" maxLength="100" border="1" negativeBarBorderColorSameAsPositive="0">
              <x14:cfvo type="autoMin"/>
              <x14:cfvo type="autoMax"/>
              <x14:borderColor rgb="FFFFB628"/>
              <x14:negativeFillColor rgb="FFFF0000"/>
              <x14:negativeBorderColor rgb="FFFF0000"/>
              <x14:axisColor rgb="FF000000"/>
            </x14:dataBar>
          </x14:cfRule>
          <xm:sqref>K237:K256</xm:sqref>
        </x14:conditionalFormatting>
        <x14:conditionalFormatting xmlns:xm="http://schemas.microsoft.com/office/excel/2006/main">
          <x14:cfRule type="dataBar" id="{42BA2018-EC34-4E1B-B725-AEF9E94E1E4D}">
            <x14:dataBar minLength="0" maxLength="100" gradient="0">
              <x14:cfvo type="autoMin"/>
              <x14:cfvo type="autoMax"/>
              <x14:negativeFillColor rgb="FFFF0000"/>
              <x14:axisColor rgb="FF000000"/>
            </x14:dataBar>
          </x14:cfRule>
          <xm:sqref>P237:P256</xm:sqref>
        </x14:conditionalFormatting>
        <x14:conditionalFormatting xmlns:xm="http://schemas.microsoft.com/office/excel/2006/main">
          <x14:cfRule type="dataBar" id="{A264DE3A-E1E9-4C7B-81A7-09A1AF697DF6}">
            <x14:dataBar minLength="0" maxLength="100" gradient="0">
              <x14:cfvo type="autoMin"/>
              <x14:cfvo type="autoMax"/>
              <x14:negativeFillColor rgb="FFFF0000"/>
              <x14:axisColor rgb="FF000000"/>
            </x14:dataBar>
          </x14:cfRule>
          <xm:sqref>M445:M448</xm:sqref>
        </x14:conditionalFormatting>
        <x14:conditionalFormatting xmlns:xm="http://schemas.microsoft.com/office/excel/2006/main">
          <x14:cfRule type="dataBar" id="{7AB88E8C-EC5F-4EED-905A-F1D5B7889A8E}">
            <x14:dataBar minLength="0" maxLength="100" gradient="0">
              <x14:cfvo type="autoMin"/>
              <x14:cfvo type="autoMax"/>
              <x14:negativeFillColor rgb="FFFF0000"/>
              <x14:axisColor rgb="FF000000"/>
            </x14:dataBar>
          </x14:cfRule>
          <xm:sqref>L445:L448</xm:sqref>
        </x14:conditionalFormatting>
        <x14:conditionalFormatting xmlns:xm="http://schemas.microsoft.com/office/excel/2006/main">
          <x14:cfRule type="dataBar" id="{6122C645-30C9-4904-A535-116283DD5E3D}">
            <x14:dataBar minLength="0" maxLength="100" gradient="0">
              <x14:cfvo type="autoMin"/>
              <x14:cfvo type="autoMax"/>
              <x14:negativeFillColor rgb="FFFF0000"/>
              <x14:axisColor rgb="FF000000"/>
            </x14:dataBar>
          </x14:cfRule>
          <xm:sqref>C4:C6</xm:sqref>
        </x14:conditionalFormatting>
        <x14:conditionalFormatting xmlns:xm="http://schemas.microsoft.com/office/excel/2006/main">
          <x14:cfRule type="dataBar" id="{090FAFEB-C7E4-4989-9F88-9C311B40F1CC}">
            <x14:dataBar minLength="0" maxLength="100" gradient="0">
              <x14:cfvo type="autoMin"/>
              <x14:cfvo type="autoMax"/>
              <x14:negativeFillColor rgb="FFFF0000"/>
              <x14:axisColor rgb="FF000000"/>
            </x14:dataBar>
          </x14:cfRule>
          <xm:sqref>F4:F6</xm:sqref>
        </x14:conditionalFormatting>
        <x14:conditionalFormatting xmlns:xm="http://schemas.microsoft.com/office/excel/2006/main">
          <x14:cfRule type="dataBar" id="{1529E923-5164-4A7E-B64C-3634EAF50AB5}">
            <x14:dataBar minLength="0" maxLength="100" border="1" negativeBarBorderColorSameAsPositive="0">
              <x14:cfvo type="autoMin"/>
              <x14:cfvo type="autoMax"/>
              <x14:borderColor rgb="FF63C384"/>
              <x14:negativeFillColor rgb="FFFF0000"/>
              <x14:negativeBorderColor rgb="FFFF0000"/>
              <x14:axisColor rgb="FF000000"/>
            </x14:dataBar>
          </x14:cfRule>
          <xm:sqref>B4:B6</xm:sqref>
        </x14:conditionalFormatting>
      </x14:conditionalFormattings>
    </ext>
    <ext xmlns:x14="http://schemas.microsoft.com/office/spreadsheetml/2009/9/main" uri="{A8765BA9-456A-4dab-B4F3-ACF838C121DE}">
      <x14:slicerList>
        <x14:slicer r:id="rId3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9648C-7F2D-4165-A32C-234A6DD0574C}">
  <dimension ref="A1:I1"/>
  <sheetViews>
    <sheetView zoomScaleNormal="100" workbookViewId="0">
      <pane ySplit="1" topLeftCell="A2" activePane="bottomLeft" state="frozen"/>
      <selection pane="bottomLeft" activeCell="E1" sqref="E1"/>
    </sheetView>
  </sheetViews>
  <sheetFormatPr defaultRowHeight="15" x14ac:dyDescent="0.25"/>
  <cols>
    <col min="1" max="1" width="16.42578125" customWidth="1"/>
    <col min="2" max="2" width="14.7109375" customWidth="1"/>
    <col min="3" max="3" width="17.7109375" customWidth="1"/>
    <col min="4" max="4" width="19" customWidth="1"/>
    <col min="5" max="5" width="18.5703125" customWidth="1"/>
    <col min="6" max="6" width="18" customWidth="1"/>
    <col min="7" max="7" width="16.28515625" customWidth="1"/>
    <col min="8" max="8" width="14.28515625" customWidth="1"/>
  </cols>
  <sheetData>
    <row r="1" spans="1:9" s="38" customFormat="1" ht="37.5" customHeight="1" x14ac:dyDescent="0.25">
      <c r="A1" s="39" t="s">
        <v>431</v>
      </c>
      <c r="B1" s="36" t="s">
        <v>432</v>
      </c>
      <c r="C1" s="36" t="s">
        <v>433</v>
      </c>
      <c r="D1" s="36" t="s">
        <v>434</v>
      </c>
      <c r="E1" s="36" t="s">
        <v>435</v>
      </c>
      <c r="F1" s="36" t="s">
        <v>436</v>
      </c>
      <c r="G1" s="36" t="s">
        <v>437</v>
      </c>
      <c r="H1" s="36" t="s">
        <v>438</v>
      </c>
      <c r="I1" s="37"/>
    </row>
  </sheetData>
  <hyperlinks>
    <hyperlink ref="B1" location="Dashboard!A1" display="Dashboard" xr:uid="{8DD1F78D-8457-485C-B4CC-234301D55095}"/>
    <hyperlink ref="C1" location="Findings!A1" display="Findings" xr:uid="{0F50DC96-4CC7-4EAC-A820-57E316DB1AF1}"/>
    <hyperlink ref="D1" location="'Pivot &amp; derived tables'!A1" display="Pivot &amp; Derived Tables" xr:uid="{20CD2950-6C96-42B0-A41C-864E739F2F68}"/>
    <hyperlink ref="E1" location="'Analysis &amp; Diagnostics'!A1" display="Analysis &amp; Diagnosis" xr:uid="{607D8144-559C-4281-9737-FF8A13B8B9BF}"/>
    <hyperlink ref="F1" location="data_visualization!A1" display="Data Visualization" xr:uid="{EB6F4E2C-878A-4921-9368-32AD05D810D4}"/>
    <hyperlink ref="G1" location="cleaned_source_dataset!A1" display="Cleaned Data" xr:uid="{991B9F47-BDF6-4FA0-B294-56CC4F552E99}"/>
    <hyperlink ref="H1" location="personal_finance_data!A1" display="Raw Data Source" xr:uid="{75B4888D-CB8B-44B2-B337-DEAFB632EB08}"/>
  </hyperlinks>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9F5AA-076D-4AA1-8089-3F5EC12D97F4}">
  <dimension ref="A1:I672"/>
  <sheetViews>
    <sheetView workbookViewId="0">
      <selection activeCell="M566" sqref="M566"/>
    </sheetView>
  </sheetViews>
  <sheetFormatPr defaultRowHeight="15" x14ac:dyDescent="0.25"/>
  <cols>
    <col min="2" max="2" width="10.42578125" customWidth="1"/>
    <col min="9" max="9" width="13.7109375" customWidth="1"/>
  </cols>
  <sheetData>
    <row r="1" spans="1:9" x14ac:dyDescent="0.25">
      <c r="A1" t="s">
        <v>0</v>
      </c>
      <c r="B1" t="s">
        <v>1</v>
      </c>
      <c r="C1" t="s">
        <v>2</v>
      </c>
      <c r="D1" t="s">
        <v>3</v>
      </c>
      <c r="E1" t="s">
        <v>4</v>
      </c>
      <c r="F1" t="s">
        <v>5</v>
      </c>
      <c r="G1" t="s">
        <v>292</v>
      </c>
      <c r="H1" t="s">
        <v>293</v>
      </c>
      <c r="I1" t="s">
        <v>317</v>
      </c>
    </row>
    <row r="2" spans="1:9" hidden="1" x14ac:dyDescent="0.25">
      <c r="A2">
        <v>1</v>
      </c>
      <c r="B2" s="1">
        <v>45183</v>
      </c>
      <c r="C2" t="s">
        <v>6</v>
      </c>
      <c r="D2">
        <v>17732</v>
      </c>
      <c r="E2" t="s">
        <v>7</v>
      </c>
      <c r="F2" t="s">
        <v>8</v>
      </c>
      <c r="G2">
        <f>MONTH(cleaned_personal_finance_data15[[#This Row],[date]])</f>
        <v>9</v>
      </c>
      <c r="H2">
        <f>YEAR(cleaned_personal_finance_data15[[#This Row],[date]])</f>
        <v>2023</v>
      </c>
      <c r="I2" t="s">
        <v>318</v>
      </c>
    </row>
    <row r="3" spans="1:9" hidden="1" x14ac:dyDescent="0.25">
      <c r="A3">
        <v>2</v>
      </c>
      <c r="B3" s="1">
        <v>45208</v>
      </c>
      <c r="C3" t="s">
        <v>6</v>
      </c>
      <c r="D3">
        <v>12754</v>
      </c>
      <c r="E3" t="s">
        <v>7</v>
      </c>
      <c r="F3" t="s">
        <v>8</v>
      </c>
      <c r="G3">
        <f>MONTH(cleaned_personal_finance_data15[[#This Row],[date]])</f>
        <v>10</v>
      </c>
      <c r="H3">
        <f>YEAR(cleaned_personal_finance_data15[[#This Row],[date]])</f>
        <v>2023</v>
      </c>
      <c r="I3" t="s">
        <v>318</v>
      </c>
    </row>
    <row r="4" spans="1:9" hidden="1" x14ac:dyDescent="0.25">
      <c r="A4">
        <v>3</v>
      </c>
      <c r="B4" s="1">
        <v>45214</v>
      </c>
      <c r="C4" t="s">
        <v>9</v>
      </c>
      <c r="D4">
        <v>26142</v>
      </c>
      <c r="E4" t="s">
        <v>10</v>
      </c>
      <c r="F4" t="s">
        <v>8</v>
      </c>
      <c r="G4">
        <f>MONTH(cleaned_personal_finance_data15[[#This Row],[date]])</f>
        <v>10</v>
      </c>
      <c r="H4">
        <f>YEAR(cleaned_personal_finance_data15[[#This Row],[date]])</f>
        <v>2023</v>
      </c>
      <c r="I4" t="s">
        <v>9</v>
      </c>
    </row>
    <row r="5" spans="1:9" hidden="1" x14ac:dyDescent="0.25">
      <c r="A5">
        <v>4</v>
      </c>
      <c r="B5" s="1">
        <v>45214</v>
      </c>
      <c r="C5" t="s">
        <v>11</v>
      </c>
      <c r="D5">
        <v>26142</v>
      </c>
      <c r="E5" t="s">
        <v>12</v>
      </c>
      <c r="F5" t="s">
        <v>13</v>
      </c>
      <c r="G5">
        <f>MONTH(cleaned_personal_finance_data15[[#This Row],[date]])</f>
        <v>10</v>
      </c>
      <c r="H5">
        <f>YEAR(cleaned_personal_finance_data15[[#This Row],[date]])</f>
        <v>2023</v>
      </c>
      <c r="I5" t="s">
        <v>11</v>
      </c>
    </row>
    <row r="6" spans="1:9" hidden="1" x14ac:dyDescent="0.25">
      <c r="A6">
        <v>5</v>
      </c>
      <c r="B6" s="1">
        <v>45230</v>
      </c>
      <c r="C6" t="s">
        <v>6</v>
      </c>
      <c r="D6">
        <v>12834</v>
      </c>
      <c r="E6" t="s">
        <v>7</v>
      </c>
      <c r="F6" t="s">
        <v>8</v>
      </c>
      <c r="G6">
        <f>MONTH(cleaned_personal_finance_data15[[#This Row],[date]])</f>
        <v>10</v>
      </c>
      <c r="H6">
        <f>YEAR(cleaned_personal_finance_data15[[#This Row],[date]])</f>
        <v>2023</v>
      </c>
      <c r="I6" t="s">
        <v>318</v>
      </c>
    </row>
    <row r="7" spans="1:9" hidden="1" x14ac:dyDescent="0.25">
      <c r="A7">
        <v>6</v>
      </c>
      <c r="B7" s="1">
        <v>45235</v>
      </c>
      <c r="C7" t="s">
        <v>14</v>
      </c>
      <c r="D7">
        <v>2550</v>
      </c>
      <c r="E7" t="s">
        <v>15</v>
      </c>
      <c r="F7" t="s">
        <v>13</v>
      </c>
      <c r="G7">
        <f>MONTH(cleaned_personal_finance_data15[[#This Row],[date]])</f>
        <v>11</v>
      </c>
      <c r="H7">
        <f>YEAR(cleaned_personal_finance_data15[[#This Row],[date]])</f>
        <v>2023</v>
      </c>
      <c r="I7" t="s">
        <v>159</v>
      </c>
    </row>
    <row r="8" spans="1:9" hidden="1" x14ac:dyDescent="0.25">
      <c r="A8">
        <v>7</v>
      </c>
      <c r="B8" s="1">
        <v>45235</v>
      </c>
      <c r="C8" t="s">
        <v>16</v>
      </c>
      <c r="D8">
        <v>5000</v>
      </c>
      <c r="E8" t="s">
        <v>15</v>
      </c>
      <c r="F8" t="s">
        <v>13</v>
      </c>
      <c r="G8">
        <f>MONTH(cleaned_personal_finance_data15[[#This Row],[date]])</f>
        <v>11</v>
      </c>
      <c r="H8">
        <f>YEAR(cleaned_personal_finance_data15[[#This Row],[date]])</f>
        <v>2023</v>
      </c>
      <c r="I8" t="s">
        <v>145</v>
      </c>
    </row>
    <row r="9" spans="1:9" hidden="1" x14ac:dyDescent="0.25">
      <c r="A9">
        <v>8</v>
      </c>
      <c r="B9" s="1">
        <v>45235</v>
      </c>
      <c r="C9" t="s">
        <v>17</v>
      </c>
      <c r="D9">
        <v>12560</v>
      </c>
      <c r="E9" t="s">
        <v>7</v>
      </c>
      <c r="F9" t="s">
        <v>13</v>
      </c>
      <c r="G9">
        <f>MONTH(cleaned_personal_finance_data15[[#This Row],[date]])</f>
        <v>11</v>
      </c>
      <c r="H9">
        <f>YEAR(cleaned_personal_finance_data15[[#This Row],[date]])</f>
        <v>2023</v>
      </c>
      <c r="I9" t="s">
        <v>17</v>
      </c>
    </row>
    <row r="10" spans="1:9" hidden="1" x14ac:dyDescent="0.25">
      <c r="A10">
        <v>9</v>
      </c>
      <c r="B10" s="1">
        <v>45235</v>
      </c>
      <c r="C10" t="s">
        <v>18</v>
      </c>
      <c r="D10">
        <v>56</v>
      </c>
      <c r="E10" t="s">
        <v>15</v>
      </c>
      <c r="F10" t="s">
        <v>13</v>
      </c>
      <c r="G10">
        <f>MONTH(cleaned_personal_finance_data15[[#This Row],[date]])</f>
        <v>11</v>
      </c>
      <c r="H10">
        <f>YEAR(cleaned_personal_finance_data15[[#This Row],[date]])</f>
        <v>2023</v>
      </c>
      <c r="I10" t="s">
        <v>18</v>
      </c>
    </row>
    <row r="11" spans="1:9" hidden="1" x14ac:dyDescent="0.25">
      <c r="A11">
        <v>10</v>
      </c>
      <c r="B11" s="1">
        <v>45235</v>
      </c>
      <c r="C11" t="s">
        <v>19</v>
      </c>
      <c r="D11">
        <v>30</v>
      </c>
      <c r="E11" t="s">
        <v>15</v>
      </c>
      <c r="F11" t="s">
        <v>13</v>
      </c>
      <c r="G11">
        <f>MONTH(cleaned_personal_finance_data15[[#This Row],[date]])</f>
        <v>11</v>
      </c>
      <c r="H11">
        <f>YEAR(cleaned_personal_finance_data15[[#This Row],[date]])</f>
        <v>2023</v>
      </c>
      <c r="I11" t="s">
        <v>25</v>
      </c>
    </row>
    <row r="12" spans="1:9" hidden="1" x14ac:dyDescent="0.25">
      <c r="A12">
        <v>11</v>
      </c>
      <c r="B12" s="1">
        <v>45235</v>
      </c>
      <c r="C12" t="s">
        <v>20</v>
      </c>
      <c r="D12">
        <v>2010</v>
      </c>
      <c r="E12" t="s">
        <v>10</v>
      </c>
      <c r="F12" t="s">
        <v>13</v>
      </c>
      <c r="G12">
        <f>MONTH(cleaned_personal_finance_data15[[#This Row],[date]])</f>
        <v>11</v>
      </c>
      <c r="H12">
        <f>YEAR(cleaned_personal_finance_data15[[#This Row],[date]])</f>
        <v>2023</v>
      </c>
      <c r="I12" t="s">
        <v>20</v>
      </c>
    </row>
    <row r="13" spans="1:9" hidden="1" x14ac:dyDescent="0.25">
      <c r="A13">
        <v>12</v>
      </c>
      <c r="B13" s="1">
        <v>45235</v>
      </c>
      <c r="C13" t="s">
        <v>20</v>
      </c>
      <c r="D13">
        <v>2010</v>
      </c>
      <c r="E13" t="s">
        <v>12</v>
      </c>
      <c r="F13" t="s">
        <v>21</v>
      </c>
      <c r="G13">
        <f>MONTH(cleaned_personal_finance_data15[[#This Row],[date]])</f>
        <v>11</v>
      </c>
      <c r="H13">
        <f>YEAR(cleaned_personal_finance_data15[[#This Row],[date]])</f>
        <v>2023</v>
      </c>
      <c r="I13" t="s">
        <v>20</v>
      </c>
    </row>
    <row r="14" spans="1:9" hidden="1" x14ac:dyDescent="0.25">
      <c r="A14">
        <v>13</v>
      </c>
      <c r="B14" s="1">
        <v>45235</v>
      </c>
      <c r="C14" t="s">
        <v>22</v>
      </c>
      <c r="D14">
        <v>1000</v>
      </c>
      <c r="E14" t="s">
        <v>15</v>
      </c>
      <c r="F14" t="s">
        <v>13</v>
      </c>
      <c r="G14">
        <f>MONTH(cleaned_personal_finance_data15[[#This Row],[date]])</f>
        <v>11</v>
      </c>
      <c r="H14">
        <f>YEAR(cleaned_personal_finance_data15[[#This Row],[date]])</f>
        <v>2023</v>
      </c>
      <c r="I14" t="s">
        <v>22</v>
      </c>
    </row>
    <row r="15" spans="1:9" hidden="1" x14ac:dyDescent="0.25">
      <c r="A15">
        <v>14</v>
      </c>
      <c r="B15" s="1">
        <v>45236</v>
      </c>
      <c r="C15" t="s">
        <v>23</v>
      </c>
      <c r="D15">
        <v>20</v>
      </c>
      <c r="E15" t="s">
        <v>15</v>
      </c>
      <c r="F15" t="s">
        <v>13</v>
      </c>
      <c r="G15">
        <f>MONTH(cleaned_personal_finance_data15[[#This Row],[date]])</f>
        <v>11</v>
      </c>
      <c r="H15">
        <f>YEAR(cleaned_personal_finance_data15[[#This Row],[date]])</f>
        <v>2023</v>
      </c>
      <c r="I15" t="s">
        <v>23</v>
      </c>
    </row>
    <row r="16" spans="1:9" hidden="1" x14ac:dyDescent="0.25">
      <c r="A16">
        <v>15</v>
      </c>
      <c r="B16" s="1">
        <v>45236</v>
      </c>
      <c r="C16" t="s">
        <v>24</v>
      </c>
      <c r="D16">
        <v>194</v>
      </c>
      <c r="E16" t="s">
        <v>15</v>
      </c>
      <c r="F16" t="s">
        <v>21</v>
      </c>
      <c r="G16">
        <f>MONTH(cleaned_personal_finance_data15[[#This Row],[date]])</f>
        <v>11</v>
      </c>
      <c r="H16">
        <f>YEAR(cleaned_personal_finance_data15[[#This Row],[date]])</f>
        <v>2023</v>
      </c>
      <c r="I16" t="s">
        <v>24</v>
      </c>
    </row>
    <row r="17" spans="1:9" hidden="1" x14ac:dyDescent="0.25">
      <c r="A17">
        <v>16</v>
      </c>
      <c r="B17" s="1">
        <v>45240</v>
      </c>
      <c r="C17" t="s">
        <v>25</v>
      </c>
      <c r="D17">
        <v>30</v>
      </c>
      <c r="E17" t="s">
        <v>15</v>
      </c>
      <c r="F17" t="s">
        <v>13</v>
      </c>
      <c r="G17">
        <f>MONTH(cleaned_personal_finance_data15[[#This Row],[date]])</f>
        <v>11</v>
      </c>
      <c r="H17">
        <f>YEAR(cleaned_personal_finance_data15[[#This Row],[date]])</f>
        <v>2023</v>
      </c>
      <c r="I17" t="s">
        <v>25</v>
      </c>
    </row>
    <row r="18" spans="1:9" hidden="1" x14ac:dyDescent="0.25">
      <c r="A18">
        <v>17</v>
      </c>
      <c r="B18" s="1">
        <v>45240</v>
      </c>
      <c r="C18" t="s">
        <v>26</v>
      </c>
      <c r="D18">
        <v>43</v>
      </c>
      <c r="E18" t="s">
        <v>15</v>
      </c>
      <c r="F18" t="s">
        <v>13</v>
      </c>
      <c r="G18">
        <f>MONTH(cleaned_personal_finance_data15[[#This Row],[date]])</f>
        <v>11</v>
      </c>
      <c r="H18">
        <f>YEAR(cleaned_personal_finance_data15[[#This Row],[date]])</f>
        <v>2023</v>
      </c>
      <c r="I18" t="s">
        <v>26</v>
      </c>
    </row>
    <row r="19" spans="1:9" hidden="1" x14ac:dyDescent="0.25">
      <c r="A19">
        <v>18</v>
      </c>
      <c r="B19" s="1">
        <v>45243</v>
      </c>
      <c r="C19" t="s">
        <v>27</v>
      </c>
      <c r="D19">
        <v>12</v>
      </c>
      <c r="E19" t="s">
        <v>15</v>
      </c>
      <c r="F19" t="s">
        <v>13</v>
      </c>
      <c r="G19">
        <f>MONTH(cleaned_personal_finance_data15[[#This Row],[date]])</f>
        <v>11</v>
      </c>
      <c r="H19">
        <f>YEAR(cleaned_personal_finance_data15[[#This Row],[date]])</f>
        <v>2023</v>
      </c>
      <c r="I19" t="s">
        <v>27</v>
      </c>
    </row>
    <row r="20" spans="1:9" hidden="1" x14ac:dyDescent="0.25">
      <c r="A20">
        <v>19</v>
      </c>
      <c r="B20" s="1">
        <v>45243</v>
      </c>
      <c r="C20" t="s">
        <v>28</v>
      </c>
      <c r="D20">
        <v>25</v>
      </c>
      <c r="E20" t="s">
        <v>15</v>
      </c>
      <c r="F20" t="s">
        <v>21</v>
      </c>
      <c r="G20">
        <f>MONTH(cleaned_personal_finance_data15[[#This Row],[date]])</f>
        <v>11</v>
      </c>
      <c r="H20">
        <f>YEAR(cleaned_personal_finance_data15[[#This Row],[date]])</f>
        <v>2023</v>
      </c>
      <c r="I20" t="s">
        <v>28</v>
      </c>
    </row>
    <row r="21" spans="1:9" hidden="1" x14ac:dyDescent="0.25">
      <c r="A21">
        <v>20</v>
      </c>
      <c r="B21" s="1">
        <v>45243</v>
      </c>
      <c r="C21" t="s">
        <v>28</v>
      </c>
      <c r="D21">
        <v>125</v>
      </c>
      <c r="E21" t="s">
        <v>15</v>
      </c>
      <c r="F21" t="s">
        <v>21</v>
      </c>
      <c r="G21">
        <f>MONTH(cleaned_personal_finance_data15[[#This Row],[date]])</f>
        <v>11</v>
      </c>
      <c r="H21">
        <f>YEAR(cleaned_personal_finance_data15[[#This Row],[date]])</f>
        <v>2023</v>
      </c>
      <c r="I21" t="s">
        <v>28</v>
      </c>
    </row>
    <row r="22" spans="1:9" hidden="1" x14ac:dyDescent="0.25">
      <c r="A22">
        <v>21</v>
      </c>
      <c r="B22" s="1">
        <v>45244</v>
      </c>
      <c r="C22" t="s">
        <v>29</v>
      </c>
      <c r="D22">
        <v>25</v>
      </c>
      <c r="E22" t="s">
        <v>15</v>
      </c>
      <c r="F22" t="s">
        <v>13</v>
      </c>
      <c r="G22">
        <f>MONTH(cleaned_personal_finance_data15[[#This Row],[date]])</f>
        <v>11</v>
      </c>
      <c r="H22">
        <f>YEAR(cleaned_personal_finance_data15[[#This Row],[date]])</f>
        <v>2023</v>
      </c>
      <c r="I22" t="s">
        <v>29</v>
      </c>
    </row>
    <row r="23" spans="1:9" hidden="1" x14ac:dyDescent="0.25">
      <c r="A23">
        <v>22</v>
      </c>
      <c r="B23" s="1">
        <v>45245</v>
      </c>
      <c r="C23" t="s">
        <v>28</v>
      </c>
      <c r="D23">
        <v>125</v>
      </c>
      <c r="E23" t="s">
        <v>15</v>
      </c>
      <c r="F23" t="s">
        <v>21</v>
      </c>
      <c r="G23">
        <f>MONTH(cleaned_personal_finance_data15[[#This Row],[date]])</f>
        <v>11</v>
      </c>
      <c r="H23">
        <f>YEAR(cleaned_personal_finance_data15[[#This Row],[date]])</f>
        <v>2023</v>
      </c>
      <c r="I23" t="s">
        <v>28</v>
      </c>
    </row>
    <row r="24" spans="1:9" hidden="1" x14ac:dyDescent="0.25">
      <c r="A24">
        <v>23</v>
      </c>
      <c r="B24" s="1">
        <v>45246</v>
      </c>
      <c r="C24" t="s">
        <v>29</v>
      </c>
      <c r="D24">
        <v>25</v>
      </c>
      <c r="E24" t="s">
        <v>15</v>
      </c>
      <c r="F24" t="s">
        <v>13</v>
      </c>
      <c r="G24">
        <f>MONTH(cleaned_personal_finance_data15[[#This Row],[date]])</f>
        <v>11</v>
      </c>
      <c r="H24">
        <f>YEAR(cleaned_personal_finance_data15[[#This Row],[date]])</f>
        <v>2023</v>
      </c>
      <c r="I24" t="s">
        <v>29</v>
      </c>
    </row>
    <row r="25" spans="1:9" hidden="1" x14ac:dyDescent="0.25">
      <c r="A25">
        <v>24</v>
      </c>
      <c r="B25" s="1">
        <v>45247</v>
      </c>
      <c r="C25" t="s">
        <v>30</v>
      </c>
      <c r="D25">
        <v>12</v>
      </c>
      <c r="E25" t="s">
        <v>15</v>
      </c>
      <c r="F25" t="s">
        <v>13</v>
      </c>
      <c r="G25">
        <f>MONTH(cleaned_personal_finance_data15[[#This Row],[date]])</f>
        <v>11</v>
      </c>
      <c r="H25">
        <f>YEAR(cleaned_personal_finance_data15[[#This Row],[date]])</f>
        <v>2023</v>
      </c>
      <c r="I25" t="s">
        <v>30</v>
      </c>
    </row>
    <row r="26" spans="1:9" hidden="1" x14ac:dyDescent="0.25">
      <c r="A26">
        <v>25</v>
      </c>
      <c r="B26" s="1">
        <v>45247</v>
      </c>
      <c r="C26" t="s">
        <v>29</v>
      </c>
      <c r="D26">
        <v>25</v>
      </c>
      <c r="E26" t="s">
        <v>15</v>
      </c>
      <c r="F26" t="s">
        <v>13</v>
      </c>
      <c r="G26">
        <f>MONTH(cleaned_personal_finance_data15[[#This Row],[date]])</f>
        <v>11</v>
      </c>
      <c r="H26">
        <f>YEAR(cleaned_personal_finance_data15[[#This Row],[date]])</f>
        <v>2023</v>
      </c>
      <c r="I26" t="s">
        <v>29</v>
      </c>
    </row>
    <row r="27" spans="1:9" hidden="1" x14ac:dyDescent="0.25">
      <c r="A27">
        <v>26</v>
      </c>
      <c r="B27" s="1">
        <v>45248</v>
      </c>
      <c r="C27" t="s">
        <v>31</v>
      </c>
      <c r="D27">
        <v>300</v>
      </c>
      <c r="E27" t="s">
        <v>15</v>
      </c>
      <c r="F27" t="s">
        <v>13</v>
      </c>
      <c r="G27">
        <f>MONTH(cleaned_personal_finance_data15[[#This Row],[date]])</f>
        <v>11</v>
      </c>
      <c r="H27">
        <f>YEAR(cleaned_personal_finance_data15[[#This Row],[date]])</f>
        <v>2023</v>
      </c>
      <c r="I27" t="s">
        <v>31</v>
      </c>
    </row>
    <row r="28" spans="1:9" hidden="1" x14ac:dyDescent="0.25">
      <c r="A28">
        <v>27</v>
      </c>
      <c r="B28" s="1">
        <v>45248</v>
      </c>
      <c r="C28" t="s">
        <v>32</v>
      </c>
      <c r="D28">
        <v>20</v>
      </c>
      <c r="E28" t="s">
        <v>15</v>
      </c>
      <c r="F28" t="s">
        <v>13</v>
      </c>
      <c r="G28">
        <f>MONTH(cleaned_personal_finance_data15[[#This Row],[date]])</f>
        <v>11</v>
      </c>
      <c r="H28">
        <f>YEAR(cleaned_personal_finance_data15[[#This Row],[date]])</f>
        <v>2023</v>
      </c>
      <c r="I28" t="s">
        <v>32</v>
      </c>
    </row>
    <row r="29" spans="1:9" hidden="1" x14ac:dyDescent="0.25">
      <c r="A29">
        <v>28</v>
      </c>
      <c r="B29" s="1">
        <v>45248</v>
      </c>
      <c r="C29" t="s">
        <v>33</v>
      </c>
      <c r="D29">
        <v>44732</v>
      </c>
      <c r="E29" t="s">
        <v>7</v>
      </c>
      <c r="F29" t="s">
        <v>8</v>
      </c>
      <c r="G29">
        <f>MONTH(cleaned_personal_finance_data15[[#This Row],[date]])</f>
        <v>11</v>
      </c>
      <c r="H29">
        <f>YEAR(cleaned_personal_finance_data15[[#This Row],[date]])</f>
        <v>2023</v>
      </c>
      <c r="I29" t="s">
        <v>33</v>
      </c>
    </row>
    <row r="30" spans="1:9" hidden="1" x14ac:dyDescent="0.25">
      <c r="A30">
        <v>29</v>
      </c>
      <c r="B30" s="1">
        <v>45246</v>
      </c>
      <c r="C30" t="s">
        <v>25</v>
      </c>
      <c r="D30">
        <v>30</v>
      </c>
      <c r="E30" t="s">
        <v>15</v>
      </c>
      <c r="F30" t="s">
        <v>13</v>
      </c>
      <c r="G30">
        <f>MONTH(cleaned_personal_finance_data15[[#This Row],[date]])</f>
        <v>11</v>
      </c>
      <c r="H30">
        <f>YEAR(cleaned_personal_finance_data15[[#This Row],[date]])</f>
        <v>2023</v>
      </c>
      <c r="I30" t="s">
        <v>25</v>
      </c>
    </row>
    <row r="31" spans="1:9" hidden="1" x14ac:dyDescent="0.25">
      <c r="A31">
        <v>30</v>
      </c>
      <c r="B31" s="1">
        <v>45252</v>
      </c>
      <c r="C31" t="s">
        <v>34</v>
      </c>
      <c r="D31">
        <v>129</v>
      </c>
      <c r="E31" t="s">
        <v>15</v>
      </c>
      <c r="F31" t="s">
        <v>21</v>
      </c>
      <c r="G31">
        <f>MONTH(cleaned_personal_finance_data15[[#This Row],[date]])</f>
        <v>11</v>
      </c>
      <c r="H31">
        <f>YEAR(cleaned_personal_finance_data15[[#This Row],[date]])</f>
        <v>2023</v>
      </c>
      <c r="I31" t="s">
        <v>34</v>
      </c>
    </row>
    <row r="32" spans="1:9" hidden="1" x14ac:dyDescent="0.25">
      <c r="A32">
        <v>31</v>
      </c>
      <c r="B32" s="1">
        <v>45252</v>
      </c>
      <c r="C32" t="s">
        <v>35</v>
      </c>
      <c r="D32">
        <v>280</v>
      </c>
      <c r="E32" t="s">
        <v>15</v>
      </c>
      <c r="F32" t="s">
        <v>21</v>
      </c>
      <c r="G32">
        <f>MONTH(cleaned_personal_finance_data15[[#This Row],[date]])</f>
        <v>11</v>
      </c>
      <c r="H32">
        <f>YEAR(cleaned_personal_finance_data15[[#This Row],[date]])</f>
        <v>2023</v>
      </c>
      <c r="I32" t="s">
        <v>35</v>
      </c>
    </row>
    <row r="33" spans="1:9" hidden="1" x14ac:dyDescent="0.25">
      <c r="A33">
        <v>32</v>
      </c>
      <c r="B33" s="1">
        <v>45253</v>
      </c>
      <c r="C33" t="s">
        <v>28</v>
      </c>
      <c r="D33">
        <v>125</v>
      </c>
      <c r="E33" t="s">
        <v>15</v>
      </c>
      <c r="F33" t="s">
        <v>21</v>
      </c>
      <c r="G33">
        <f>MONTH(cleaned_personal_finance_data15[[#This Row],[date]])</f>
        <v>11</v>
      </c>
      <c r="H33">
        <f>YEAR(cleaned_personal_finance_data15[[#This Row],[date]])</f>
        <v>2023</v>
      </c>
      <c r="I33" t="s">
        <v>28</v>
      </c>
    </row>
    <row r="34" spans="1:9" hidden="1" x14ac:dyDescent="0.25">
      <c r="A34">
        <v>33</v>
      </c>
      <c r="B34" s="1">
        <v>45260</v>
      </c>
      <c r="C34" t="s">
        <v>6</v>
      </c>
      <c r="D34">
        <v>12734</v>
      </c>
      <c r="E34" t="s">
        <v>7</v>
      </c>
      <c r="F34" t="s">
        <v>8</v>
      </c>
      <c r="G34">
        <f>MONTH(cleaned_personal_finance_data15[[#This Row],[date]])</f>
        <v>11</v>
      </c>
      <c r="H34">
        <f>YEAR(cleaned_personal_finance_data15[[#This Row],[date]])</f>
        <v>2023</v>
      </c>
      <c r="I34" t="s">
        <v>318</v>
      </c>
    </row>
    <row r="35" spans="1:9" hidden="1" x14ac:dyDescent="0.25">
      <c r="A35">
        <v>34</v>
      </c>
      <c r="B35" s="1">
        <v>45262</v>
      </c>
      <c r="C35" t="s">
        <v>28</v>
      </c>
      <c r="D35">
        <v>125</v>
      </c>
      <c r="E35" t="s">
        <v>15</v>
      </c>
      <c r="F35" t="s">
        <v>21</v>
      </c>
      <c r="G35">
        <f>MONTH(cleaned_personal_finance_data15[[#This Row],[date]])</f>
        <v>12</v>
      </c>
      <c r="H35">
        <f>YEAR(cleaned_personal_finance_data15[[#This Row],[date]])</f>
        <v>2023</v>
      </c>
      <c r="I35" t="s">
        <v>28</v>
      </c>
    </row>
    <row r="36" spans="1:9" hidden="1" x14ac:dyDescent="0.25">
      <c r="A36">
        <v>35</v>
      </c>
      <c r="B36" s="1">
        <v>45263</v>
      </c>
      <c r="C36" t="s">
        <v>36</v>
      </c>
      <c r="D36">
        <v>265</v>
      </c>
      <c r="E36" t="s">
        <v>15</v>
      </c>
      <c r="F36" t="s">
        <v>13</v>
      </c>
      <c r="G36">
        <f>MONTH(cleaned_personal_finance_data15[[#This Row],[date]])</f>
        <v>12</v>
      </c>
      <c r="H36">
        <f>YEAR(cleaned_personal_finance_data15[[#This Row],[date]])</f>
        <v>2023</v>
      </c>
      <c r="I36" t="s">
        <v>329</v>
      </c>
    </row>
    <row r="37" spans="1:9" hidden="1" x14ac:dyDescent="0.25">
      <c r="A37">
        <v>36</v>
      </c>
      <c r="B37" s="1">
        <v>45264</v>
      </c>
      <c r="C37" t="s">
        <v>37</v>
      </c>
      <c r="D37">
        <v>25</v>
      </c>
      <c r="E37" t="s">
        <v>15</v>
      </c>
      <c r="F37" t="s">
        <v>13</v>
      </c>
      <c r="G37">
        <f>MONTH(cleaned_personal_finance_data15[[#This Row],[date]])</f>
        <v>12</v>
      </c>
      <c r="H37">
        <f>YEAR(cleaned_personal_finance_data15[[#This Row],[date]])</f>
        <v>2023</v>
      </c>
      <c r="I37" t="s">
        <v>47</v>
      </c>
    </row>
    <row r="38" spans="1:9" hidden="1" x14ac:dyDescent="0.25">
      <c r="A38">
        <v>37</v>
      </c>
      <c r="B38" s="1">
        <v>45264</v>
      </c>
      <c r="C38" t="s">
        <v>38</v>
      </c>
      <c r="D38">
        <v>1500</v>
      </c>
      <c r="E38" t="s">
        <v>15</v>
      </c>
      <c r="F38" t="s">
        <v>13</v>
      </c>
      <c r="G38">
        <f>MONTH(cleaned_personal_finance_data15[[#This Row],[date]])</f>
        <v>12</v>
      </c>
      <c r="H38">
        <f>YEAR(cleaned_personal_finance_data15[[#This Row],[date]])</f>
        <v>2023</v>
      </c>
      <c r="I38" t="s">
        <v>38</v>
      </c>
    </row>
    <row r="39" spans="1:9" hidden="1" x14ac:dyDescent="0.25">
      <c r="A39">
        <v>38</v>
      </c>
      <c r="B39" s="1">
        <v>45266</v>
      </c>
      <c r="C39" t="s">
        <v>24</v>
      </c>
      <c r="D39">
        <v>239</v>
      </c>
      <c r="E39" t="s">
        <v>15</v>
      </c>
      <c r="F39" t="s">
        <v>21</v>
      </c>
      <c r="G39">
        <f>MONTH(cleaned_personal_finance_data15[[#This Row],[date]])</f>
        <v>12</v>
      </c>
      <c r="H39">
        <f>YEAR(cleaned_personal_finance_data15[[#This Row],[date]])</f>
        <v>2023</v>
      </c>
      <c r="I39" t="s">
        <v>24</v>
      </c>
    </row>
    <row r="40" spans="1:9" hidden="1" x14ac:dyDescent="0.25">
      <c r="A40">
        <v>39</v>
      </c>
      <c r="B40" s="1">
        <v>45267</v>
      </c>
      <c r="C40" t="s">
        <v>29</v>
      </c>
      <c r="D40">
        <v>25</v>
      </c>
      <c r="E40" t="s">
        <v>15</v>
      </c>
      <c r="F40" t="s">
        <v>13</v>
      </c>
      <c r="G40">
        <f>MONTH(cleaned_personal_finance_data15[[#This Row],[date]])</f>
        <v>12</v>
      </c>
      <c r="H40">
        <f>YEAR(cleaned_personal_finance_data15[[#This Row],[date]])</f>
        <v>2023</v>
      </c>
      <c r="I40" t="s">
        <v>29</v>
      </c>
    </row>
    <row r="41" spans="1:9" hidden="1" x14ac:dyDescent="0.25">
      <c r="A41">
        <v>40</v>
      </c>
      <c r="B41" s="1">
        <v>45268</v>
      </c>
      <c r="C41" t="s">
        <v>28</v>
      </c>
      <c r="D41">
        <v>125</v>
      </c>
      <c r="E41" t="s">
        <v>15</v>
      </c>
      <c r="F41" t="s">
        <v>21</v>
      </c>
      <c r="G41">
        <f>MONTH(cleaned_personal_finance_data15[[#This Row],[date]])</f>
        <v>12</v>
      </c>
      <c r="H41">
        <f>YEAR(cleaned_personal_finance_data15[[#This Row],[date]])</f>
        <v>2023</v>
      </c>
      <c r="I41" t="s">
        <v>28</v>
      </c>
    </row>
    <row r="42" spans="1:9" hidden="1" x14ac:dyDescent="0.25">
      <c r="A42">
        <v>41</v>
      </c>
      <c r="B42" s="1">
        <v>45269</v>
      </c>
      <c r="C42" t="s">
        <v>39</v>
      </c>
      <c r="D42">
        <v>30</v>
      </c>
      <c r="E42" t="s">
        <v>15</v>
      </c>
      <c r="F42" t="s">
        <v>13</v>
      </c>
      <c r="G42">
        <f>MONTH(cleaned_personal_finance_data15[[#This Row],[date]])</f>
        <v>12</v>
      </c>
      <c r="H42">
        <f>YEAR(cleaned_personal_finance_data15[[#This Row],[date]])</f>
        <v>2023</v>
      </c>
      <c r="I42" t="s">
        <v>43</v>
      </c>
    </row>
    <row r="43" spans="1:9" hidden="1" x14ac:dyDescent="0.25">
      <c r="A43">
        <v>42</v>
      </c>
      <c r="B43" s="1">
        <v>45269</v>
      </c>
      <c r="C43" t="s">
        <v>40</v>
      </c>
      <c r="D43">
        <v>45</v>
      </c>
      <c r="E43" t="s">
        <v>15</v>
      </c>
      <c r="F43" t="s">
        <v>13</v>
      </c>
      <c r="G43">
        <f>MONTH(cleaned_personal_finance_data15[[#This Row],[date]])</f>
        <v>12</v>
      </c>
      <c r="H43">
        <f>YEAR(cleaned_personal_finance_data15[[#This Row],[date]])</f>
        <v>2023</v>
      </c>
      <c r="I43" t="s">
        <v>40</v>
      </c>
    </row>
    <row r="44" spans="1:9" hidden="1" x14ac:dyDescent="0.25">
      <c r="A44">
        <v>43</v>
      </c>
      <c r="B44" s="1">
        <v>45269</v>
      </c>
      <c r="C44" t="s">
        <v>29</v>
      </c>
      <c r="D44">
        <v>30</v>
      </c>
      <c r="E44" t="s">
        <v>15</v>
      </c>
      <c r="F44" t="s">
        <v>13</v>
      </c>
      <c r="G44">
        <f>MONTH(cleaned_personal_finance_data15[[#This Row],[date]])</f>
        <v>12</v>
      </c>
      <c r="H44">
        <f>YEAR(cleaned_personal_finance_data15[[#This Row],[date]])</f>
        <v>2023</v>
      </c>
      <c r="I44" t="s">
        <v>29</v>
      </c>
    </row>
    <row r="45" spans="1:9" hidden="1" x14ac:dyDescent="0.25">
      <c r="A45">
        <v>44</v>
      </c>
      <c r="B45" s="1">
        <v>45269</v>
      </c>
      <c r="C45" t="s">
        <v>41</v>
      </c>
      <c r="D45">
        <v>20</v>
      </c>
      <c r="E45" t="s">
        <v>15</v>
      </c>
      <c r="F45" t="s">
        <v>13</v>
      </c>
      <c r="G45">
        <f>MONTH(cleaned_personal_finance_data15[[#This Row],[date]])</f>
        <v>12</v>
      </c>
      <c r="H45">
        <f>YEAR(cleaned_personal_finance_data15[[#This Row],[date]])</f>
        <v>2023</v>
      </c>
      <c r="I45" t="s">
        <v>41</v>
      </c>
    </row>
    <row r="46" spans="1:9" hidden="1" x14ac:dyDescent="0.25">
      <c r="A46">
        <v>45</v>
      </c>
      <c r="B46" s="1">
        <v>45269</v>
      </c>
      <c r="C46" t="s">
        <v>42</v>
      </c>
      <c r="D46">
        <v>40</v>
      </c>
      <c r="E46" t="s">
        <v>15</v>
      </c>
      <c r="F46" t="s">
        <v>13</v>
      </c>
      <c r="G46">
        <f>MONTH(cleaned_personal_finance_data15[[#This Row],[date]])</f>
        <v>12</v>
      </c>
      <c r="H46">
        <f>YEAR(cleaned_personal_finance_data15[[#This Row],[date]])</f>
        <v>2023</v>
      </c>
      <c r="I46" t="s">
        <v>42</v>
      </c>
    </row>
    <row r="47" spans="1:9" hidden="1" x14ac:dyDescent="0.25">
      <c r="A47">
        <v>46</v>
      </c>
      <c r="B47" s="1">
        <v>45269</v>
      </c>
      <c r="C47" t="s">
        <v>43</v>
      </c>
      <c r="D47">
        <v>90</v>
      </c>
      <c r="E47" t="s">
        <v>15</v>
      </c>
      <c r="F47" t="s">
        <v>13</v>
      </c>
      <c r="G47">
        <f>MONTH(cleaned_personal_finance_data15[[#This Row],[date]])</f>
        <v>12</v>
      </c>
      <c r="H47">
        <f>YEAR(cleaned_personal_finance_data15[[#This Row],[date]])</f>
        <v>2023</v>
      </c>
      <c r="I47" t="s">
        <v>43</v>
      </c>
    </row>
    <row r="48" spans="1:9" hidden="1" x14ac:dyDescent="0.25">
      <c r="A48">
        <v>47</v>
      </c>
      <c r="B48" s="1">
        <v>45269</v>
      </c>
      <c r="C48" t="s">
        <v>44</v>
      </c>
      <c r="D48">
        <v>13</v>
      </c>
      <c r="E48" t="s">
        <v>15</v>
      </c>
      <c r="F48" t="s">
        <v>13</v>
      </c>
      <c r="G48">
        <f>MONTH(cleaned_personal_finance_data15[[#This Row],[date]])</f>
        <v>12</v>
      </c>
      <c r="H48">
        <f>YEAR(cleaned_personal_finance_data15[[#This Row],[date]])</f>
        <v>2023</v>
      </c>
      <c r="I48" t="s">
        <v>44</v>
      </c>
    </row>
    <row r="49" spans="1:9" hidden="1" x14ac:dyDescent="0.25">
      <c r="A49">
        <v>48</v>
      </c>
      <c r="B49" s="1">
        <v>45270</v>
      </c>
      <c r="C49" t="s">
        <v>45</v>
      </c>
      <c r="D49">
        <v>5000</v>
      </c>
      <c r="E49" t="s">
        <v>15</v>
      </c>
      <c r="F49" t="s">
        <v>13</v>
      </c>
      <c r="G49">
        <f>MONTH(cleaned_personal_finance_data15[[#This Row],[date]])</f>
        <v>12</v>
      </c>
      <c r="H49">
        <f>YEAR(cleaned_personal_finance_data15[[#This Row],[date]])</f>
        <v>2023</v>
      </c>
      <c r="I49" t="s">
        <v>145</v>
      </c>
    </row>
    <row r="50" spans="1:9" hidden="1" x14ac:dyDescent="0.25">
      <c r="A50">
        <v>49</v>
      </c>
      <c r="B50" s="1">
        <v>45270</v>
      </c>
      <c r="C50" t="s">
        <v>46</v>
      </c>
      <c r="D50">
        <v>2100</v>
      </c>
      <c r="E50" t="s">
        <v>15</v>
      </c>
      <c r="F50" t="s">
        <v>13</v>
      </c>
      <c r="G50">
        <f>MONTH(cleaned_personal_finance_data15[[#This Row],[date]])</f>
        <v>12</v>
      </c>
      <c r="H50">
        <f>YEAR(cleaned_personal_finance_data15[[#This Row],[date]])</f>
        <v>2023</v>
      </c>
      <c r="I50" t="s">
        <v>159</v>
      </c>
    </row>
    <row r="51" spans="1:9" hidden="1" x14ac:dyDescent="0.25">
      <c r="A51">
        <v>50</v>
      </c>
      <c r="B51" s="1">
        <v>45271</v>
      </c>
      <c r="C51" t="s">
        <v>47</v>
      </c>
      <c r="D51">
        <v>25</v>
      </c>
      <c r="E51" t="s">
        <v>15</v>
      </c>
      <c r="F51" t="s">
        <v>13</v>
      </c>
      <c r="G51">
        <f>MONTH(cleaned_personal_finance_data15[[#This Row],[date]])</f>
        <v>12</v>
      </c>
      <c r="H51">
        <f>YEAR(cleaned_personal_finance_data15[[#This Row],[date]])</f>
        <v>2023</v>
      </c>
      <c r="I51" t="s">
        <v>47</v>
      </c>
    </row>
    <row r="52" spans="1:9" hidden="1" x14ac:dyDescent="0.25">
      <c r="A52">
        <v>51</v>
      </c>
      <c r="B52" s="1">
        <v>45271</v>
      </c>
      <c r="C52" t="s">
        <v>29</v>
      </c>
      <c r="D52">
        <v>30</v>
      </c>
      <c r="E52" t="s">
        <v>15</v>
      </c>
      <c r="F52" t="s">
        <v>13</v>
      </c>
      <c r="G52">
        <f>MONTH(cleaned_personal_finance_data15[[#This Row],[date]])</f>
        <v>12</v>
      </c>
      <c r="H52">
        <f>YEAR(cleaned_personal_finance_data15[[#This Row],[date]])</f>
        <v>2023</v>
      </c>
      <c r="I52" t="s">
        <v>29</v>
      </c>
    </row>
    <row r="53" spans="1:9" hidden="1" x14ac:dyDescent="0.25">
      <c r="A53">
        <v>52</v>
      </c>
      <c r="B53" s="1">
        <v>45271</v>
      </c>
      <c r="C53" t="s">
        <v>48</v>
      </c>
      <c r="D53">
        <v>544</v>
      </c>
      <c r="E53" t="s">
        <v>15</v>
      </c>
      <c r="F53" t="s">
        <v>13</v>
      </c>
      <c r="G53">
        <f>MONTH(cleaned_personal_finance_data15[[#This Row],[date]])</f>
        <v>12</v>
      </c>
      <c r="H53">
        <f>YEAR(cleaned_personal_finance_data15[[#This Row],[date]])</f>
        <v>2023</v>
      </c>
      <c r="I53" t="s">
        <v>319</v>
      </c>
    </row>
    <row r="54" spans="1:9" hidden="1" x14ac:dyDescent="0.25">
      <c r="A54">
        <v>53</v>
      </c>
      <c r="B54" s="1">
        <v>45273</v>
      </c>
      <c r="C54" t="s">
        <v>49</v>
      </c>
      <c r="D54">
        <v>50</v>
      </c>
      <c r="E54" t="s">
        <v>15</v>
      </c>
      <c r="F54" t="s">
        <v>13</v>
      </c>
      <c r="G54">
        <f>MONTH(cleaned_personal_finance_data15[[#This Row],[date]])</f>
        <v>12</v>
      </c>
      <c r="H54">
        <f>YEAR(cleaned_personal_finance_data15[[#This Row],[date]])</f>
        <v>2023</v>
      </c>
      <c r="I54" t="s">
        <v>49</v>
      </c>
    </row>
    <row r="55" spans="1:9" hidden="1" x14ac:dyDescent="0.25">
      <c r="A55">
        <v>54</v>
      </c>
      <c r="B55" s="1">
        <v>45273</v>
      </c>
      <c r="C55" t="s">
        <v>29</v>
      </c>
      <c r="D55">
        <v>20</v>
      </c>
      <c r="E55" t="s">
        <v>15</v>
      </c>
      <c r="F55" t="s">
        <v>13</v>
      </c>
      <c r="G55">
        <f>MONTH(cleaned_personal_finance_data15[[#This Row],[date]])</f>
        <v>12</v>
      </c>
      <c r="H55">
        <f>YEAR(cleaned_personal_finance_data15[[#This Row],[date]])</f>
        <v>2023</v>
      </c>
      <c r="I55" t="s">
        <v>29</v>
      </c>
    </row>
    <row r="56" spans="1:9" hidden="1" x14ac:dyDescent="0.25">
      <c r="A56">
        <v>55</v>
      </c>
      <c r="B56" s="1">
        <v>45274</v>
      </c>
      <c r="C56" t="s">
        <v>6</v>
      </c>
      <c r="D56">
        <v>12732</v>
      </c>
      <c r="E56" t="s">
        <v>7</v>
      </c>
      <c r="F56" t="s">
        <v>8</v>
      </c>
      <c r="G56">
        <f>MONTH(cleaned_personal_finance_data15[[#This Row],[date]])</f>
        <v>12</v>
      </c>
      <c r="H56">
        <f>YEAR(cleaned_personal_finance_data15[[#This Row],[date]])</f>
        <v>2023</v>
      </c>
      <c r="I56" t="s">
        <v>318</v>
      </c>
    </row>
    <row r="57" spans="1:9" hidden="1" x14ac:dyDescent="0.25">
      <c r="A57">
        <v>56</v>
      </c>
      <c r="B57" s="1">
        <v>45274</v>
      </c>
      <c r="C57" t="s">
        <v>20</v>
      </c>
      <c r="D57">
        <v>3000</v>
      </c>
      <c r="E57" t="s">
        <v>10</v>
      </c>
      <c r="F57" t="s">
        <v>21</v>
      </c>
      <c r="G57">
        <f>MONTH(cleaned_personal_finance_data15[[#This Row],[date]])</f>
        <v>12</v>
      </c>
      <c r="H57">
        <f>YEAR(cleaned_personal_finance_data15[[#This Row],[date]])</f>
        <v>2023</v>
      </c>
      <c r="I57" t="s">
        <v>20</v>
      </c>
    </row>
    <row r="58" spans="1:9" hidden="1" x14ac:dyDescent="0.25">
      <c r="A58">
        <v>57</v>
      </c>
      <c r="B58" s="1">
        <v>45274</v>
      </c>
      <c r="C58" t="s">
        <v>20</v>
      </c>
      <c r="D58">
        <v>3000</v>
      </c>
      <c r="E58" t="s">
        <v>12</v>
      </c>
      <c r="F58" t="s">
        <v>21</v>
      </c>
      <c r="G58">
        <f>MONTH(cleaned_personal_finance_data15[[#This Row],[date]])</f>
        <v>12</v>
      </c>
      <c r="H58">
        <f>YEAR(cleaned_personal_finance_data15[[#This Row],[date]])</f>
        <v>2023</v>
      </c>
      <c r="I58" t="s">
        <v>20</v>
      </c>
    </row>
    <row r="59" spans="1:9" hidden="1" x14ac:dyDescent="0.25">
      <c r="A59">
        <v>58</v>
      </c>
      <c r="B59" s="1">
        <v>45274</v>
      </c>
      <c r="C59" t="s">
        <v>50</v>
      </c>
      <c r="D59">
        <v>599</v>
      </c>
      <c r="E59" t="s">
        <v>15</v>
      </c>
      <c r="F59" t="s">
        <v>21</v>
      </c>
      <c r="G59">
        <f>MONTH(cleaned_personal_finance_data15[[#This Row],[date]])</f>
        <v>12</v>
      </c>
      <c r="H59">
        <f>YEAR(cleaned_personal_finance_data15[[#This Row],[date]])</f>
        <v>2023</v>
      </c>
      <c r="I59" t="s">
        <v>50</v>
      </c>
    </row>
    <row r="60" spans="1:9" hidden="1" x14ac:dyDescent="0.25">
      <c r="A60">
        <v>59</v>
      </c>
      <c r="B60" s="1">
        <v>45275</v>
      </c>
      <c r="C60" t="s">
        <v>51</v>
      </c>
      <c r="D60">
        <v>30</v>
      </c>
      <c r="E60" t="s">
        <v>15</v>
      </c>
      <c r="F60" t="s">
        <v>13</v>
      </c>
      <c r="G60">
        <f>MONTH(cleaned_personal_finance_data15[[#This Row],[date]])</f>
        <v>12</v>
      </c>
      <c r="H60">
        <f>YEAR(cleaned_personal_finance_data15[[#This Row],[date]])</f>
        <v>2023</v>
      </c>
      <c r="I60" t="s">
        <v>43</v>
      </c>
    </row>
    <row r="61" spans="1:9" hidden="1" x14ac:dyDescent="0.25">
      <c r="A61">
        <v>60</v>
      </c>
      <c r="B61" s="1">
        <v>45275</v>
      </c>
      <c r="C61" t="s">
        <v>52</v>
      </c>
      <c r="D61">
        <v>15</v>
      </c>
      <c r="E61" t="s">
        <v>15</v>
      </c>
      <c r="F61" t="s">
        <v>13</v>
      </c>
      <c r="G61">
        <f>MONTH(cleaned_personal_finance_data15[[#This Row],[date]])</f>
        <v>12</v>
      </c>
      <c r="H61">
        <f>YEAR(cleaned_personal_finance_data15[[#This Row],[date]])</f>
        <v>2023</v>
      </c>
      <c r="I61" t="s">
        <v>43</v>
      </c>
    </row>
    <row r="62" spans="1:9" hidden="1" x14ac:dyDescent="0.25">
      <c r="A62">
        <v>61</v>
      </c>
      <c r="B62" s="1">
        <v>45275</v>
      </c>
      <c r="C62" t="s">
        <v>53</v>
      </c>
      <c r="D62">
        <v>120</v>
      </c>
      <c r="E62" t="s">
        <v>15</v>
      </c>
      <c r="F62" t="s">
        <v>13</v>
      </c>
      <c r="G62">
        <f>MONTH(cleaned_personal_finance_data15[[#This Row],[date]])</f>
        <v>12</v>
      </c>
      <c r="H62">
        <f>YEAR(cleaned_personal_finance_data15[[#This Row],[date]])</f>
        <v>2023</v>
      </c>
      <c r="I62" t="s">
        <v>43</v>
      </c>
    </row>
    <row r="63" spans="1:9" hidden="1" x14ac:dyDescent="0.25">
      <c r="A63">
        <v>62</v>
      </c>
      <c r="B63" s="1">
        <v>45275</v>
      </c>
      <c r="C63" t="s">
        <v>54</v>
      </c>
      <c r="D63">
        <v>142</v>
      </c>
      <c r="E63" t="s">
        <v>15</v>
      </c>
      <c r="F63" t="s">
        <v>13</v>
      </c>
      <c r="G63">
        <f>MONTH(cleaned_personal_finance_data15[[#This Row],[date]])</f>
        <v>12</v>
      </c>
      <c r="H63">
        <f>YEAR(cleaned_personal_finance_data15[[#This Row],[date]])</f>
        <v>2023</v>
      </c>
      <c r="I63" t="s">
        <v>54</v>
      </c>
    </row>
    <row r="64" spans="1:9" hidden="1" x14ac:dyDescent="0.25">
      <c r="A64">
        <v>63</v>
      </c>
      <c r="B64" s="1">
        <v>45275</v>
      </c>
      <c r="C64" t="s">
        <v>9</v>
      </c>
      <c r="D64">
        <v>19036</v>
      </c>
      <c r="E64" t="s">
        <v>10</v>
      </c>
      <c r="F64" t="s">
        <v>8</v>
      </c>
      <c r="G64">
        <f>MONTH(cleaned_personal_finance_data15[[#This Row],[date]])</f>
        <v>12</v>
      </c>
      <c r="H64">
        <f>YEAR(cleaned_personal_finance_data15[[#This Row],[date]])</f>
        <v>2023</v>
      </c>
      <c r="I64" t="s">
        <v>9</v>
      </c>
    </row>
    <row r="65" spans="1:9" hidden="1" x14ac:dyDescent="0.25">
      <c r="A65">
        <v>64</v>
      </c>
      <c r="B65" s="1">
        <v>45275</v>
      </c>
      <c r="C65" t="s">
        <v>11</v>
      </c>
      <c r="D65">
        <v>19000</v>
      </c>
      <c r="E65" t="s">
        <v>12</v>
      </c>
      <c r="F65" t="s">
        <v>13</v>
      </c>
      <c r="G65">
        <f>MONTH(cleaned_personal_finance_data15[[#This Row],[date]])</f>
        <v>12</v>
      </c>
      <c r="H65">
        <f>YEAR(cleaned_personal_finance_data15[[#This Row],[date]])</f>
        <v>2023</v>
      </c>
      <c r="I65" t="s">
        <v>11</v>
      </c>
    </row>
    <row r="66" spans="1:9" hidden="1" x14ac:dyDescent="0.25">
      <c r="A66">
        <v>65</v>
      </c>
      <c r="B66" s="1">
        <v>45275</v>
      </c>
      <c r="C66" t="s">
        <v>55</v>
      </c>
      <c r="D66">
        <v>1500</v>
      </c>
      <c r="E66" t="s">
        <v>15</v>
      </c>
      <c r="F66" t="s">
        <v>13</v>
      </c>
      <c r="G66">
        <f>MONTH(cleaned_personal_finance_data15[[#This Row],[date]])</f>
        <v>12</v>
      </c>
      <c r="H66">
        <f>YEAR(cleaned_personal_finance_data15[[#This Row],[date]])</f>
        <v>2023</v>
      </c>
      <c r="I66" t="s">
        <v>55</v>
      </c>
    </row>
    <row r="67" spans="1:9" hidden="1" x14ac:dyDescent="0.25">
      <c r="A67">
        <v>66</v>
      </c>
      <c r="B67" s="1">
        <v>45275</v>
      </c>
      <c r="C67" t="s">
        <v>56</v>
      </c>
      <c r="D67">
        <v>3600</v>
      </c>
      <c r="E67" t="s">
        <v>15</v>
      </c>
      <c r="F67" t="s">
        <v>13</v>
      </c>
      <c r="G67">
        <f>MONTH(cleaned_personal_finance_data15[[#This Row],[date]])</f>
        <v>12</v>
      </c>
      <c r="H67">
        <f>YEAR(cleaned_personal_finance_data15[[#This Row],[date]])</f>
        <v>2023</v>
      </c>
      <c r="I67" t="s">
        <v>56</v>
      </c>
    </row>
    <row r="68" spans="1:9" hidden="1" x14ac:dyDescent="0.25">
      <c r="A68">
        <v>67</v>
      </c>
      <c r="B68" s="1">
        <v>45275</v>
      </c>
      <c r="C68" t="s">
        <v>57</v>
      </c>
      <c r="D68">
        <v>2900</v>
      </c>
      <c r="E68" t="s">
        <v>15</v>
      </c>
      <c r="F68" t="s">
        <v>13</v>
      </c>
      <c r="G68">
        <f>MONTH(cleaned_personal_finance_data15[[#This Row],[date]])</f>
        <v>12</v>
      </c>
      <c r="H68">
        <f>YEAR(cleaned_personal_finance_data15[[#This Row],[date]])</f>
        <v>2023</v>
      </c>
      <c r="I68" t="s">
        <v>57</v>
      </c>
    </row>
    <row r="69" spans="1:9" hidden="1" x14ac:dyDescent="0.25">
      <c r="A69">
        <v>68</v>
      </c>
      <c r="B69" s="1">
        <v>45275</v>
      </c>
      <c r="C69" t="s">
        <v>58</v>
      </c>
      <c r="D69">
        <v>599</v>
      </c>
      <c r="E69" t="s">
        <v>15</v>
      </c>
      <c r="F69" t="s">
        <v>13</v>
      </c>
      <c r="G69">
        <f>MONTH(cleaned_personal_finance_data15[[#This Row],[date]])</f>
        <v>12</v>
      </c>
      <c r="H69">
        <f>YEAR(cleaned_personal_finance_data15[[#This Row],[date]])</f>
        <v>2023</v>
      </c>
      <c r="I69" t="s">
        <v>58</v>
      </c>
    </row>
    <row r="70" spans="1:9" hidden="1" x14ac:dyDescent="0.25">
      <c r="A70">
        <v>69</v>
      </c>
      <c r="B70" s="1">
        <v>45275</v>
      </c>
      <c r="C70" t="s">
        <v>59</v>
      </c>
      <c r="D70">
        <v>20</v>
      </c>
      <c r="E70" t="s">
        <v>15</v>
      </c>
      <c r="F70" t="s">
        <v>13</v>
      </c>
      <c r="G70">
        <f>MONTH(cleaned_personal_finance_data15[[#This Row],[date]])</f>
        <v>12</v>
      </c>
      <c r="H70">
        <f>YEAR(cleaned_personal_finance_data15[[#This Row],[date]])</f>
        <v>2023</v>
      </c>
      <c r="I70" t="s">
        <v>59</v>
      </c>
    </row>
    <row r="71" spans="1:9" hidden="1" x14ac:dyDescent="0.25">
      <c r="A71">
        <v>70</v>
      </c>
      <c r="B71" s="1">
        <v>45275</v>
      </c>
      <c r="C71" t="s">
        <v>60</v>
      </c>
      <c r="D71">
        <v>60</v>
      </c>
      <c r="E71" t="s">
        <v>15</v>
      </c>
      <c r="F71" t="s">
        <v>13</v>
      </c>
      <c r="G71">
        <f>MONTH(cleaned_personal_finance_data15[[#This Row],[date]])</f>
        <v>12</v>
      </c>
      <c r="H71">
        <f>YEAR(cleaned_personal_finance_data15[[#This Row],[date]])</f>
        <v>2023</v>
      </c>
      <c r="I71" t="s">
        <v>60</v>
      </c>
    </row>
    <row r="72" spans="1:9" hidden="1" x14ac:dyDescent="0.25">
      <c r="A72">
        <v>71</v>
      </c>
      <c r="B72" s="1">
        <v>45275</v>
      </c>
      <c r="C72" t="s">
        <v>61</v>
      </c>
      <c r="D72">
        <v>120</v>
      </c>
      <c r="E72" t="s">
        <v>15</v>
      </c>
      <c r="F72" t="s">
        <v>13</v>
      </c>
      <c r="G72">
        <f>MONTH(cleaned_personal_finance_data15[[#This Row],[date]])</f>
        <v>12</v>
      </c>
      <c r="H72">
        <f>YEAR(cleaned_personal_finance_data15[[#This Row],[date]])</f>
        <v>2023</v>
      </c>
      <c r="I72" t="s">
        <v>43</v>
      </c>
    </row>
    <row r="73" spans="1:9" hidden="1" x14ac:dyDescent="0.25">
      <c r="A73">
        <v>72</v>
      </c>
      <c r="B73" s="1">
        <v>45275</v>
      </c>
      <c r="C73" t="s">
        <v>62</v>
      </c>
      <c r="D73">
        <v>150</v>
      </c>
      <c r="E73" t="s">
        <v>15</v>
      </c>
      <c r="F73" t="s">
        <v>13</v>
      </c>
      <c r="G73">
        <f>MONTH(cleaned_personal_finance_data15[[#This Row],[date]])</f>
        <v>12</v>
      </c>
      <c r="H73">
        <f>YEAR(cleaned_personal_finance_data15[[#This Row],[date]])</f>
        <v>2023</v>
      </c>
      <c r="I73" t="s">
        <v>43</v>
      </c>
    </row>
    <row r="74" spans="1:9" hidden="1" x14ac:dyDescent="0.25">
      <c r="A74">
        <v>73</v>
      </c>
      <c r="B74" s="1">
        <v>45278</v>
      </c>
      <c r="C74" t="s">
        <v>37</v>
      </c>
      <c r="D74">
        <v>25</v>
      </c>
      <c r="E74" t="s">
        <v>15</v>
      </c>
      <c r="F74" t="s">
        <v>13</v>
      </c>
      <c r="G74">
        <f>MONTH(cleaned_personal_finance_data15[[#This Row],[date]])</f>
        <v>12</v>
      </c>
      <c r="H74">
        <f>YEAR(cleaned_personal_finance_data15[[#This Row],[date]])</f>
        <v>2023</v>
      </c>
      <c r="I74" t="s">
        <v>47</v>
      </c>
    </row>
    <row r="75" spans="1:9" hidden="1" x14ac:dyDescent="0.25">
      <c r="A75">
        <v>74</v>
      </c>
      <c r="B75" s="1">
        <v>45278</v>
      </c>
      <c r="C75" t="s">
        <v>63</v>
      </c>
      <c r="D75">
        <v>30</v>
      </c>
      <c r="E75" t="s">
        <v>15</v>
      </c>
      <c r="F75" t="s">
        <v>13</v>
      </c>
      <c r="G75">
        <f>MONTH(cleaned_personal_finance_data15[[#This Row],[date]])</f>
        <v>12</v>
      </c>
      <c r="H75">
        <f>YEAR(cleaned_personal_finance_data15[[#This Row],[date]])</f>
        <v>2023</v>
      </c>
      <c r="I75" t="s">
        <v>63</v>
      </c>
    </row>
    <row r="76" spans="1:9" hidden="1" x14ac:dyDescent="0.25">
      <c r="A76">
        <v>75</v>
      </c>
      <c r="B76" s="1">
        <v>45278</v>
      </c>
      <c r="C76" t="s">
        <v>35</v>
      </c>
      <c r="D76">
        <v>280</v>
      </c>
      <c r="E76" t="s">
        <v>15</v>
      </c>
      <c r="F76" t="s">
        <v>21</v>
      </c>
      <c r="G76">
        <f>MONTH(cleaned_personal_finance_data15[[#This Row],[date]])</f>
        <v>12</v>
      </c>
      <c r="H76">
        <f>YEAR(cleaned_personal_finance_data15[[#This Row],[date]])</f>
        <v>2023</v>
      </c>
      <c r="I76" t="s">
        <v>35</v>
      </c>
    </row>
    <row r="77" spans="1:9" hidden="1" x14ac:dyDescent="0.25">
      <c r="A77">
        <v>76</v>
      </c>
      <c r="B77" s="1">
        <v>45279</v>
      </c>
      <c r="C77" t="s">
        <v>64</v>
      </c>
      <c r="D77">
        <v>199</v>
      </c>
      <c r="E77" t="s">
        <v>15</v>
      </c>
      <c r="F77" t="s">
        <v>21</v>
      </c>
      <c r="G77">
        <f>MONTH(cleaned_personal_finance_data15[[#This Row],[date]])</f>
        <v>12</v>
      </c>
      <c r="H77">
        <f>YEAR(cleaned_personal_finance_data15[[#This Row],[date]])</f>
        <v>2023</v>
      </c>
      <c r="I77" t="s">
        <v>64</v>
      </c>
    </row>
    <row r="78" spans="1:9" hidden="1" x14ac:dyDescent="0.25">
      <c r="A78">
        <v>77</v>
      </c>
      <c r="B78" s="1">
        <v>45281</v>
      </c>
      <c r="C78" t="s">
        <v>65</v>
      </c>
      <c r="D78">
        <v>768</v>
      </c>
      <c r="E78" t="s">
        <v>15</v>
      </c>
      <c r="F78" t="s">
        <v>21</v>
      </c>
      <c r="G78">
        <f>MONTH(cleaned_personal_finance_data15[[#This Row],[date]])</f>
        <v>12</v>
      </c>
      <c r="H78">
        <f>YEAR(cleaned_personal_finance_data15[[#This Row],[date]])</f>
        <v>2023</v>
      </c>
      <c r="I78" t="s">
        <v>324</v>
      </c>
    </row>
    <row r="79" spans="1:9" hidden="1" x14ac:dyDescent="0.25">
      <c r="A79">
        <v>78</v>
      </c>
      <c r="B79" s="1">
        <v>45282</v>
      </c>
      <c r="C79" t="s">
        <v>34</v>
      </c>
      <c r="D79">
        <v>129</v>
      </c>
      <c r="E79" t="s">
        <v>15</v>
      </c>
      <c r="F79" t="s">
        <v>21</v>
      </c>
      <c r="G79">
        <f>MONTH(cleaned_personal_finance_data15[[#This Row],[date]])</f>
        <v>12</v>
      </c>
      <c r="H79">
        <f>YEAR(cleaned_personal_finance_data15[[#This Row],[date]])</f>
        <v>2023</v>
      </c>
      <c r="I79" t="s">
        <v>34</v>
      </c>
    </row>
    <row r="80" spans="1:9" hidden="1" x14ac:dyDescent="0.25">
      <c r="A80">
        <v>79</v>
      </c>
      <c r="B80" s="1">
        <v>45283</v>
      </c>
      <c r="C80" t="s">
        <v>51</v>
      </c>
      <c r="D80">
        <v>30</v>
      </c>
      <c r="E80" t="s">
        <v>15</v>
      </c>
      <c r="F80" t="s">
        <v>13</v>
      </c>
      <c r="G80">
        <f>MONTH(cleaned_personal_finance_data15[[#This Row],[date]])</f>
        <v>12</v>
      </c>
      <c r="H80">
        <f>YEAR(cleaned_personal_finance_data15[[#This Row],[date]])</f>
        <v>2023</v>
      </c>
      <c r="I80" t="s">
        <v>43</v>
      </c>
    </row>
    <row r="81" spans="1:9" hidden="1" x14ac:dyDescent="0.25">
      <c r="A81">
        <v>80</v>
      </c>
      <c r="B81" s="1">
        <v>45283</v>
      </c>
      <c r="C81" t="s">
        <v>66</v>
      </c>
      <c r="D81">
        <v>10</v>
      </c>
      <c r="E81" t="s">
        <v>15</v>
      </c>
      <c r="F81" t="s">
        <v>13</v>
      </c>
      <c r="G81">
        <f>MONTH(cleaned_personal_finance_data15[[#This Row],[date]])</f>
        <v>12</v>
      </c>
      <c r="H81">
        <f>YEAR(cleaned_personal_finance_data15[[#This Row],[date]])</f>
        <v>2023</v>
      </c>
      <c r="I81" t="s">
        <v>66</v>
      </c>
    </row>
    <row r="82" spans="1:9" hidden="1" x14ac:dyDescent="0.25">
      <c r="A82">
        <v>81</v>
      </c>
      <c r="B82" s="1">
        <v>45283</v>
      </c>
      <c r="C82" t="s">
        <v>67</v>
      </c>
      <c r="D82">
        <v>15</v>
      </c>
      <c r="E82" t="s">
        <v>15</v>
      </c>
      <c r="F82" t="s">
        <v>13</v>
      </c>
      <c r="G82">
        <f>MONTH(cleaned_personal_finance_data15[[#This Row],[date]])</f>
        <v>12</v>
      </c>
      <c r="H82">
        <f>YEAR(cleaned_personal_finance_data15[[#This Row],[date]])</f>
        <v>2023</v>
      </c>
      <c r="I82" t="s">
        <v>67</v>
      </c>
    </row>
    <row r="83" spans="1:9" hidden="1" x14ac:dyDescent="0.25">
      <c r="A83">
        <v>82</v>
      </c>
      <c r="B83" s="1">
        <v>45283</v>
      </c>
      <c r="C83" t="s">
        <v>68</v>
      </c>
      <c r="D83">
        <v>50</v>
      </c>
      <c r="E83" t="s">
        <v>15</v>
      </c>
      <c r="F83" t="s">
        <v>13</v>
      </c>
      <c r="G83">
        <f>MONTH(cleaned_personal_finance_data15[[#This Row],[date]])</f>
        <v>12</v>
      </c>
      <c r="H83">
        <f>YEAR(cleaned_personal_finance_data15[[#This Row],[date]])</f>
        <v>2023</v>
      </c>
      <c r="I83" t="s">
        <v>43</v>
      </c>
    </row>
    <row r="84" spans="1:9" hidden="1" x14ac:dyDescent="0.25">
      <c r="A84">
        <v>83</v>
      </c>
      <c r="B84" s="1">
        <v>45283</v>
      </c>
      <c r="C84" t="s">
        <v>69</v>
      </c>
      <c r="D84">
        <v>50</v>
      </c>
      <c r="E84" t="s">
        <v>15</v>
      </c>
      <c r="F84" t="s">
        <v>13</v>
      </c>
      <c r="G84">
        <f>MONTH(cleaned_personal_finance_data15[[#This Row],[date]])</f>
        <v>12</v>
      </c>
      <c r="H84">
        <f>YEAR(cleaned_personal_finance_data15[[#This Row],[date]])</f>
        <v>2023</v>
      </c>
      <c r="I84" t="s">
        <v>69</v>
      </c>
    </row>
    <row r="85" spans="1:9" hidden="1" x14ac:dyDescent="0.25">
      <c r="A85">
        <v>84</v>
      </c>
      <c r="B85" s="1">
        <v>45283</v>
      </c>
      <c r="C85" t="s">
        <v>67</v>
      </c>
      <c r="D85">
        <v>20</v>
      </c>
      <c r="E85" t="s">
        <v>15</v>
      </c>
      <c r="F85" t="s">
        <v>13</v>
      </c>
      <c r="G85">
        <f>MONTH(cleaned_personal_finance_data15[[#This Row],[date]])</f>
        <v>12</v>
      </c>
      <c r="H85">
        <f>YEAR(cleaned_personal_finance_data15[[#This Row],[date]])</f>
        <v>2023</v>
      </c>
      <c r="I85" t="s">
        <v>67</v>
      </c>
    </row>
    <row r="86" spans="1:9" hidden="1" x14ac:dyDescent="0.25">
      <c r="A86">
        <v>85</v>
      </c>
      <c r="B86" s="1">
        <v>45283</v>
      </c>
      <c r="C86" t="s">
        <v>70</v>
      </c>
      <c r="D86">
        <v>10</v>
      </c>
      <c r="E86" t="s">
        <v>15</v>
      </c>
      <c r="F86" t="s">
        <v>13</v>
      </c>
      <c r="G86">
        <f>MONTH(cleaned_personal_finance_data15[[#This Row],[date]])</f>
        <v>12</v>
      </c>
      <c r="H86">
        <f>YEAR(cleaned_personal_finance_data15[[#This Row],[date]])</f>
        <v>2023</v>
      </c>
      <c r="I86" t="s">
        <v>70</v>
      </c>
    </row>
    <row r="87" spans="1:9" hidden="1" x14ac:dyDescent="0.25">
      <c r="A87">
        <v>86</v>
      </c>
      <c r="B87" s="1">
        <v>45283</v>
      </c>
      <c r="C87" t="s">
        <v>71</v>
      </c>
      <c r="D87">
        <v>18000</v>
      </c>
      <c r="E87" t="s">
        <v>7</v>
      </c>
      <c r="F87" t="s">
        <v>13</v>
      </c>
      <c r="G87">
        <f>MONTH(cleaned_personal_finance_data15[[#This Row],[date]])</f>
        <v>12</v>
      </c>
      <c r="H87">
        <f>YEAR(cleaned_personal_finance_data15[[#This Row],[date]])</f>
        <v>2023</v>
      </c>
      <c r="I87" t="s">
        <v>71</v>
      </c>
    </row>
    <row r="88" spans="1:9" hidden="1" x14ac:dyDescent="0.25">
      <c r="A88">
        <v>87</v>
      </c>
      <c r="B88" s="1">
        <v>45283</v>
      </c>
      <c r="C88" t="s">
        <v>72</v>
      </c>
      <c r="D88">
        <v>600</v>
      </c>
      <c r="E88" t="s">
        <v>15</v>
      </c>
      <c r="F88" t="s">
        <v>13</v>
      </c>
      <c r="G88">
        <f>MONTH(cleaned_personal_finance_data15[[#This Row],[date]])</f>
        <v>12</v>
      </c>
      <c r="H88">
        <f>YEAR(cleaned_personal_finance_data15[[#This Row],[date]])</f>
        <v>2023</v>
      </c>
      <c r="I88" t="s">
        <v>72</v>
      </c>
    </row>
    <row r="89" spans="1:9" hidden="1" x14ac:dyDescent="0.25">
      <c r="A89">
        <v>88</v>
      </c>
      <c r="B89" s="1">
        <v>45283</v>
      </c>
      <c r="C89" t="s">
        <v>73</v>
      </c>
      <c r="D89">
        <v>150</v>
      </c>
      <c r="E89" t="s">
        <v>15</v>
      </c>
      <c r="F89" t="s">
        <v>13</v>
      </c>
      <c r="G89">
        <f>MONTH(cleaned_personal_finance_data15[[#This Row],[date]])</f>
        <v>12</v>
      </c>
      <c r="H89">
        <f>YEAR(cleaned_personal_finance_data15[[#This Row],[date]])</f>
        <v>2023</v>
      </c>
      <c r="I89" t="s">
        <v>43</v>
      </c>
    </row>
    <row r="90" spans="1:9" hidden="1" x14ac:dyDescent="0.25">
      <c r="A90">
        <v>89</v>
      </c>
      <c r="B90" s="1">
        <v>45283</v>
      </c>
      <c r="C90" t="s">
        <v>74</v>
      </c>
      <c r="D90">
        <v>20</v>
      </c>
      <c r="E90" t="s">
        <v>15</v>
      </c>
      <c r="F90" t="s">
        <v>13</v>
      </c>
      <c r="G90">
        <f>MONTH(cleaned_personal_finance_data15[[#This Row],[date]])</f>
        <v>12</v>
      </c>
      <c r="H90">
        <f>YEAR(cleaned_personal_finance_data15[[#This Row],[date]])</f>
        <v>2023</v>
      </c>
      <c r="I90" t="s">
        <v>74</v>
      </c>
    </row>
    <row r="91" spans="1:9" hidden="1" x14ac:dyDescent="0.25">
      <c r="A91">
        <v>90</v>
      </c>
      <c r="B91" s="1">
        <v>45283</v>
      </c>
      <c r="C91" t="s">
        <v>67</v>
      </c>
      <c r="D91">
        <v>15</v>
      </c>
      <c r="E91" t="s">
        <v>15</v>
      </c>
      <c r="F91" t="s">
        <v>13</v>
      </c>
      <c r="G91">
        <f>MONTH(cleaned_personal_finance_data15[[#This Row],[date]])</f>
        <v>12</v>
      </c>
      <c r="H91">
        <f>YEAR(cleaned_personal_finance_data15[[#This Row],[date]])</f>
        <v>2023</v>
      </c>
      <c r="I91" t="s">
        <v>67</v>
      </c>
    </row>
    <row r="92" spans="1:9" hidden="1" x14ac:dyDescent="0.25">
      <c r="A92">
        <v>91</v>
      </c>
      <c r="B92" s="1">
        <v>45283</v>
      </c>
      <c r="C92" t="s">
        <v>75</v>
      </c>
      <c r="D92">
        <v>15</v>
      </c>
      <c r="E92" t="s">
        <v>15</v>
      </c>
      <c r="F92" t="s">
        <v>13</v>
      </c>
      <c r="G92">
        <f>MONTH(cleaned_personal_finance_data15[[#This Row],[date]])</f>
        <v>12</v>
      </c>
      <c r="H92">
        <f>YEAR(cleaned_personal_finance_data15[[#This Row],[date]])</f>
        <v>2023</v>
      </c>
      <c r="I92" t="s">
        <v>43</v>
      </c>
    </row>
    <row r="93" spans="1:9" hidden="1" x14ac:dyDescent="0.25">
      <c r="A93">
        <v>92</v>
      </c>
      <c r="B93" s="1">
        <v>45283</v>
      </c>
      <c r="C93" t="s">
        <v>76</v>
      </c>
      <c r="D93">
        <v>50</v>
      </c>
      <c r="E93" t="s">
        <v>15</v>
      </c>
      <c r="F93" t="s">
        <v>13</v>
      </c>
      <c r="G93">
        <f>MONTH(cleaned_personal_finance_data15[[#This Row],[date]])</f>
        <v>12</v>
      </c>
      <c r="H93">
        <f>YEAR(cleaned_personal_finance_data15[[#This Row],[date]])</f>
        <v>2023</v>
      </c>
      <c r="I93" t="s">
        <v>43</v>
      </c>
    </row>
    <row r="94" spans="1:9" hidden="1" x14ac:dyDescent="0.25">
      <c r="A94">
        <v>93</v>
      </c>
      <c r="B94" s="1">
        <v>45283</v>
      </c>
      <c r="C94" t="s">
        <v>77</v>
      </c>
      <c r="D94">
        <v>3000</v>
      </c>
      <c r="E94" t="s">
        <v>15</v>
      </c>
      <c r="F94" t="s">
        <v>13</v>
      </c>
      <c r="G94">
        <f>MONTH(cleaned_personal_finance_data15[[#This Row],[date]])</f>
        <v>12</v>
      </c>
      <c r="H94">
        <f>YEAR(cleaned_personal_finance_data15[[#This Row],[date]])</f>
        <v>2023</v>
      </c>
      <c r="I94" t="s">
        <v>77</v>
      </c>
    </row>
    <row r="95" spans="1:9" hidden="1" x14ac:dyDescent="0.25">
      <c r="A95">
        <v>94</v>
      </c>
      <c r="B95" s="1">
        <v>45284</v>
      </c>
      <c r="C95" t="s">
        <v>78</v>
      </c>
      <c r="D95">
        <v>400</v>
      </c>
      <c r="E95" t="s">
        <v>15</v>
      </c>
      <c r="F95" t="s">
        <v>13</v>
      </c>
      <c r="G95">
        <f>MONTH(cleaned_personal_finance_data15[[#This Row],[date]])</f>
        <v>12</v>
      </c>
      <c r="H95">
        <f>YEAR(cleaned_personal_finance_data15[[#This Row],[date]])</f>
        <v>2023</v>
      </c>
      <c r="I95" t="s">
        <v>78</v>
      </c>
    </row>
    <row r="96" spans="1:9" hidden="1" x14ac:dyDescent="0.25">
      <c r="A96">
        <v>95</v>
      </c>
      <c r="B96" s="1">
        <v>45284</v>
      </c>
      <c r="C96" t="s">
        <v>79</v>
      </c>
      <c r="D96">
        <v>100</v>
      </c>
      <c r="E96" t="s">
        <v>15</v>
      </c>
      <c r="F96" t="s">
        <v>13</v>
      </c>
      <c r="G96">
        <f>MONTH(cleaned_personal_finance_data15[[#This Row],[date]])</f>
        <v>12</v>
      </c>
      <c r="H96">
        <f>YEAR(cleaned_personal_finance_data15[[#This Row],[date]])</f>
        <v>2023</v>
      </c>
      <c r="I96" t="s">
        <v>79</v>
      </c>
    </row>
    <row r="97" spans="1:9" hidden="1" x14ac:dyDescent="0.25">
      <c r="A97">
        <v>96</v>
      </c>
      <c r="B97" s="1">
        <v>45285</v>
      </c>
      <c r="C97" t="s">
        <v>78</v>
      </c>
      <c r="D97">
        <v>100</v>
      </c>
      <c r="E97" t="s">
        <v>15</v>
      </c>
      <c r="F97" t="s">
        <v>13</v>
      </c>
      <c r="G97">
        <f>MONTH(cleaned_personal_finance_data15[[#This Row],[date]])</f>
        <v>12</v>
      </c>
      <c r="H97">
        <f>YEAR(cleaned_personal_finance_data15[[#This Row],[date]])</f>
        <v>2023</v>
      </c>
      <c r="I97" t="s">
        <v>78</v>
      </c>
    </row>
    <row r="98" spans="1:9" hidden="1" x14ac:dyDescent="0.25">
      <c r="A98">
        <v>97</v>
      </c>
      <c r="B98" s="1">
        <v>45286</v>
      </c>
      <c r="C98" t="s">
        <v>64</v>
      </c>
      <c r="D98">
        <v>199</v>
      </c>
      <c r="E98" t="s">
        <v>15</v>
      </c>
      <c r="F98" t="s">
        <v>21</v>
      </c>
      <c r="G98">
        <f>MONTH(cleaned_personal_finance_data15[[#This Row],[date]])</f>
        <v>12</v>
      </c>
      <c r="H98">
        <f>YEAR(cleaned_personal_finance_data15[[#This Row],[date]])</f>
        <v>2023</v>
      </c>
      <c r="I98" t="s">
        <v>64</v>
      </c>
    </row>
    <row r="99" spans="1:9" hidden="1" x14ac:dyDescent="0.25">
      <c r="A99">
        <v>98</v>
      </c>
      <c r="B99" s="1">
        <v>45288</v>
      </c>
      <c r="C99" t="s">
        <v>51</v>
      </c>
      <c r="D99">
        <v>30</v>
      </c>
      <c r="E99" t="s">
        <v>15</v>
      </c>
      <c r="F99" t="s">
        <v>13</v>
      </c>
      <c r="G99">
        <f>MONTH(cleaned_personal_finance_data15[[#This Row],[date]])</f>
        <v>12</v>
      </c>
      <c r="H99">
        <f>YEAR(cleaned_personal_finance_data15[[#This Row],[date]])</f>
        <v>2023</v>
      </c>
      <c r="I99" t="s">
        <v>43</v>
      </c>
    </row>
    <row r="100" spans="1:9" hidden="1" x14ac:dyDescent="0.25">
      <c r="A100">
        <v>99</v>
      </c>
      <c r="B100" s="1">
        <v>45288</v>
      </c>
      <c r="C100" t="s">
        <v>80</v>
      </c>
      <c r="D100">
        <v>120</v>
      </c>
      <c r="E100" t="s">
        <v>15</v>
      </c>
      <c r="F100" t="s">
        <v>13</v>
      </c>
      <c r="G100">
        <f>MONTH(cleaned_personal_finance_data15[[#This Row],[date]])</f>
        <v>12</v>
      </c>
      <c r="H100">
        <f>YEAR(cleaned_personal_finance_data15[[#This Row],[date]])</f>
        <v>2023</v>
      </c>
      <c r="I100" t="s">
        <v>43</v>
      </c>
    </row>
    <row r="101" spans="1:9" hidden="1" x14ac:dyDescent="0.25">
      <c r="A101">
        <v>100</v>
      </c>
      <c r="B101" s="1">
        <v>45288</v>
      </c>
      <c r="C101" t="s">
        <v>81</v>
      </c>
      <c r="D101">
        <v>1375</v>
      </c>
      <c r="E101" t="s">
        <v>15</v>
      </c>
      <c r="F101" t="s">
        <v>13</v>
      </c>
      <c r="G101">
        <f>MONTH(cleaned_personal_finance_data15[[#This Row],[date]])</f>
        <v>12</v>
      </c>
      <c r="H101">
        <f>YEAR(cleaned_personal_finance_data15[[#This Row],[date]])</f>
        <v>2023</v>
      </c>
      <c r="I101" t="s">
        <v>81</v>
      </c>
    </row>
    <row r="102" spans="1:9" hidden="1" x14ac:dyDescent="0.25">
      <c r="A102">
        <v>101</v>
      </c>
      <c r="B102" s="1">
        <v>45288</v>
      </c>
      <c r="C102" t="s">
        <v>82</v>
      </c>
      <c r="D102">
        <v>157</v>
      </c>
      <c r="E102" t="s">
        <v>15</v>
      </c>
      <c r="F102" t="s">
        <v>13</v>
      </c>
      <c r="G102">
        <f>MONTH(cleaned_personal_finance_data15[[#This Row],[date]])</f>
        <v>12</v>
      </c>
      <c r="H102">
        <f>YEAR(cleaned_personal_finance_data15[[#This Row],[date]])</f>
        <v>2023</v>
      </c>
      <c r="I102" t="s">
        <v>82</v>
      </c>
    </row>
    <row r="103" spans="1:9" hidden="1" x14ac:dyDescent="0.25">
      <c r="A103">
        <v>102</v>
      </c>
      <c r="B103" s="1">
        <v>45288</v>
      </c>
      <c r="C103" t="s">
        <v>83</v>
      </c>
      <c r="D103">
        <v>2600</v>
      </c>
      <c r="E103" t="s">
        <v>15</v>
      </c>
      <c r="F103" t="s">
        <v>13</v>
      </c>
      <c r="G103">
        <f>MONTH(cleaned_personal_finance_data15[[#This Row],[date]])</f>
        <v>12</v>
      </c>
      <c r="H103">
        <f>YEAR(cleaned_personal_finance_data15[[#This Row],[date]])</f>
        <v>2023</v>
      </c>
      <c r="I103" t="s">
        <v>83</v>
      </c>
    </row>
    <row r="104" spans="1:9" hidden="1" x14ac:dyDescent="0.25">
      <c r="A104">
        <v>103</v>
      </c>
      <c r="B104" s="1">
        <v>45288</v>
      </c>
      <c r="C104" t="s">
        <v>84</v>
      </c>
      <c r="D104">
        <v>500</v>
      </c>
      <c r="E104" t="s">
        <v>15</v>
      </c>
      <c r="F104" t="s">
        <v>13</v>
      </c>
      <c r="G104">
        <f>MONTH(cleaned_personal_finance_data15[[#This Row],[date]])</f>
        <v>12</v>
      </c>
      <c r="H104">
        <f>YEAR(cleaned_personal_finance_data15[[#This Row],[date]])</f>
        <v>2023</v>
      </c>
      <c r="I104" t="s">
        <v>84</v>
      </c>
    </row>
    <row r="105" spans="1:9" hidden="1" x14ac:dyDescent="0.25">
      <c r="A105">
        <v>104</v>
      </c>
      <c r="B105" s="1">
        <v>45288</v>
      </c>
      <c r="C105" t="s">
        <v>85</v>
      </c>
      <c r="D105">
        <v>500</v>
      </c>
      <c r="E105" t="s">
        <v>15</v>
      </c>
      <c r="F105" t="s">
        <v>13</v>
      </c>
      <c r="G105">
        <f>MONTH(cleaned_personal_finance_data15[[#This Row],[date]])</f>
        <v>12</v>
      </c>
      <c r="H105">
        <f>YEAR(cleaned_personal_finance_data15[[#This Row],[date]])</f>
        <v>2023</v>
      </c>
      <c r="I105" t="s">
        <v>85</v>
      </c>
    </row>
    <row r="106" spans="1:9" hidden="1" x14ac:dyDescent="0.25">
      <c r="A106">
        <v>105</v>
      </c>
      <c r="B106" s="1">
        <v>45288</v>
      </c>
      <c r="C106" t="s">
        <v>61</v>
      </c>
      <c r="D106">
        <v>120</v>
      </c>
      <c r="E106" t="s">
        <v>15</v>
      </c>
      <c r="F106" t="s">
        <v>13</v>
      </c>
      <c r="G106">
        <f>MONTH(cleaned_personal_finance_data15[[#This Row],[date]])</f>
        <v>12</v>
      </c>
      <c r="H106">
        <f>YEAR(cleaned_personal_finance_data15[[#This Row],[date]])</f>
        <v>2023</v>
      </c>
      <c r="I106" t="s">
        <v>43</v>
      </c>
    </row>
    <row r="107" spans="1:9" hidden="1" x14ac:dyDescent="0.25">
      <c r="A107">
        <v>106</v>
      </c>
      <c r="B107" s="1">
        <v>45288</v>
      </c>
      <c r="C107" t="s">
        <v>6</v>
      </c>
      <c r="D107">
        <v>12733</v>
      </c>
      <c r="E107" t="s">
        <v>7</v>
      </c>
      <c r="F107" t="s">
        <v>8</v>
      </c>
      <c r="G107">
        <f>MONTH(cleaned_personal_finance_data15[[#This Row],[date]])</f>
        <v>12</v>
      </c>
      <c r="H107">
        <f>YEAR(cleaned_personal_finance_data15[[#This Row],[date]])</f>
        <v>2023</v>
      </c>
      <c r="I107" t="s">
        <v>318</v>
      </c>
    </row>
    <row r="108" spans="1:9" hidden="1" x14ac:dyDescent="0.25">
      <c r="A108">
        <v>107</v>
      </c>
      <c r="B108" s="1">
        <v>45291</v>
      </c>
      <c r="C108" t="s">
        <v>86</v>
      </c>
      <c r="D108">
        <v>160</v>
      </c>
      <c r="E108" t="s">
        <v>15</v>
      </c>
      <c r="F108" t="s">
        <v>13</v>
      </c>
      <c r="G108">
        <f>MONTH(cleaned_personal_finance_data15[[#This Row],[date]])</f>
        <v>12</v>
      </c>
      <c r="H108">
        <f>YEAR(cleaned_personal_finance_data15[[#This Row],[date]])</f>
        <v>2023</v>
      </c>
      <c r="I108" t="s">
        <v>262</v>
      </c>
    </row>
    <row r="109" spans="1:9" hidden="1" x14ac:dyDescent="0.25">
      <c r="A109">
        <v>108</v>
      </c>
      <c r="B109" s="1">
        <v>45292</v>
      </c>
      <c r="C109" t="s">
        <v>87</v>
      </c>
      <c r="D109">
        <v>200</v>
      </c>
      <c r="E109" t="s">
        <v>15</v>
      </c>
      <c r="F109" t="s">
        <v>13</v>
      </c>
      <c r="G109">
        <f>MONTH(cleaned_personal_finance_data15[[#This Row],[date]])</f>
        <v>1</v>
      </c>
      <c r="H109">
        <f>YEAR(cleaned_personal_finance_data15[[#This Row],[date]])</f>
        <v>2024</v>
      </c>
      <c r="I109" t="s">
        <v>87</v>
      </c>
    </row>
    <row r="110" spans="1:9" hidden="1" x14ac:dyDescent="0.25">
      <c r="A110">
        <v>109</v>
      </c>
      <c r="B110" s="1">
        <v>45295</v>
      </c>
      <c r="C110" t="s">
        <v>88</v>
      </c>
      <c r="D110">
        <v>784</v>
      </c>
      <c r="E110" t="s">
        <v>12</v>
      </c>
      <c r="F110" t="s">
        <v>21</v>
      </c>
      <c r="G110">
        <f>MONTH(cleaned_personal_finance_data15[[#This Row],[date]])</f>
        <v>1</v>
      </c>
      <c r="H110">
        <f>YEAR(cleaned_personal_finance_data15[[#This Row],[date]])</f>
        <v>2024</v>
      </c>
      <c r="I110" t="s">
        <v>20</v>
      </c>
    </row>
    <row r="111" spans="1:9" hidden="1" x14ac:dyDescent="0.25">
      <c r="A111">
        <v>110</v>
      </c>
      <c r="B111" s="1">
        <v>45297</v>
      </c>
      <c r="C111" t="s">
        <v>24</v>
      </c>
      <c r="D111">
        <v>239</v>
      </c>
      <c r="E111" t="s">
        <v>15</v>
      </c>
      <c r="F111" t="s">
        <v>21</v>
      </c>
      <c r="G111">
        <f>MONTH(cleaned_personal_finance_data15[[#This Row],[date]])</f>
        <v>1</v>
      </c>
      <c r="H111">
        <f>YEAR(cleaned_personal_finance_data15[[#This Row],[date]])</f>
        <v>2024</v>
      </c>
      <c r="I111" t="s">
        <v>24</v>
      </c>
    </row>
    <row r="112" spans="1:9" hidden="1" x14ac:dyDescent="0.25">
      <c r="A112">
        <v>111</v>
      </c>
      <c r="B112" s="1">
        <v>45298</v>
      </c>
      <c r="C112" t="s">
        <v>28</v>
      </c>
      <c r="D112">
        <v>125</v>
      </c>
      <c r="E112" t="s">
        <v>15</v>
      </c>
      <c r="F112" t="s">
        <v>21</v>
      </c>
      <c r="G112">
        <f>MONTH(cleaned_personal_finance_data15[[#This Row],[date]])</f>
        <v>1</v>
      </c>
      <c r="H112">
        <f>YEAR(cleaned_personal_finance_data15[[#This Row],[date]])</f>
        <v>2024</v>
      </c>
      <c r="I112" t="s">
        <v>28</v>
      </c>
    </row>
    <row r="113" spans="1:9" hidden="1" x14ac:dyDescent="0.25">
      <c r="A113">
        <v>112</v>
      </c>
      <c r="B113" s="1">
        <v>45298</v>
      </c>
      <c r="C113" t="s">
        <v>28</v>
      </c>
      <c r="D113">
        <v>50</v>
      </c>
      <c r="E113" t="s">
        <v>15</v>
      </c>
      <c r="F113" t="s">
        <v>21</v>
      </c>
      <c r="G113">
        <f>MONTH(cleaned_personal_finance_data15[[#This Row],[date]])</f>
        <v>1</v>
      </c>
      <c r="H113">
        <f>YEAR(cleaned_personal_finance_data15[[#This Row],[date]])</f>
        <v>2024</v>
      </c>
      <c r="I113" t="s">
        <v>28</v>
      </c>
    </row>
    <row r="114" spans="1:9" hidden="1" x14ac:dyDescent="0.25">
      <c r="A114">
        <v>113</v>
      </c>
      <c r="B114" s="1">
        <v>45298</v>
      </c>
      <c r="C114" t="s">
        <v>89</v>
      </c>
      <c r="D114">
        <v>380</v>
      </c>
      <c r="E114" t="s">
        <v>12</v>
      </c>
      <c r="F114" t="s">
        <v>21</v>
      </c>
      <c r="G114">
        <f>MONTH(cleaned_personal_finance_data15[[#This Row],[date]])</f>
        <v>1</v>
      </c>
      <c r="H114">
        <f>YEAR(cleaned_personal_finance_data15[[#This Row],[date]])</f>
        <v>2024</v>
      </c>
      <c r="I114" t="s">
        <v>20</v>
      </c>
    </row>
    <row r="115" spans="1:9" hidden="1" x14ac:dyDescent="0.25">
      <c r="A115">
        <v>114</v>
      </c>
      <c r="B115" s="1">
        <v>45298</v>
      </c>
      <c r="C115" t="s">
        <v>90</v>
      </c>
      <c r="D115">
        <v>34</v>
      </c>
      <c r="E115" t="s">
        <v>15</v>
      </c>
      <c r="F115" t="s">
        <v>21</v>
      </c>
      <c r="G115">
        <f>MONTH(cleaned_personal_finance_data15[[#This Row],[date]])</f>
        <v>1</v>
      </c>
      <c r="H115">
        <f>YEAR(cleaned_personal_finance_data15[[#This Row],[date]])</f>
        <v>2024</v>
      </c>
      <c r="I115" t="s">
        <v>324</v>
      </c>
    </row>
    <row r="116" spans="1:9" hidden="1" x14ac:dyDescent="0.25">
      <c r="A116">
        <v>115</v>
      </c>
      <c r="B116" s="1">
        <v>45299</v>
      </c>
      <c r="C116" t="s">
        <v>91</v>
      </c>
      <c r="D116">
        <v>392</v>
      </c>
      <c r="E116" t="s">
        <v>15</v>
      </c>
      <c r="F116" t="s">
        <v>13</v>
      </c>
      <c r="G116">
        <f>MONTH(cleaned_personal_finance_data15[[#This Row],[date]])</f>
        <v>1</v>
      </c>
      <c r="H116">
        <f>YEAR(cleaned_personal_finance_data15[[#This Row],[date]])</f>
        <v>2024</v>
      </c>
      <c r="I116" t="s">
        <v>319</v>
      </c>
    </row>
    <row r="117" spans="1:9" hidden="1" x14ac:dyDescent="0.25">
      <c r="A117">
        <v>116</v>
      </c>
      <c r="B117" s="1">
        <v>45299</v>
      </c>
      <c r="C117" t="s">
        <v>92</v>
      </c>
      <c r="D117">
        <v>1176</v>
      </c>
      <c r="E117" t="s">
        <v>10</v>
      </c>
      <c r="F117" t="s">
        <v>13</v>
      </c>
      <c r="G117">
        <f>MONTH(cleaned_personal_finance_data15[[#This Row],[date]])</f>
        <v>1</v>
      </c>
      <c r="H117">
        <f>YEAR(cleaned_personal_finance_data15[[#This Row],[date]])</f>
        <v>2024</v>
      </c>
      <c r="I117" t="s">
        <v>319</v>
      </c>
    </row>
    <row r="118" spans="1:9" hidden="1" x14ac:dyDescent="0.25">
      <c r="A118">
        <v>117</v>
      </c>
      <c r="B118" s="1">
        <v>45299</v>
      </c>
      <c r="C118" t="s">
        <v>28</v>
      </c>
      <c r="D118">
        <v>25</v>
      </c>
      <c r="E118" t="s">
        <v>15</v>
      </c>
      <c r="F118" t="s">
        <v>21</v>
      </c>
      <c r="G118">
        <f>MONTH(cleaned_personal_finance_data15[[#This Row],[date]])</f>
        <v>1</v>
      </c>
      <c r="H118">
        <f>YEAR(cleaned_personal_finance_data15[[#This Row],[date]])</f>
        <v>2024</v>
      </c>
      <c r="I118" t="s">
        <v>28</v>
      </c>
    </row>
    <row r="119" spans="1:9" hidden="1" x14ac:dyDescent="0.25">
      <c r="A119">
        <v>118</v>
      </c>
      <c r="B119" s="1">
        <v>45300</v>
      </c>
      <c r="C119" t="s">
        <v>28</v>
      </c>
      <c r="D119">
        <v>50</v>
      </c>
      <c r="E119" t="s">
        <v>15</v>
      </c>
      <c r="F119" t="s">
        <v>21</v>
      </c>
      <c r="G119">
        <f>MONTH(cleaned_personal_finance_data15[[#This Row],[date]])</f>
        <v>1</v>
      </c>
      <c r="H119">
        <f>YEAR(cleaned_personal_finance_data15[[#This Row],[date]])</f>
        <v>2024</v>
      </c>
      <c r="I119" t="s">
        <v>28</v>
      </c>
    </row>
    <row r="120" spans="1:9" hidden="1" x14ac:dyDescent="0.25">
      <c r="A120">
        <v>119</v>
      </c>
      <c r="B120" s="1">
        <v>45300</v>
      </c>
      <c r="C120" t="s">
        <v>93</v>
      </c>
      <c r="D120">
        <v>50</v>
      </c>
      <c r="E120" t="s">
        <v>15</v>
      </c>
      <c r="F120" t="s">
        <v>13</v>
      </c>
      <c r="G120">
        <f>MONTH(cleaned_personal_finance_data15[[#This Row],[date]])</f>
        <v>1</v>
      </c>
      <c r="H120">
        <f>YEAR(cleaned_personal_finance_data15[[#This Row],[date]])</f>
        <v>2024</v>
      </c>
      <c r="I120" t="s">
        <v>319</v>
      </c>
    </row>
    <row r="121" spans="1:9" hidden="1" x14ac:dyDescent="0.25">
      <c r="A121">
        <v>120</v>
      </c>
      <c r="B121" s="1">
        <v>45300</v>
      </c>
      <c r="C121" t="s">
        <v>94</v>
      </c>
      <c r="D121">
        <v>123</v>
      </c>
      <c r="E121" t="s">
        <v>15</v>
      </c>
      <c r="F121" t="s">
        <v>13</v>
      </c>
      <c r="G121">
        <f>MONTH(cleaned_personal_finance_data15[[#This Row],[date]])</f>
        <v>1</v>
      </c>
      <c r="H121">
        <f>YEAR(cleaned_personal_finance_data15[[#This Row],[date]])</f>
        <v>2024</v>
      </c>
      <c r="I121" t="s">
        <v>319</v>
      </c>
    </row>
    <row r="122" spans="1:9" hidden="1" x14ac:dyDescent="0.25">
      <c r="A122">
        <v>121</v>
      </c>
      <c r="B122" s="1">
        <v>45300</v>
      </c>
      <c r="C122" t="s">
        <v>95</v>
      </c>
      <c r="D122">
        <v>173</v>
      </c>
      <c r="E122" t="s">
        <v>12</v>
      </c>
      <c r="F122" t="s">
        <v>21</v>
      </c>
      <c r="G122">
        <f>MONTH(cleaned_personal_finance_data15[[#This Row],[date]])</f>
        <v>1</v>
      </c>
      <c r="H122">
        <f>YEAR(cleaned_personal_finance_data15[[#This Row],[date]])</f>
        <v>2024</v>
      </c>
      <c r="I122" t="s">
        <v>319</v>
      </c>
    </row>
    <row r="123" spans="1:9" hidden="1" x14ac:dyDescent="0.25">
      <c r="A123">
        <v>122</v>
      </c>
      <c r="B123" s="1">
        <v>45300</v>
      </c>
      <c r="C123" t="s">
        <v>95</v>
      </c>
      <c r="D123">
        <v>173</v>
      </c>
      <c r="E123" t="s">
        <v>10</v>
      </c>
      <c r="F123" t="s">
        <v>21</v>
      </c>
      <c r="G123">
        <f>MONTH(cleaned_personal_finance_data15[[#This Row],[date]])</f>
        <v>1</v>
      </c>
      <c r="H123">
        <f>YEAR(cleaned_personal_finance_data15[[#This Row],[date]])</f>
        <v>2024</v>
      </c>
      <c r="I123" t="s">
        <v>319</v>
      </c>
    </row>
    <row r="124" spans="1:9" hidden="1" x14ac:dyDescent="0.25">
      <c r="A124">
        <v>123</v>
      </c>
      <c r="B124" s="1">
        <v>45303</v>
      </c>
      <c r="C124" t="s">
        <v>96</v>
      </c>
      <c r="D124">
        <v>930</v>
      </c>
      <c r="E124" t="s">
        <v>15</v>
      </c>
      <c r="F124" t="s">
        <v>13</v>
      </c>
      <c r="G124">
        <f>MONTH(cleaned_personal_finance_data15[[#This Row],[date]])</f>
        <v>1</v>
      </c>
      <c r="H124">
        <f>YEAR(cleaned_personal_finance_data15[[#This Row],[date]])</f>
        <v>2024</v>
      </c>
      <c r="I124" t="s">
        <v>96</v>
      </c>
    </row>
    <row r="125" spans="1:9" hidden="1" x14ac:dyDescent="0.25">
      <c r="A125">
        <v>124</v>
      </c>
      <c r="B125" s="1">
        <v>45303</v>
      </c>
      <c r="C125" t="s">
        <v>97</v>
      </c>
      <c r="D125">
        <v>1990</v>
      </c>
      <c r="E125" t="s">
        <v>15</v>
      </c>
      <c r="F125" t="s">
        <v>13</v>
      </c>
      <c r="G125">
        <f>MONTH(cleaned_personal_finance_data15[[#This Row],[date]])</f>
        <v>1</v>
      </c>
      <c r="H125">
        <f>YEAR(cleaned_personal_finance_data15[[#This Row],[date]])</f>
        <v>2024</v>
      </c>
      <c r="I125" t="s">
        <v>97</v>
      </c>
    </row>
    <row r="126" spans="1:9" hidden="1" x14ac:dyDescent="0.25">
      <c r="A126">
        <v>125</v>
      </c>
      <c r="B126" s="1">
        <v>45303</v>
      </c>
      <c r="C126" t="s">
        <v>98</v>
      </c>
      <c r="D126">
        <v>695</v>
      </c>
      <c r="E126" t="s">
        <v>15</v>
      </c>
      <c r="F126" t="s">
        <v>13</v>
      </c>
      <c r="G126">
        <f>MONTH(cleaned_personal_finance_data15[[#This Row],[date]])</f>
        <v>1</v>
      </c>
      <c r="H126">
        <f>YEAR(cleaned_personal_finance_data15[[#This Row],[date]])</f>
        <v>2024</v>
      </c>
      <c r="I126" t="s">
        <v>98</v>
      </c>
    </row>
    <row r="127" spans="1:9" hidden="1" x14ac:dyDescent="0.25">
      <c r="A127">
        <v>126</v>
      </c>
      <c r="B127" s="1">
        <v>45303</v>
      </c>
      <c r="C127" t="s">
        <v>99</v>
      </c>
      <c r="D127">
        <v>77</v>
      </c>
      <c r="E127" t="s">
        <v>15</v>
      </c>
      <c r="F127" t="s">
        <v>13</v>
      </c>
      <c r="G127">
        <f>MONTH(cleaned_personal_finance_data15[[#This Row],[date]])</f>
        <v>1</v>
      </c>
      <c r="H127">
        <f>YEAR(cleaned_personal_finance_data15[[#This Row],[date]])</f>
        <v>2024</v>
      </c>
      <c r="I127" t="s">
        <v>99</v>
      </c>
    </row>
    <row r="128" spans="1:9" hidden="1" x14ac:dyDescent="0.25">
      <c r="A128">
        <v>127</v>
      </c>
      <c r="B128" s="1">
        <v>45303</v>
      </c>
      <c r="C128" t="s">
        <v>85</v>
      </c>
      <c r="D128">
        <v>300</v>
      </c>
      <c r="E128" t="s">
        <v>15</v>
      </c>
      <c r="F128" t="s">
        <v>13</v>
      </c>
      <c r="G128">
        <f>MONTH(cleaned_personal_finance_data15[[#This Row],[date]])</f>
        <v>1</v>
      </c>
      <c r="H128">
        <f>YEAR(cleaned_personal_finance_data15[[#This Row],[date]])</f>
        <v>2024</v>
      </c>
      <c r="I128" t="s">
        <v>85</v>
      </c>
    </row>
    <row r="129" spans="1:9" hidden="1" x14ac:dyDescent="0.25">
      <c r="A129">
        <v>128</v>
      </c>
      <c r="B129" s="1">
        <v>45303</v>
      </c>
      <c r="C129" t="s">
        <v>100</v>
      </c>
      <c r="D129">
        <v>10</v>
      </c>
      <c r="E129" t="s">
        <v>15</v>
      </c>
      <c r="F129" t="s">
        <v>13</v>
      </c>
      <c r="G129">
        <f>MONTH(cleaned_personal_finance_data15[[#This Row],[date]])</f>
        <v>1</v>
      </c>
      <c r="H129">
        <f>YEAR(cleaned_personal_finance_data15[[#This Row],[date]])</f>
        <v>2024</v>
      </c>
      <c r="I129" t="s">
        <v>43</v>
      </c>
    </row>
    <row r="130" spans="1:9" hidden="1" x14ac:dyDescent="0.25">
      <c r="A130">
        <v>129</v>
      </c>
      <c r="B130" s="1">
        <v>45303</v>
      </c>
      <c r="C130" t="s">
        <v>101</v>
      </c>
      <c r="D130">
        <v>600</v>
      </c>
      <c r="E130" t="s">
        <v>15</v>
      </c>
      <c r="F130" t="s">
        <v>13</v>
      </c>
      <c r="G130">
        <f>MONTH(cleaned_personal_finance_data15[[#This Row],[date]])</f>
        <v>1</v>
      </c>
      <c r="H130">
        <f>YEAR(cleaned_personal_finance_data15[[#This Row],[date]])</f>
        <v>2024</v>
      </c>
      <c r="I130" t="s">
        <v>43</v>
      </c>
    </row>
    <row r="131" spans="1:9" hidden="1" x14ac:dyDescent="0.25">
      <c r="A131">
        <v>130</v>
      </c>
      <c r="B131" s="1">
        <v>45303</v>
      </c>
      <c r="C131" t="s">
        <v>102</v>
      </c>
      <c r="D131">
        <v>1050</v>
      </c>
      <c r="E131" t="s">
        <v>15</v>
      </c>
      <c r="F131" t="s">
        <v>13</v>
      </c>
      <c r="G131">
        <f>MONTH(cleaned_personal_finance_data15[[#This Row],[date]])</f>
        <v>1</v>
      </c>
      <c r="H131">
        <f>YEAR(cleaned_personal_finance_data15[[#This Row],[date]])</f>
        <v>2024</v>
      </c>
      <c r="I131" t="s">
        <v>159</v>
      </c>
    </row>
    <row r="132" spans="1:9" hidden="1" x14ac:dyDescent="0.25">
      <c r="A132">
        <v>131</v>
      </c>
      <c r="B132" s="1">
        <v>45303</v>
      </c>
      <c r="C132" t="s">
        <v>35</v>
      </c>
      <c r="D132">
        <v>280</v>
      </c>
      <c r="E132" t="s">
        <v>15</v>
      </c>
      <c r="F132" t="s">
        <v>21</v>
      </c>
      <c r="G132">
        <f>MONTH(cleaned_personal_finance_data15[[#This Row],[date]])</f>
        <v>1</v>
      </c>
      <c r="H132">
        <f>YEAR(cleaned_personal_finance_data15[[#This Row],[date]])</f>
        <v>2024</v>
      </c>
      <c r="I132" t="s">
        <v>35</v>
      </c>
    </row>
    <row r="133" spans="1:9" hidden="1" x14ac:dyDescent="0.25">
      <c r="A133">
        <v>132</v>
      </c>
      <c r="B133" s="1">
        <v>45305</v>
      </c>
      <c r="C133" t="s">
        <v>103</v>
      </c>
      <c r="D133">
        <v>260</v>
      </c>
      <c r="E133" t="s">
        <v>15</v>
      </c>
      <c r="F133" t="s">
        <v>13</v>
      </c>
      <c r="G133">
        <f>MONTH(cleaned_personal_finance_data15[[#This Row],[date]])</f>
        <v>1</v>
      </c>
      <c r="H133">
        <f>YEAR(cleaned_personal_finance_data15[[#This Row],[date]])</f>
        <v>2024</v>
      </c>
      <c r="I133" t="s">
        <v>329</v>
      </c>
    </row>
    <row r="134" spans="1:9" hidden="1" x14ac:dyDescent="0.25">
      <c r="A134">
        <v>133</v>
      </c>
      <c r="B134" s="1">
        <v>45305</v>
      </c>
      <c r="C134" t="s">
        <v>6</v>
      </c>
      <c r="D134">
        <v>12732</v>
      </c>
      <c r="E134" t="s">
        <v>7</v>
      </c>
      <c r="F134" t="s">
        <v>8</v>
      </c>
      <c r="G134">
        <f>MONTH(cleaned_personal_finance_data15[[#This Row],[date]])</f>
        <v>1</v>
      </c>
      <c r="H134">
        <f>YEAR(cleaned_personal_finance_data15[[#This Row],[date]])</f>
        <v>2024</v>
      </c>
      <c r="I134" t="s">
        <v>318</v>
      </c>
    </row>
    <row r="135" spans="1:9" hidden="1" x14ac:dyDescent="0.25">
      <c r="A135">
        <v>134</v>
      </c>
      <c r="B135" s="1">
        <v>45306</v>
      </c>
      <c r="C135" t="s">
        <v>104</v>
      </c>
      <c r="D135">
        <v>300</v>
      </c>
      <c r="E135" t="s">
        <v>15</v>
      </c>
      <c r="F135" t="s">
        <v>13</v>
      </c>
      <c r="G135">
        <f>MONTH(cleaned_personal_finance_data15[[#This Row],[date]])</f>
        <v>1</v>
      </c>
      <c r="H135">
        <f>YEAR(cleaned_personal_finance_data15[[#This Row],[date]])</f>
        <v>2024</v>
      </c>
      <c r="I135" t="s">
        <v>104</v>
      </c>
    </row>
    <row r="136" spans="1:9" hidden="1" x14ac:dyDescent="0.25">
      <c r="A136">
        <v>135</v>
      </c>
      <c r="B136" s="1">
        <v>45306</v>
      </c>
      <c r="C136" t="s">
        <v>28</v>
      </c>
      <c r="D136">
        <v>125</v>
      </c>
      <c r="E136" t="s">
        <v>15</v>
      </c>
      <c r="F136" t="s">
        <v>21</v>
      </c>
      <c r="G136">
        <f>MONTH(cleaned_personal_finance_data15[[#This Row],[date]])</f>
        <v>1</v>
      </c>
      <c r="H136">
        <f>YEAR(cleaned_personal_finance_data15[[#This Row],[date]])</f>
        <v>2024</v>
      </c>
      <c r="I136" t="s">
        <v>28</v>
      </c>
    </row>
    <row r="137" spans="1:9" hidden="1" x14ac:dyDescent="0.25">
      <c r="A137">
        <v>136</v>
      </c>
      <c r="B137" s="1">
        <v>45308</v>
      </c>
      <c r="C137" t="s">
        <v>87</v>
      </c>
      <c r="D137">
        <v>200</v>
      </c>
      <c r="E137" t="s">
        <v>15</v>
      </c>
      <c r="F137" t="s">
        <v>13</v>
      </c>
      <c r="G137">
        <f>MONTH(cleaned_personal_finance_data15[[#This Row],[date]])</f>
        <v>1</v>
      </c>
      <c r="H137">
        <f>YEAR(cleaned_personal_finance_data15[[#This Row],[date]])</f>
        <v>2024</v>
      </c>
      <c r="I137" t="s">
        <v>87</v>
      </c>
    </row>
    <row r="138" spans="1:9" hidden="1" x14ac:dyDescent="0.25">
      <c r="A138">
        <v>137</v>
      </c>
      <c r="B138" s="1">
        <v>45309</v>
      </c>
      <c r="C138" t="s">
        <v>28</v>
      </c>
      <c r="D138">
        <v>125</v>
      </c>
      <c r="E138" t="s">
        <v>15</v>
      </c>
      <c r="F138" t="s">
        <v>21</v>
      </c>
      <c r="G138">
        <f>MONTH(cleaned_personal_finance_data15[[#This Row],[date]])</f>
        <v>1</v>
      </c>
      <c r="H138">
        <f>YEAR(cleaned_personal_finance_data15[[#This Row],[date]])</f>
        <v>2024</v>
      </c>
      <c r="I138" t="s">
        <v>28</v>
      </c>
    </row>
    <row r="139" spans="1:9" hidden="1" x14ac:dyDescent="0.25">
      <c r="A139">
        <v>138</v>
      </c>
      <c r="B139" s="1">
        <v>45310</v>
      </c>
      <c r="C139" t="s">
        <v>28</v>
      </c>
      <c r="D139">
        <v>125</v>
      </c>
      <c r="E139" t="s">
        <v>15</v>
      </c>
      <c r="F139" t="s">
        <v>21</v>
      </c>
      <c r="G139">
        <f>MONTH(cleaned_personal_finance_data15[[#This Row],[date]])</f>
        <v>1</v>
      </c>
      <c r="H139">
        <f>YEAR(cleaned_personal_finance_data15[[#This Row],[date]])</f>
        <v>2024</v>
      </c>
      <c r="I139" t="s">
        <v>28</v>
      </c>
    </row>
    <row r="140" spans="1:9" hidden="1" x14ac:dyDescent="0.25">
      <c r="A140">
        <v>139</v>
      </c>
      <c r="B140" s="1">
        <v>45311</v>
      </c>
      <c r="C140" t="s">
        <v>28</v>
      </c>
      <c r="D140">
        <v>125</v>
      </c>
      <c r="E140" t="s">
        <v>15</v>
      </c>
      <c r="F140" t="s">
        <v>21</v>
      </c>
      <c r="G140">
        <f>MONTH(cleaned_personal_finance_data15[[#This Row],[date]])</f>
        <v>1</v>
      </c>
      <c r="H140">
        <f>YEAR(cleaned_personal_finance_data15[[#This Row],[date]])</f>
        <v>2024</v>
      </c>
      <c r="I140" t="s">
        <v>28</v>
      </c>
    </row>
    <row r="141" spans="1:9" hidden="1" x14ac:dyDescent="0.25">
      <c r="A141">
        <v>140</v>
      </c>
      <c r="B141" s="1">
        <v>45312</v>
      </c>
      <c r="C141" t="s">
        <v>28</v>
      </c>
      <c r="D141">
        <v>125</v>
      </c>
      <c r="E141" t="s">
        <v>15</v>
      </c>
      <c r="F141" t="s">
        <v>21</v>
      </c>
      <c r="G141">
        <f>MONTH(cleaned_personal_finance_data15[[#This Row],[date]])</f>
        <v>1</v>
      </c>
      <c r="H141">
        <f>YEAR(cleaned_personal_finance_data15[[#This Row],[date]])</f>
        <v>2024</v>
      </c>
      <c r="I141" t="s">
        <v>28</v>
      </c>
    </row>
    <row r="142" spans="1:9" hidden="1" x14ac:dyDescent="0.25">
      <c r="A142">
        <v>141</v>
      </c>
      <c r="B142" s="1">
        <v>45313</v>
      </c>
      <c r="C142" t="s">
        <v>34</v>
      </c>
      <c r="D142">
        <v>129</v>
      </c>
      <c r="E142" t="s">
        <v>15</v>
      </c>
      <c r="F142" t="s">
        <v>21</v>
      </c>
      <c r="G142">
        <f>MONTH(cleaned_personal_finance_data15[[#This Row],[date]])</f>
        <v>1</v>
      </c>
      <c r="H142">
        <f>YEAR(cleaned_personal_finance_data15[[#This Row],[date]])</f>
        <v>2024</v>
      </c>
      <c r="I142" t="s">
        <v>34</v>
      </c>
    </row>
    <row r="143" spans="1:9" hidden="1" x14ac:dyDescent="0.25">
      <c r="A143">
        <v>142</v>
      </c>
      <c r="B143" s="1">
        <v>45313</v>
      </c>
      <c r="C143" t="s">
        <v>105</v>
      </c>
      <c r="D143">
        <v>50</v>
      </c>
      <c r="E143" t="s">
        <v>15</v>
      </c>
      <c r="F143" t="s">
        <v>13</v>
      </c>
      <c r="G143">
        <f>MONTH(cleaned_personal_finance_data15[[#This Row],[date]])</f>
        <v>1</v>
      </c>
      <c r="H143">
        <f>YEAR(cleaned_personal_finance_data15[[#This Row],[date]])</f>
        <v>2024</v>
      </c>
      <c r="I143" t="s">
        <v>105</v>
      </c>
    </row>
    <row r="144" spans="1:9" hidden="1" x14ac:dyDescent="0.25">
      <c r="A144">
        <v>143</v>
      </c>
      <c r="B144" s="1">
        <v>45315</v>
      </c>
      <c r="C144" t="s">
        <v>28</v>
      </c>
      <c r="D144">
        <v>125</v>
      </c>
      <c r="E144" t="s">
        <v>15</v>
      </c>
      <c r="F144" t="s">
        <v>21</v>
      </c>
      <c r="G144">
        <f>MONTH(cleaned_personal_finance_data15[[#This Row],[date]])</f>
        <v>1</v>
      </c>
      <c r="H144">
        <f>YEAR(cleaned_personal_finance_data15[[#This Row],[date]])</f>
        <v>2024</v>
      </c>
      <c r="I144" t="s">
        <v>28</v>
      </c>
    </row>
    <row r="145" spans="1:9" hidden="1" x14ac:dyDescent="0.25">
      <c r="A145">
        <v>144</v>
      </c>
      <c r="B145" s="1">
        <v>45315</v>
      </c>
      <c r="C145" t="s">
        <v>28</v>
      </c>
      <c r="D145">
        <v>25</v>
      </c>
      <c r="E145" t="s">
        <v>15</v>
      </c>
      <c r="F145" t="s">
        <v>21</v>
      </c>
      <c r="G145">
        <f>MONTH(cleaned_personal_finance_data15[[#This Row],[date]])</f>
        <v>1</v>
      </c>
      <c r="H145">
        <f>YEAR(cleaned_personal_finance_data15[[#This Row],[date]])</f>
        <v>2024</v>
      </c>
      <c r="I145" t="s">
        <v>28</v>
      </c>
    </row>
    <row r="146" spans="1:9" hidden="1" x14ac:dyDescent="0.25">
      <c r="A146">
        <v>145</v>
      </c>
      <c r="B146" s="1">
        <v>45316</v>
      </c>
      <c r="C146" t="s">
        <v>28</v>
      </c>
      <c r="D146">
        <v>125</v>
      </c>
      <c r="E146" t="s">
        <v>15</v>
      </c>
      <c r="F146" t="s">
        <v>21</v>
      </c>
      <c r="G146">
        <f>MONTH(cleaned_personal_finance_data15[[#This Row],[date]])</f>
        <v>1</v>
      </c>
      <c r="H146">
        <f>YEAR(cleaned_personal_finance_data15[[#This Row],[date]])</f>
        <v>2024</v>
      </c>
      <c r="I146" t="s">
        <v>28</v>
      </c>
    </row>
    <row r="147" spans="1:9" hidden="1" x14ac:dyDescent="0.25">
      <c r="A147">
        <v>146</v>
      </c>
      <c r="B147" s="1">
        <v>45319</v>
      </c>
      <c r="C147" t="s">
        <v>6</v>
      </c>
      <c r="D147">
        <v>12734</v>
      </c>
      <c r="E147" t="s">
        <v>7</v>
      </c>
      <c r="F147" t="s">
        <v>8</v>
      </c>
      <c r="G147">
        <f>MONTH(cleaned_personal_finance_data15[[#This Row],[date]])</f>
        <v>1</v>
      </c>
      <c r="H147">
        <f>YEAR(cleaned_personal_finance_data15[[#This Row],[date]])</f>
        <v>2024</v>
      </c>
      <c r="I147" t="s">
        <v>318</v>
      </c>
    </row>
    <row r="148" spans="1:9" hidden="1" x14ac:dyDescent="0.25">
      <c r="A148">
        <v>147</v>
      </c>
      <c r="B148" s="1">
        <v>45320</v>
      </c>
      <c r="C148" t="s">
        <v>51</v>
      </c>
      <c r="D148">
        <v>30</v>
      </c>
      <c r="E148" t="s">
        <v>15</v>
      </c>
      <c r="F148" t="s">
        <v>13</v>
      </c>
      <c r="G148">
        <f>MONTH(cleaned_personal_finance_data15[[#This Row],[date]])</f>
        <v>1</v>
      </c>
      <c r="H148">
        <f>YEAR(cleaned_personal_finance_data15[[#This Row],[date]])</f>
        <v>2024</v>
      </c>
      <c r="I148" t="s">
        <v>43</v>
      </c>
    </row>
    <row r="149" spans="1:9" hidden="1" x14ac:dyDescent="0.25">
      <c r="A149">
        <v>148</v>
      </c>
      <c r="B149" s="1">
        <v>45320</v>
      </c>
      <c r="C149" t="s">
        <v>54</v>
      </c>
      <c r="D149">
        <v>45</v>
      </c>
      <c r="E149" t="s">
        <v>15</v>
      </c>
      <c r="F149" t="s">
        <v>13</v>
      </c>
      <c r="G149">
        <f>MONTH(cleaned_personal_finance_data15[[#This Row],[date]])</f>
        <v>1</v>
      </c>
      <c r="H149">
        <f>YEAR(cleaned_personal_finance_data15[[#This Row],[date]])</f>
        <v>2024</v>
      </c>
      <c r="I149" t="s">
        <v>54</v>
      </c>
    </row>
    <row r="150" spans="1:9" hidden="1" x14ac:dyDescent="0.25">
      <c r="A150">
        <v>149</v>
      </c>
      <c r="B150" s="1">
        <v>45320</v>
      </c>
      <c r="C150" t="s">
        <v>106</v>
      </c>
      <c r="D150">
        <v>85</v>
      </c>
      <c r="E150" t="s">
        <v>15</v>
      </c>
      <c r="F150" t="s">
        <v>13</v>
      </c>
      <c r="G150">
        <f>MONTH(cleaned_personal_finance_data15[[#This Row],[date]])</f>
        <v>1</v>
      </c>
      <c r="H150">
        <f>YEAR(cleaned_personal_finance_data15[[#This Row],[date]])</f>
        <v>2024</v>
      </c>
      <c r="I150" t="s">
        <v>106</v>
      </c>
    </row>
    <row r="151" spans="1:9" hidden="1" x14ac:dyDescent="0.25">
      <c r="A151">
        <v>150</v>
      </c>
      <c r="B151" s="1">
        <v>45320</v>
      </c>
      <c r="C151" t="s">
        <v>107</v>
      </c>
      <c r="D151">
        <v>35</v>
      </c>
      <c r="E151" t="s">
        <v>15</v>
      </c>
      <c r="F151" t="s">
        <v>13</v>
      </c>
      <c r="G151">
        <f>MONTH(cleaned_personal_finance_data15[[#This Row],[date]])</f>
        <v>1</v>
      </c>
      <c r="H151">
        <f>YEAR(cleaned_personal_finance_data15[[#This Row],[date]])</f>
        <v>2024</v>
      </c>
      <c r="I151" t="s">
        <v>107</v>
      </c>
    </row>
    <row r="152" spans="1:9" hidden="1" x14ac:dyDescent="0.25">
      <c r="A152">
        <v>151</v>
      </c>
      <c r="B152" s="1">
        <v>45320</v>
      </c>
      <c r="C152" t="s">
        <v>76</v>
      </c>
      <c r="D152">
        <v>30</v>
      </c>
      <c r="E152" t="s">
        <v>15</v>
      </c>
      <c r="F152" t="s">
        <v>13</v>
      </c>
      <c r="G152">
        <f>MONTH(cleaned_personal_finance_data15[[#This Row],[date]])</f>
        <v>1</v>
      </c>
      <c r="H152">
        <f>YEAR(cleaned_personal_finance_data15[[#This Row],[date]])</f>
        <v>2024</v>
      </c>
      <c r="I152" t="s">
        <v>43</v>
      </c>
    </row>
    <row r="153" spans="1:9" hidden="1" x14ac:dyDescent="0.25">
      <c r="A153">
        <v>152</v>
      </c>
      <c r="B153" s="1">
        <v>45321</v>
      </c>
      <c r="C153" t="s">
        <v>51</v>
      </c>
      <c r="D153">
        <v>30</v>
      </c>
      <c r="E153" t="s">
        <v>15</v>
      </c>
      <c r="F153" t="s">
        <v>13</v>
      </c>
      <c r="G153">
        <f>MONTH(cleaned_personal_finance_data15[[#This Row],[date]])</f>
        <v>1</v>
      </c>
      <c r="H153">
        <f>YEAR(cleaned_personal_finance_data15[[#This Row],[date]])</f>
        <v>2024</v>
      </c>
      <c r="I153" t="s">
        <v>43</v>
      </c>
    </row>
    <row r="154" spans="1:9" hidden="1" x14ac:dyDescent="0.25">
      <c r="A154">
        <v>153</v>
      </c>
      <c r="B154" s="1">
        <v>45321</v>
      </c>
      <c r="C154" t="s">
        <v>54</v>
      </c>
      <c r="D154">
        <v>45</v>
      </c>
      <c r="E154" t="s">
        <v>15</v>
      </c>
      <c r="F154" t="s">
        <v>13</v>
      </c>
      <c r="G154">
        <f>MONTH(cleaned_personal_finance_data15[[#This Row],[date]])</f>
        <v>1</v>
      </c>
      <c r="H154">
        <f>YEAR(cleaned_personal_finance_data15[[#This Row],[date]])</f>
        <v>2024</v>
      </c>
      <c r="I154" t="s">
        <v>54</v>
      </c>
    </row>
    <row r="155" spans="1:9" hidden="1" x14ac:dyDescent="0.25">
      <c r="A155">
        <v>154</v>
      </c>
      <c r="B155" s="1">
        <v>45321</v>
      </c>
      <c r="C155" t="s">
        <v>108</v>
      </c>
      <c r="D155">
        <v>15</v>
      </c>
      <c r="E155" t="s">
        <v>15</v>
      </c>
      <c r="F155" t="s">
        <v>13</v>
      </c>
      <c r="G155">
        <f>MONTH(cleaned_personal_finance_data15[[#This Row],[date]])</f>
        <v>1</v>
      </c>
      <c r="H155">
        <f>YEAR(cleaned_personal_finance_data15[[#This Row],[date]])</f>
        <v>2024</v>
      </c>
      <c r="I155" t="s">
        <v>43</v>
      </c>
    </row>
    <row r="156" spans="1:9" hidden="1" x14ac:dyDescent="0.25">
      <c r="A156">
        <v>155</v>
      </c>
      <c r="B156" s="1">
        <v>45321</v>
      </c>
      <c r="C156" t="s">
        <v>106</v>
      </c>
      <c r="D156">
        <v>58</v>
      </c>
      <c r="E156" t="s">
        <v>15</v>
      </c>
      <c r="F156" t="s">
        <v>13</v>
      </c>
      <c r="G156">
        <f>MONTH(cleaned_personal_finance_data15[[#This Row],[date]])</f>
        <v>1</v>
      </c>
      <c r="H156">
        <f>YEAR(cleaned_personal_finance_data15[[#This Row],[date]])</f>
        <v>2024</v>
      </c>
      <c r="I156" t="s">
        <v>106</v>
      </c>
    </row>
    <row r="157" spans="1:9" hidden="1" x14ac:dyDescent="0.25">
      <c r="A157">
        <v>156</v>
      </c>
      <c r="B157" s="1">
        <v>45321</v>
      </c>
      <c r="C157" t="s">
        <v>29</v>
      </c>
      <c r="D157">
        <v>15</v>
      </c>
      <c r="E157" t="s">
        <v>15</v>
      </c>
      <c r="F157" t="s">
        <v>13</v>
      </c>
      <c r="G157">
        <f>MONTH(cleaned_personal_finance_data15[[#This Row],[date]])</f>
        <v>1</v>
      </c>
      <c r="H157">
        <f>YEAR(cleaned_personal_finance_data15[[#This Row],[date]])</f>
        <v>2024</v>
      </c>
      <c r="I157" t="s">
        <v>29</v>
      </c>
    </row>
    <row r="158" spans="1:9" hidden="1" x14ac:dyDescent="0.25">
      <c r="A158">
        <v>157</v>
      </c>
      <c r="B158" s="1">
        <v>45321</v>
      </c>
      <c r="C158" t="s">
        <v>107</v>
      </c>
      <c r="D158">
        <v>20</v>
      </c>
      <c r="E158" t="s">
        <v>15</v>
      </c>
      <c r="F158" t="s">
        <v>13</v>
      </c>
      <c r="G158">
        <f>MONTH(cleaned_personal_finance_data15[[#This Row],[date]])</f>
        <v>1</v>
      </c>
      <c r="H158">
        <f>YEAR(cleaned_personal_finance_data15[[#This Row],[date]])</f>
        <v>2024</v>
      </c>
      <c r="I158" t="s">
        <v>107</v>
      </c>
    </row>
    <row r="159" spans="1:9" hidden="1" x14ac:dyDescent="0.25">
      <c r="A159">
        <v>158</v>
      </c>
      <c r="B159" s="1">
        <v>45321</v>
      </c>
      <c r="C159" t="s">
        <v>109</v>
      </c>
      <c r="D159">
        <v>30</v>
      </c>
      <c r="E159" t="s">
        <v>15</v>
      </c>
      <c r="F159" t="s">
        <v>13</v>
      </c>
      <c r="G159">
        <f>MONTH(cleaned_personal_finance_data15[[#This Row],[date]])</f>
        <v>1</v>
      </c>
      <c r="H159">
        <f>YEAR(cleaned_personal_finance_data15[[#This Row],[date]])</f>
        <v>2024</v>
      </c>
      <c r="I159" t="s">
        <v>43</v>
      </c>
    </row>
    <row r="160" spans="1:9" hidden="1" x14ac:dyDescent="0.25">
      <c r="A160">
        <v>159</v>
      </c>
      <c r="B160" s="1">
        <v>45322</v>
      </c>
      <c r="C160" t="s">
        <v>29</v>
      </c>
      <c r="D160">
        <v>25</v>
      </c>
      <c r="E160" t="s">
        <v>15</v>
      </c>
      <c r="F160" t="s">
        <v>13</v>
      </c>
      <c r="G160">
        <f>MONTH(cleaned_personal_finance_data15[[#This Row],[date]])</f>
        <v>1</v>
      </c>
      <c r="H160">
        <f>YEAR(cleaned_personal_finance_data15[[#This Row],[date]])</f>
        <v>2024</v>
      </c>
      <c r="I160" t="s">
        <v>29</v>
      </c>
    </row>
    <row r="161" spans="1:9" hidden="1" x14ac:dyDescent="0.25">
      <c r="A161">
        <v>160</v>
      </c>
      <c r="B161" s="1">
        <v>45322</v>
      </c>
      <c r="C161" t="s">
        <v>28</v>
      </c>
      <c r="D161">
        <v>125</v>
      </c>
      <c r="E161" t="s">
        <v>15</v>
      </c>
      <c r="F161" t="s">
        <v>21</v>
      </c>
      <c r="G161">
        <f>MONTH(cleaned_personal_finance_data15[[#This Row],[date]])</f>
        <v>1</v>
      </c>
      <c r="H161">
        <f>YEAR(cleaned_personal_finance_data15[[#This Row],[date]])</f>
        <v>2024</v>
      </c>
      <c r="I161" t="s">
        <v>28</v>
      </c>
    </row>
    <row r="162" spans="1:9" hidden="1" x14ac:dyDescent="0.25">
      <c r="A162">
        <v>161</v>
      </c>
      <c r="B162" s="1">
        <v>45323</v>
      </c>
      <c r="C162" t="s">
        <v>28</v>
      </c>
      <c r="D162">
        <v>125</v>
      </c>
      <c r="E162" t="s">
        <v>15</v>
      </c>
      <c r="F162" t="s">
        <v>21</v>
      </c>
      <c r="G162">
        <f>MONTH(cleaned_personal_finance_data15[[#This Row],[date]])</f>
        <v>2</v>
      </c>
      <c r="H162">
        <f>YEAR(cleaned_personal_finance_data15[[#This Row],[date]])</f>
        <v>2024</v>
      </c>
      <c r="I162" t="s">
        <v>28</v>
      </c>
    </row>
    <row r="163" spans="1:9" hidden="1" x14ac:dyDescent="0.25">
      <c r="A163">
        <v>162</v>
      </c>
      <c r="B163" s="1">
        <v>45323</v>
      </c>
      <c r="C163" t="s">
        <v>50</v>
      </c>
      <c r="D163">
        <v>599</v>
      </c>
      <c r="E163" t="s">
        <v>15</v>
      </c>
      <c r="F163" t="s">
        <v>21</v>
      </c>
      <c r="G163">
        <f>MONTH(cleaned_personal_finance_data15[[#This Row],[date]])</f>
        <v>2</v>
      </c>
      <c r="H163">
        <f>YEAR(cleaned_personal_finance_data15[[#This Row],[date]])</f>
        <v>2024</v>
      </c>
      <c r="I163" t="s">
        <v>50</v>
      </c>
    </row>
    <row r="164" spans="1:9" hidden="1" x14ac:dyDescent="0.25">
      <c r="A164">
        <v>163</v>
      </c>
      <c r="B164" s="1">
        <v>45323</v>
      </c>
      <c r="C164" t="s">
        <v>28</v>
      </c>
      <c r="D164">
        <v>50</v>
      </c>
      <c r="E164" t="s">
        <v>15</v>
      </c>
      <c r="F164" t="s">
        <v>21</v>
      </c>
      <c r="G164">
        <f>MONTH(cleaned_personal_finance_data15[[#This Row],[date]])</f>
        <v>2</v>
      </c>
      <c r="H164">
        <f>YEAR(cleaned_personal_finance_data15[[#This Row],[date]])</f>
        <v>2024</v>
      </c>
      <c r="I164" t="s">
        <v>28</v>
      </c>
    </row>
    <row r="165" spans="1:9" hidden="1" x14ac:dyDescent="0.25">
      <c r="A165">
        <v>164</v>
      </c>
      <c r="B165" s="1">
        <v>45323</v>
      </c>
      <c r="C165" t="s">
        <v>28</v>
      </c>
      <c r="D165">
        <v>50</v>
      </c>
      <c r="E165" t="s">
        <v>15</v>
      </c>
      <c r="F165" t="s">
        <v>21</v>
      </c>
      <c r="G165">
        <f>MONTH(cleaned_personal_finance_data15[[#This Row],[date]])</f>
        <v>2</v>
      </c>
      <c r="H165">
        <f>YEAR(cleaned_personal_finance_data15[[#This Row],[date]])</f>
        <v>2024</v>
      </c>
      <c r="I165" t="s">
        <v>28</v>
      </c>
    </row>
    <row r="166" spans="1:9" hidden="1" x14ac:dyDescent="0.25">
      <c r="A166">
        <v>165</v>
      </c>
      <c r="B166" s="1">
        <v>45325</v>
      </c>
      <c r="C166" t="s">
        <v>51</v>
      </c>
      <c r="D166">
        <v>30</v>
      </c>
      <c r="E166" t="s">
        <v>15</v>
      </c>
      <c r="F166" t="s">
        <v>13</v>
      </c>
      <c r="G166">
        <f>MONTH(cleaned_personal_finance_data15[[#This Row],[date]])</f>
        <v>2</v>
      </c>
      <c r="H166">
        <f>YEAR(cleaned_personal_finance_data15[[#This Row],[date]])</f>
        <v>2024</v>
      </c>
      <c r="I166" t="s">
        <v>43</v>
      </c>
    </row>
    <row r="167" spans="1:9" hidden="1" x14ac:dyDescent="0.25">
      <c r="A167">
        <v>166</v>
      </c>
      <c r="B167" s="1">
        <v>45325</v>
      </c>
      <c r="C167" t="s">
        <v>54</v>
      </c>
      <c r="D167">
        <v>45</v>
      </c>
      <c r="E167" t="s">
        <v>15</v>
      </c>
      <c r="F167" t="s">
        <v>13</v>
      </c>
      <c r="G167">
        <f>MONTH(cleaned_personal_finance_data15[[#This Row],[date]])</f>
        <v>2</v>
      </c>
      <c r="H167">
        <f>YEAR(cleaned_personal_finance_data15[[#This Row],[date]])</f>
        <v>2024</v>
      </c>
      <c r="I167" t="s">
        <v>54</v>
      </c>
    </row>
    <row r="168" spans="1:9" hidden="1" x14ac:dyDescent="0.25">
      <c r="A168">
        <v>167</v>
      </c>
      <c r="B168" s="1">
        <v>45325</v>
      </c>
      <c r="C168" t="s">
        <v>66</v>
      </c>
      <c r="D168">
        <v>10</v>
      </c>
      <c r="E168" t="s">
        <v>15</v>
      </c>
      <c r="F168" t="s">
        <v>13</v>
      </c>
      <c r="G168">
        <f>MONTH(cleaned_personal_finance_data15[[#This Row],[date]])</f>
        <v>2</v>
      </c>
      <c r="H168">
        <f>YEAR(cleaned_personal_finance_data15[[#This Row],[date]])</f>
        <v>2024</v>
      </c>
      <c r="I168" t="s">
        <v>66</v>
      </c>
    </row>
    <row r="169" spans="1:9" hidden="1" x14ac:dyDescent="0.25">
      <c r="A169">
        <v>168</v>
      </c>
      <c r="B169" s="1">
        <v>45325</v>
      </c>
      <c r="C169" t="s">
        <v>106</v>
      </c>
      <c r="D169">
        <v>40</v>
      </c>
      <c r="E169" t="s">
        <v>15</v>
      </c>
      <c r="F169" t="s">
        <v>13</v>
      </c>
      <c r="G169">
        <f>MONTH(cleaned_personal_finance_data15[[#This Row],[date]])</f>
        <v>2</v>
      </c>
      <c r="H169">
        <f>YEAR(cleaned_personal_finance_data15[[#This Row],[date]])</f>
        <v>2024</v>
      </c>
      <c r="I169" t="s">
        <v>106</v>
      </c>
    </row>
    <row r="170" spans="1:9" hidden="1" x14ac:dyDescent="0.25">
      <c r="A170">
        <v>169</v>
      </c>
      <c r="B170" s="1">
        <v>45325</v>
      </c>
      <c r="C170" t="s">
        <v>76</v>
      </c>
      <c r="D170">
        <v>50</v>
      </c>
      <c r="E170" t="s">
        <v>15</v>
      </c>
      <c r="F170" t="s">
        <v>13</v>
      </c>
      <c r="G170">
        <f>MONTH(cleaned_personal_finance_data15[[#This Row],[date]])</f>
        <v>2</v>
      </c>
      <c r="H170">
        <f>YEAR(cleaned_personal_finance_data15[[#This Row],[date]])</f>
        <v>2024</v>
      </c>
      <c r="I170" t="s">
        <v>43</v>
      </c>
    </row>
    <row r="171" spans="1:9" hidden="1" x14ac:dyDescent="0.25">
      <c r="A171">
        <v>170</v>
      </c>
      <c r="B171" s="1">
        <v>45325</v>
      </c>
      <c r="C171" t="s">
        <v>78</v>
      </c>
      <c r="D171">
        <v>200</v>
      </c>
      <c r="E171" t="s">
        <v>15</v>
      </c>
      <c r="F171" t="s">
        <v>13</v>
      </c>
      <c r="G171">
        <f>MONTH(cleaned_personal_finance_data15[[#This Row],[date]])</f>
        <v>2</v>
      </c>
      <c r="H171">
        <f>YEAR(cleaned_personal_finance_data15[[#This Row],[date]])</f>
        <v>2024</v>
      </c>
      <c r="I171" t="s">
        <v>78</v>
      </c>
    </row>
    <row r="172" spans="1:9" hidden="1" x14ac:dyDescent="0.25">
      <c r="A172">
        <v>171</v>
      </c>
      <c r="B172" s="1">
        <v>45328</v>
      </c>
      <c r="C172" t="s">
        <v>38</v>
      </c>
      <c r="D172">
        <v>1500</v>
      </c>
      <c r="E172" t="s">
        <v>15</v>
      </c>
      <c r="F172" t="s">
        <v>13</v>
      </c>
      <c r="G172">
        <f>MONTH(cleaned_personal_finance_data15[[#This Row],[date]])</f>
        <v>2</v>
      </c>
      <c r="H172">
        <f>YEAR(cleaned_personal_finance_data15[[#This Row],[date]])</f>
        <v>2024</v>
      </c>
      <c r="I172" t="s">
        <v>38</v>
      </c>
    </row>
    <row r="173" spans="1:9" hidden="1" x14ac:dyDescent="0.25">
      <c r="A173">
        <v>172</v>
      </c>
      <c r="B173" s="1">
        <v>45329</v>
      </c>
      <c r="C173" t="s">
        <v>51</v>
      </c>
      <c r="D173">
        <v>30</v>
      </c>
      <c r="E173" t="s">
        <v>15</v>
      </c>
      <c r="F173" t="s">
        <v>13</v>
      </c>
      <c r="G173">
        <f>MONTH(cleaned_personal_finance_data15[[#This Row],[date]])</f>
        <v>2</v>
      </c>
      <c r="H173">
        <f>YEAR(cleaned_personal_finance_data15[[#This Row],[date]])</f>
        <v>2024</v>
      </c>
      <c r="I173" t="s">
        <v>43</v>
      </c>
    </row>
    <row r="174" spans="1:9" hidden="1" x14ac:dyDescent="0.25">
      <c r="A174">
        <v>173</v>
      </c>
      <c r="B174" s="1">
        <v>45329</v>
      </c>
      <c r="C174" t="s">
        <v>54</v>
      </c>
      <c r="D174">
        <v>45</v>
      </c>
      <c r="E174" t="s">
        <v>15</v>
      </c>
      <c r="F174" t="s">
        <v>13</v>
      </c>
      <c r="G174">
        <f>MONTH(cleaned_personal_finance_data15[[#This Row],[date]])</f>
        <v>2</v>
      </c>
      <c r="H174">
        <f>YEAR(cleaned_personal_finance_data15[[#This Row],[date]])</f>
        <v>2024</v>
      </c>
      <c r="I174" t="s">
        <v>54</v>
      </c>
    </row>
    <row r="175" spans="1:9" hidden="1" x14ac:dyDescent="0.25">
      <c r="A175">
        <v>174</v>
      </c>
      <c r="B175" s="1">
        <v>45329</v>
      </c>
      <c r="C175" t="s">
        <v>110</v>
      </c>
      <c r="D175">
        <v>120</v>
      </c>
      <c r="E175" t="s">
        <v>15</v>
      </c>
      <c r="F175" t="s">
        <v>13</v>
      </c>
      <c r="G175">
        <f>MONTH(cleaned_personal_finance_data15[[#This Row],[date]])</f>
        <v>2</v>
      </c>
      <c r="H175">
        <f>YEAR(cleaned_personal_finance_data15[[#This Row],[date]])</f>
        <v>2024</v>
      </c>
      <c r="I175" t="s">
        <v>43</v>
      </c>
    </row>
    <row r="176" spans="1:9" hidden="1" x14ac:dyDescent="0.25">
      <c r="A176">
        <v>175</v>
      </c>
      <c r="B176" s="1">
        <v>45329</v>
      </c>
      <c r="C176" t="s">
        <v>111</v>
      </c>
      <c r="D176">
        <v>1099</v>
      </c>
      <c r="E176" t="s">
        <v>15</v>
      </c>
      <c r="F176" t="s">
        <v>8</v>
      </c>
      <c r="G176">
        <f>MONTH(cleaned_personal_finance_data15[[#This Row],[date]])</f>
        <v>2</v>
      </c>
      <c r="H176">
        <f>YEAR(cleaned_personal_finance_data15[[#This Row],[date]])</f>
        <v>2024</v>
      </c>
      <c r="I176" t="s">
        <v>111</v>
      </c>
    </row>
    <row r="177" spans="1:9" hidden="1" x14ac:dyDescent="0.25">
      <c r="A177">
        <v>176</v>
      </c>
      <c r="B177" s="1">
        <v>45329</v>
      </c>
      <c r="C177" t="s">
        <v>112</v>
      </c>
      <c r="D177">
        <v>837</v>
      </c>
      <c r="E177" t="s">
        <v>15</v>
      </c>
      <c r="F177" t="s">
        <v>8</v>
      </c>
      <c r="G177">
        <f>MONTH(cleaned_personal_finance_data15[[#This Row],[date]])</f>
        <v>2</v>
      </c>
      <c r="H177">
        <f>YEAR(cleaned_personal_finance_data15[[#This Row],[date]])</f>
        <v>2024</v>
      </c>
      <c r="I177" t="s">
        <v>269</v>
      </c>
    </row>
    <row r="178" spans="1:9" hidden="1" x14ac:dyDescent="0.25">
      <c r="A178">
        <v>177</v>
      </c>
      <c r="B178" s="1">
        <v>45329</v>
      </c>
      <c r="C178" t="s">
        <v>113</v>
      </c>
      <c r="D178">
        <v>75</v>
      </c>
      <c r="E178" t="s">
        <v>15</v>
      </c>
      <c r="F178" t="s">
        <v>13</v>
      </c>
      <c r="G178">
        <f>MONTH(cleaned_personal_finance_data15[[#This Row],[date]])</f>
        <v>2</v>
      </c>
      <c r="H178">
        <f>YEAR(cleaned_personal_finance_data15[[#This Row],[date]])</f>
        <v>2024</v>
      </c>
      <c r="I178" t="s">
        <v>320</v>
      </c>
    </row>
    <row r="179" spans="1:9" hidden="1" x14ac:dyDescent="0.25">
      <c r="A179">
        <v>178</v>
      </c>
      <c r="B179" s="1">
        <v>45329</v>
      </c>
      <c r="C179" t="s">
        <v>114</v>
      </c>
      <c r="D179">
        <v>25</v>
      </c>
      <c r="E179" t="s">
        <v>15</v>
      </c>
      <c r="F179" t="s">
        <v>13</v>
      </c>
      <c r="G179">
        <f>MONTH(cleaned_personal_finance_data15[[#This Row],[date]])</f>
        <v>2</v>
      </c>
      <c r="H179">
        <f>YEAR(cleaned_personal_finance_data15[[#This Row],[date]])</f>
        <v>2024</v>
      </c>
      <c r="I179" t="s">
        <v>114</v>
      </c>
    </row>
    <row r="180" spans="1:9" hidden="1" x14ac:dyDescent="0.25">
      <c r="A180">
        <v>179</v>
      </c>
      <c r="B180" s="1">
        <v>45329</v>
      </c>
      <c r="C180" t="s">
        <v>115</v>
      </c>
      <c r="D180">
        <v>98</v>
      </c>
      <c r="E180" t="s">
        <v>15</v>
      </c>
      <c r="F180" t="s">
        <v>13</v>
      </c>
      <c r="G180">
        <f>MONTH(cleaned_personal_finance_data15[[#This Row],[date]])</f>
        <v>2</v>
      </c>
      <c r="H180">
        <f>YEAR(cleaned_personal_finance_data15[[#This Row],[date]])</f>
        <v>2024</v>
      </c>
      <c r="I180" t="s">
        <v>115</v>
      </c>
    </row>
    <row r="181" spans="1:9" hidden="1" x14ac:dyDescent="0.25">
      <c r="A181">
        <v>180</v>
      </c>
      <c r="B181" s="1">
        <v>45329</v>
      </c>
      <c r="C181" t="s">
        <v>106</v>
      </c>
      <c r="D181">
        <v>85</v>
      </c>
      <c r="E181" t="s">
        <v>15</v>
      </c>
      <c r="F181" t="s">
        <v>13</v>
      </c>
      <c r="G181">
        <f>MONTH(cleaned_personal_finance_data15[[#This Row],[date]])</f>
        <v>2</v>
      </c>
      <c r="H181">
        <f>YEAR(cleaned_personal_finance_data15[[#This Row],[date]])</f>
        <v>2024</v>
      </c>
      <c r="I181" t="s">
        <v>106</v>
      </c>
    </row>
    <row r="182" spans="1:9" hidden="1" x14ac:dyDescent="0.25">
      <c r="A182">
        <v>181</v>
      </c>
      <c r="B182" s="1">
        <v>45329</v>
      </c>
      <c r="C182" t="s">
        <v>9</v>
      </c>
      <c r="D182">
        <v>1500</v>
      </c>
      <c r="E182" t="s">
        <v>10</v>
      </c>
      <c r="F182" t="s">
        <v>8</v>
      </c>
      <c r="G182">
        <f>MONTH(cleaned_personal_finance_data15[[#This Row],[date]])</f>
        <v>2</v>
      </c>
      <c r="H182">
        <f>YEAR(cleaned_personal_finance_data15[[#This Row],[date]])</f>
        <v>2024</v>
      </c>
      <c r="I182" t="s">
        <v>9</v>
      </c>
    </row>
    <row r="183" spans="1:9" hidden="1" x14ac:dyDescent="0.25">
      <c r="A183">
        <v>182</v>
      </c>
      <c r="B183" s="1">
        <v>45329</v>
      </c>
      <c r="C183" t="s">
        <v>9</v>
      </c>
      <c r="D183">
        <v>1500</v>
      </c>
      <c r="E183" t="s">
        <v>12</v>
      </c>
      <c r="F183" t="s">
        <v>13</v>
      </c>
      <c r="G183">
        <f>MONTH(cleaned_personal_finance_data15[[#This Row],[date]])</f>
        <v>2</v>
      </c>
      <c r="H183">
        <f>YEAR(cleaned_personal_finance_data15[[#This Row],[date]])</f>
        <v>2024</v>
      </c>
      <c r="I183" t="s">
        <v>9</v>
      </c>
    </row>
    <row r="184" spans="1:9" hidden="1" x14ac:dyDescent="0.25">
      <c r="A184">
        <v>183</v>
      </c>
      <c r="B184" s="1">
        <v>45329</v>
      </c>
      <c r="C184" t="s">
        <v>85</v>
      </c>
      <c r="D184">
        <v>300</v>
      </c>
      <c r="E184" t="s">
        <v>15</v>
      </c>
      <c r="F184" t="s">
        <v>13</v>
      </c>
      <c r="G184">
        <f>MONTH(cleaned_personal_finance_data15[[#This Row],[date]])</f>
        <v>2</v>
      </c>
      <c r="H184">
        <f>YEAR(cleaned_personal_finance_data15[[#This Row],[date]])</f>
        <v>2024</v>
      </c>
      <c r="I184" t="s">
        <v>85</v>
      </c>
    </row>
    <row r="185" spans="1:9" hidden="1" x14ac:dyDescent="0.25">
      <c r="A185">
        <v>184</v>
      </c>
      <c r="B185" s="1">
        <v>45329</v>
      </c>
      <c r="C185" t="s">
        <v>116</v>
      </c>
      <c r="D185">
        <v>300</v>
      </c>
      <c r="E185" t="s">
        <v>15</v>
      </c>
      <c r="F185" t="s">
        <v>13</v>
      </c>
      <c r="G185">
        <f>MONTH(cleaned_personal_finance_data15[[#This Row],[date]])</f>
        <v>2</v>
      </c>
      <c r="H185">
        <f>YEAR(cleaned_personal_finance_data15[[#This Row],[date]])</f>
        <v>2024</v>
      </c>
      <c r="I185" t="s">
        <v>116</v>
      </c>
    </row>
    <row r="186" spans="1:9" hidden="1" x14ac:dyDescent="0.25">
      <c r="A186">
        <v>185</v>
      </c>
      <c r="B186" s="1">
        <v>45329</v>
      </c>
      <c r="C186" t="s">
        <v>81</v>
      </c>
      <c r="D186">
        <v>348</v>
      </c>
      <c r="E186" t="s">
        <v>15</v>
      </c>
      <c r="F186" t="s">
        <v>13</v>
      </c>
      <c r="G186">
        <f>MONTH(cleaned_personal_finance_data15[[#This Row],[date]])</f>
        <v>2</v>
      </c>
      <c r="H186">
        <f>YEAR(cleaned_personal_finance_data15[[#This Row],[date]])</f>
        <v>2024</v>
      </c>
      <c r="I186" t="s">
        <v>81</v>
      </c>
    </row>
    <row r="187" spans="1:9" hidden="1" x14ac:dyDescent="0.25">
      <c r="A187">
        <v>186</v>
      </c>
      <c r="B187" s="1">
        <v>45329</v>
      </c>
      <c r="C187" t="s">
        <v>117</v>
      </c>
      <c r="D187">
        <v>200</v>
      </c>
      <c r="E187" t="s">
        <v>15</v>
      </c>
      <c r="F187" t="s">
        <v>13</v>
      </c>
      <c r="G187">
        <f>MONTH(cleaned_personal_finance_data15[[#This Row],[date]])</f>
        <v>2</v>
      </c>
      <c r="H187">
        <f>YEAR(cleaned_personal_finance_data15[[#This Row],[date]])</f>
        <v>2024</v>
      </c>
      <c r="I187" t="s">
        <v>117</v>
      </c>
    </row>
    <row r="188" spans="1:9" hidden="1" x14ac:dyDescent="0.25">
      <c r="A188">
        <v>187</v>
      </c>
      <c r="B188" s="1">
        <v>45329</v>
      </c>
      <c r="C188" t="s">
        <v>118</v>
      </c>
      <c r="D188">
        <v>10</v>
      </c>
      <c r="E188" t="s">
        <v>15</v>
      </c>
      <c r="F188" t="s">
        <v>13</v>
      </c>
      <c r="G188">
        <f>MONTH(cleaned_personal_finance_data15[[#This Row],[date]])</f>
        <v>2</v>
      </c>
      <c r="H188">
        <f>YEAR(cleaned_personal_finance_data15[[#This Row],[date]])</f>
        <v>2024</v>
      </c>
      <c r="I188" t="s">
        <v>43</v>
      </c>
    </row>
    <row r="189" spans="1:9" hidden="1" x14ac:dyDescent="0.25">
      <c r="A189">
        <v>188</v>
      </c>
      <c r="B189" s="1">
        <v>45329</v>
      </c>
      <c r="C189" t="s">
        <v>119</v>
      </c>
      <c r="D189">
        <v>130</v>
      </c>
      <c r="E189" t="s">
        <v>15</v>
      </c>
      <c r="F189" t="s">
        <v>13</v>
      </c>
      <c r="G189">
        <f>MONTH(cleaned_personal_finance_data15[[#This Row],[date]])</f>
        <v>2</v>
      </c>
      <c r="H189">
        <f>YEAR(cleaned_personal_finance_data15[[#This Row],[date]])</f>
        <v>2024</v>
      </c>
      <c r="I189" t="s">
        <v>43</v>
      </c>
    </row>
    <row r="190" spans="1:9" hidden="1" x14ac:dyDescent="0.25">
      <c r="A190">
        <v>189</v>
      </c>
      <c r="B190" s="1">
        <v>45329</v>
      </c>
      <c r="C190" t="s">
        <v>20</v>
      </c>
      <c r="D190">
        <v>3000</v>
      </c>
      <c r="E190" t="s">
        <v>12</v>
      </c>
      <c r="F190" t="s">
        <v>21</v>
      </c>
      <c r="G190">
        <f>MONTH(cleaned_personal_finance_data15[[#This Row],[date]])</f>
        <v>2</v>
      </c>
      <c r="H190">
        <f>YEAR(cleaned_personal_finance_data15[[#This Row],[date]])</f>
        <v>2024</v>
      </c>
      <c r="I190" t="s">
        <v>20</v>
      </c>
    </row>
    <row r="191" spans="1:9" hidden="1" x14ac:dyDescent="0.25">
      <c r="A191">
        <v>190</v>
      </c>
      <c r="B191" s="1">
        <v>45329</v>
      </c>
      <c r="C191" t="s">
        <v>20</v>
      </c>
      <c r="D191">
        <v>3000</v>
      </c>
      <c r="E191" t="s">
        <v>10</v>
      </c>
      <c r="F191" t="s">
        <v>13</v>
      </c>
      <c r="G191">
        <f>MONTH(cleaned_personal_finance_data15[[#This Row],[date]])</f>
        <v>2</v>
      </c>
      <c r="H191">
        <f>YEAR(cleaned_personal_finance_data15[[#This Row],[date]])</f>
        <v>2024</v>
      </c>
      <c r="I191" t="s">
        <v>20</v>
      </c>
    </row>
    <row r="192" spans="1:9" hidden="1" x14ac:dyDescent="0.25">
      <c r="A192">
        <v>191</v>
      </c>
      <c r="B192" s="1">
        <v>45329</v>
      </c>
      <c r="C192" t="s">
        <v>24</v>
      </c>
      <c r="D192">
        <v>239</v>
      </c>
      <c r="E192" t="s">
        <v>15</v>
      </c>
      <c r="F192" t="s">
        <v>21</v>
      </c>
      <c r="G192">
        <f>MONTH(cleaned_personal_finance_data15[[#This Row],[date]])</f>
        <v>2</v>
      </c>
      <c r="H192">
        <f>YEAR(cleaned_personal_finance_data15[[#This Row],[date]])</f>
        <v>2024</v>
      </c>
      <c r="I192" t="s">
        <v>24</v>
      </c>
    </row>
    <row r="193" spans="1:9" hidden="1" x14ac:dyDescent="0.25">
      <c r="A193">
        <v>192</v>
      </c>
      <c r="B193" s="1">
        <v>45331</v>
      </c>
      <c r="C193" t="s">
        <v>120</v>
      </c>
      <c r="D193">
        <v>2000</v>
      </c>
      <c r="E193" t="s">
        <v>15</v>
      </c>
      <c r="F193" t="s">
        <v>13</v>
      </c>
      <c r="G193">
        <f>MONTH(cleaned_personal_finance_data15[[#This Row],[date]])</f>
        <v>2</v>
      </c>
      <c r="H193">
        <f>YEAR(cleaned_personal_finance_data15[[#This Row],[date]])</f>
        <v>2024</v>
      </c>
      <c r="I193" t="s">
        <v>159</v>
      </c>
    </row>
    <row r="194" spans="1:9" hidden="1" x14ac:dyDescent="0.25">
      <c r="A194">
        <v>193</v>
      </c>
      <c r="B194" s="1">
        <v>45331</v>
      </c>
      <c r="C194" t="s">
        <v>121</v>
      </c>
      <c r="D194">
        <v>5000</v>
      </c>
      <c r="E194" t="s">
        <v>15</v>
      </c>
      <c r="F194" t="s">
        <v>13</v>
      </c>
      <c r="G194">
        <f>MONTH(cleaned_personal_finance_data15[[#This Row],[date]])</f>
        <v>2</v>
      </c>
      <c r="H194">
        <f>YEAR(cleaned_personal_finance_data15[[#This Row],[date]])</f>
        <v>2024</v>
      </c>
      <c r="I194" t="s">
        <v>145</v>
      </c>
    </row>
    <row r="195" spans="1:9" hidden="1" x14ac:dyDescent="0.25">
      <c r="A195">
        <v>194</v>
      </c>
      <c r="B195" s="1">
        <v>45331</v>
      </c>
      <c r="C195" t="s">
        <v>64</v>
      </c>
      <c r="D195">
        <v>199</v>
      </c>
      <c r="E195" t="s">
        <v>15</v>
      </c>
      <c r="F195" t="s">
        <v>21</v>
      </c>
      <c r="G195">
        <f>MONTH(cleaned_personal_finance_data15[[#This Row],[date]])</f>
        <v>2</v>
      </c>
      <c r="H195">
        <f>YEAR(cleaned_personal_finance_data15[[#This Row],[date]])</f>
        <v>2024</v>
      </c>
      <c r="I195" t="s">
        <v>64</v>
      </c>
    </row>
    <row r="196" spans="1:9" hidden="1" x14ac:dyDescent="0.25">
      <c r="A196">
        <v>195</v>
      </c>
      <c r="B196" s="1">
        <v>45331</v>
      </c>
      <c r="C196" t="s">
        <v>122</v>
      </c>
      <c r="D196">
        <v>280</v>
      </c>
      <c r="E196" t="s">
        <v>15</v>
      </c>
      <c r="F196" t="s">
        <v>21</v>
      </c>
      <c r="G196">
        <f>MONTH(cleaned_personal_finance_data15[[#This Row],[date]])</f>
        <v>2</v>
      </c>
      <c r="H196">
        <f>YEAR(cleaned_personal_finance_data15[[#This Row],[date]])</f>
        <v>2024</v>
      </c>
      <c r="I196" t="s">
        <v>324</v>
      </c>
    </row>
    <row r="197" spans="1:9" hidden="1" x14ac:dyDescent="0.25">
      <c r="A197">
        <v>196</v>
      </c>
      <c r="B197" s="1">
        <v>45331</v>
      </c>
      <c r="C197" t="s">
        <v>64</v>
      </c>
      <c r="D197">
        <v>199</v>
      </c>
      <c r="E197" t="s">
        <v>15</v>
      </c>
      <c r="F197" t="s">
        <v>21</v>
      </c>
      <c r="G197">
        <f>MONTH(cleaned_personal_finance_data15[[#This Row],[date]])</f>
        <v>2</v>
      </c>
      <c r="H197">
        <f>YEAR(cleaned_personal_finance_data15[[#This Row],[date]])</f>
        <v>2024</v>
      </c>
      <c r="I197" t="s">
        <v>64</v>
      </c>
    </row>
    <row r="198" spans="1:9" hidden="1" x14ac:dyDescent="0.25">
      <c r="A198">
        <v>197</v>
      </c>
      <c r="B198" s="1">
        <v>45332</v>
      </c>
      <c r="C198" t="s">
        <v>103</v>
      </c>
      <c r="D198">
        <v>260</v>
      </c>
      <c r="E198" t="s">
        <v>15</v>
      </c>
      <c r="F198" t="s">
        <v>13</v>
      </c>
      <c r="G198">
        <f>MONTH(cleaned_personal_finance_data15[[#This Row],[date]])</f>
        <v>2</v>
      </c>
      <c r="H198">
        <f>YEAR(cleaned_personal_finance_data15[[#This Row],[date]])</f>
        <v>2024</v>
      </c>
      <c r="I198" t="s">
        <v>329</v>
      </c>
    </row>
    <row r="199" spans="1:9" hidden="1" x14ac:dyDescent="0.25">
      <c r="A199">
        <v>198</v>
      </c>
      <c r="B199" s="1">
        <v>45334</v>
      </c>
      <c r="C199" t="s">
        <v>37</v>
      </c>
      <c r="D199">
        <v>48</v>
      </c>
      <c r="E199" t="s">
        <v>15</v>
      </c>
      <c r="F199" t="s">
        <v>13</v>
      </c>
      <c r="G199">
        <f>MONTH(cleaned_personal_finance_data15[[#This Row],[date]])</f>
        <v>2</v>
      </c>
      <c r="H199">
        <f>YEAR(cleaned_personal_finance_data15[[#This Row],[date]])</f>
        <v>2024</v>
      </c>
      <c r="I199" t="s">
        <v>47</v>
      </c>
    </row>
    <row r="200" spans="1:9" hidden="1" x14ac:dyDescent="0.25">
      <c r="A200">
        <v>199</v>
      </c>
      <c r="B200" s="1">
        <v>45337</v>
      </c>
      <c r="C200" t="s">
        <v>123</v>
      </c>
      <c r="D200">
        <v>25</v>
      </c>
      <c r="E200" t="s">
        <v>15</v>
      </c>
      <c r="F200" t="s">
        <v>13</v>
      </c>
      <c r="G200">
        <f>MONTH(cleaned_personal_finance_data15[[#This Row],[date]])</f>
        <v>2</v>
      </c>
      <c r="H200">
        <f>YEAR(cleaned_personal_finance_data15[[#This Row],[date]])</f>
        <v>2024</v>
      </c>
      <c r="I200" t="s">
        <v>43</v>
      </c>
    </row>
    <row r="201" spans="1:9" hidden="1" x14ac:dyDescent="0.25">
      <c r="A201">
        <v>200</v>
      </c>
      <c r="B201" s="1">
        <v>45337</v>
      </c>
      <c r="C201" t="s">
        <v>124</v>
      </c>
      <c r="D201">
        <v>180</v>
      </c>
      <c r="E201" t="s">
        <v>15</v>
      </c>
      <c r="F201" t="s">
        <v>13</v>
      </c>
      <c r="G201">
        <f>MONTH(cleaned_personal_finance_data15[[#This Row],[date]])</f>
        <v>2</v>
      </c>
      <c r="H201">
        <f>YEAR(cleaned_personal_finance_data15[[#This Row],[date]])</f>
        <v>2024</v>
      </c>
      <c r="I201" t="s">
        <v>124</v>
      </c>
    </row>
    <row r="202" spans="1:9" hidden="1" x14ac:dyDescent="0.25">
      <c r="A202">
        <v>201</v>
      </c>
      <c r="B202" s="1">
        <v>45337</v>
      </c>
      <c r="C202" t="s">
        <v>107</v>
      </c>
      <c r="D202">
        <v>68</v>
      </c>
      <c r="E202" t="s">
        <v>15</v>
      </c>
      <c r="F202" t="s">
        <v>13</v>
      </c>
      <c r="G202">
        <f>MONTH(cleaned_personal_finance_data15[[#This Row],[date]])</f>
        <v>2</v>
      </c>
      <c r="H202">
        <f>YEAR(cleaned_personal_finance_data15[[#This Row],[date]])</f>
        <v>2024</v>
      </c>
      <c r="I202" t="s">
        <v>107</v>
      </c>
    </row>
    <row r="203" spans="1:9" hidden="1" x14ac:dyDescent="0.25">
      <c r="A203">
        <v>202</v>
      </c>
      <c r="B203" s="1">
        <v>45337</v>
      </c>
      <c r="C203" t="s">
        <v>6</v>
      </c>
      <c r="D203">
        <v>12597</v>
      </c>
      <c r="E203" t="s">
        <v>7</v>
      </c>
      <c r="F203" t="s">
        <v>8</v>
      </c>
      <c r="G203">
        <f>MONTH(cleaned_personal_finance_data15[[#This Row],[date]])</f>
        <v>2</v>
      </c>
      <c r="H203">
        <f>YEAR(cleaned_personal_finance_data15[[#This Row],[date]])</f>
        <v>2024</v>
      </c>
      <c r="I203" t="s">
        <v>318</v>
      </c>
    </row>
    <row r="204" spans="1:9" hidden="1" x14ac:dyDescent="0.25">
      <c r="A204">
        <v>203</v>
      </c>
      <c r="B204" s="1">
        <v>45337</v>
      </c>
      <c r="C204" t="s">
        <v>18</v>
      </c>
      <c r="D204">
        <v>28</v>
      </c>
      <c r="E204" t="s">
        <v>15</v>
      </c>
      <c r="F204" t="s">
        <v>8</v>
      </c>
      <c r="G204">
        <f>MONTH(cleaned_personal_finance_data15[[#This Row],[date]])</f>
        <v>2</v>
      </c>
      <c r="H204">
        <f>YEAR(cleaned_personal_finance_data15[[#This Row],[date]])</f>
        <v>2024</v>
      </c>
      <c r="I204" t="s">
        <v>18</v>
      </c>
    </row>
    <row r="205" spans="1:9" hidden="1" x14ac:dyDescent="0.25">
      <c r="A205">
        <v>204</v>
      </c>
      <c r="B205" s="1">
        <v>45337</v>
      </c>
      <c r="C205" t="s">
        <v>125</v>
      </c>
      <c r="D205">
        <v>144</v>
      </c>
      <c r="E205" t="s">
        <v>15</v>
      </c>
      <c r="F205" t="s">
        <v>21</v>
      </c>
      <c r="G205">
        <f>MONTH(cleaned_personal_finance_data15[[#This Row],[date]])</f>
        <v>2</v>
      </c>
      <c r="H205">
        <f>YEAR(cleaned_personal_finance_data15[[#This Row],[date]])</f>
        <v>2024</v>
      </c>
      <c r="I205" t="s">
        <v>324</v>
      </c>
    </row>
    <row r="206" spans="1:9" hidden="1" x14ac:dyDescent="0.25">
      <c r="A206">
        <v>205</v>
      </c>
      <c r="B206" s="1">
        <v>45338</v>
      </c>
      <c r="C206" t="s">
        <v>107</v>
      </c>
      <c r="D206">
        <v>50</v>
      </c>
      <c r="E206" t="s">
        <v>15</v>
      </c>
      <c r="F206" t="s">
        <v>13</v>
      </c>
      <c r="G206">
        <f>MONTH(cleaned_personal_finance_data15[[#This Row],[date]])</f>
        <v>2</v>
      </c>
      <c r="H206">
        <f>YEAR(cleaned_personal_finance_data15[[#This Row],[date]])</f>
        <v>2024</v>
      </c>
      <c r="I206" t="s">
        <v>107</v>
      </c>
    </row>
    <row r="207" spans="1:9" hidden="1" x14ac:dyDescent="0.25">
      <c r="A207">
        <v>206</v>
      </c>
      <c r="B207" s="1">
        <v>45338</v>
      </c>
      <c r="C207" t="s">
        <v>64</v>
      </c>
      <c r="D207">
        <v>199</v>
      </c>
      <c r="E207" t="s">
        <v>15</v>
      </c>
      <c r="F207" t="s">
        <v>21</v>
      </c>
      <c r="G207">
        <f>MONTH(cleaned_personal_finance_data15[[#This Row],[date]])</f>
        <v>2</v>
      </c>
      <c r="H207">
        <f>YEAR(cleaned_personal_finance_data15[[#This Row],[date]])</f>
        <v>2024</v>
      </c>
      <c r="I207" t="s">
        <v>64</v>
      </c>
    </row>
    <row r="208" spans="1:9" hidden="1" x14ac:dyDescent="0.25">
      <c r="A208">
        <v>207</v>
      </c>
      <c r="B208" s="1">
        <v>45338</v>
      </c>
      <c r="C208" t="s">
        <v>126</v>
      </c>
      <c r="D208">
        <v>199</v>
      </c>
      <c r="E208" t="s">
        <v>15</v>
      </c>
      <c r="F208" t="s">
        <v>21</v>
      </c>
      <c r="G208">
        <f>MONTH(cleaned_personal_finance_data15[[#This Row],[date]])</f>
        <v>2</v>
      </c>
      <c r="H208">
        <f>YEAR(cleaned_personal_finance_data15[[#This Row],[date]])</f>
        <v>2024</v>
      </c>
      <c r="I208" t="s">
        <v>324</v>
      </c>
    </row>
    <row r="209" spans="1:9" hidden="1" x14ac:dyDescent="0.25">
      <c r="A209">
        <v>208</v>
      </c>
      <c r="B209" s="1">
        <v>45342</v>
      </c>
      <c r="C209" t="s">
        <v>127</v>
      </c>
      <c r="D209">
        <v>90</v>
      </c>
      <c r="E209" t="s">
        <v>15</v>
      </c>
      <c r="F209" t="s">
        <v>13</v>
      </c>
      <c r="G209">
        <f>MONTH(cleaned_personal_finance_data15[[#This Row],[date]])</f>
        <v>2</v>
      </c>
      <c r="H209">
        <f>YEAR(cleaned_personal_finance_data15[[#This Row],[date]])</f>
        <v>2024</v>
      </c>
      <c r="I209" t="s">
        <v>262</v>
      </c>
    </row>
    <row r="210" spans="1:9" hidden="1" x14ac:dyDescent="0.25">
      <c r="A210">
        <v>209</v>
      </c>
      <c r="B210" s="1">
        <v>45343</v>
      </c>
      <c r="C210" t="s">
        <v>35</v>
      </c>
      <c r="D210">
        <v>280</v>
      </c>
      <c r="E210" t="s">
        <v>15</v>
      </c>
      <c r="F210" t="s">
        <v>21</v>
      </c>
      <c r="G210">
        <f>MONTH(cleaned_personal_finance_data15[[#This Row],[date]])</f>
        <v>2</v>
      </c>
      <c r="H210">
        <f>YEAR(cleaned_personal_finance_data15[[#This Row],[date]])</f>
        <v>2024</v>
      </c>
      <c r="I210" t="s">
        <v>35</v>
      </c>
    </row>
    <row r="211" spans="1:9" hidden="1" x14ac:dyDescent="0.25">
      <c r="A211">
        <v>210</v>
      </c>
      <c r="B211" s="1">
        <v>45344</v>
      </c>
      <c r="C211" t="s">
        <v>28</v>
      </c>
      <c r="D211">
        <v>129</v>
      </c>
      <c r="E211" t="s">
        <v>15</v>
      </c>
      <c r="F211" t="s">
        <v>21</v>
      </c>
      <c r="G211">
        <f>MONTH(cleaned_personal_finance_data15[[#This Row],[date]])</f>
        <v>2</v>
      </c>
      <c r="H211">
        <f>YEAR(cleaned_personal_finance_data15[[#This Row],[date]])</f>
        <v>2024</v>
      </c>
      <c r="I211" t="s">
        <v>28</v>
      </c>
    </row>
    <row r="212" spans="1:9" hidden="1" x14ac:dyDescent="0.25">
      <c r="A212">
        <v>211</v>
      </c>
      <c r="B212" s="1">
        <v>45346</v>
      </c>
      <c r="C212" t="s">
        <v>37</v>
      </c>
      <c r="D212">
        <v>48</v>
      </c>
      <c r="E212" t="s">
        <v>15</v>
      </c>
      <c r="F212" t="s">
        <v>13</v>
      </c>
      <c r="G212">
        <f>MONTH(cleaned_personal_finance_data15[[#This Row],[date]])</f>
        <v>2</v>
      </c>
      <c r="H212">
        <f>YEAR(cleaned_personal_finance_data15[[#This Row],[date]])</f>
        <v>2024</v>
      </c>
      <c r="I212" t="s">
        <v>47</v>
      </c>
    </row>
    <row r="213" spans="1:9" hidden="1" x14ac:dyDescent="0.25">
      <c r="A213">
        <v>212</v>
      </c>
      <c r="B213" s="1">
        <v>45349</v>
      </c>
      <c r="C213" t="s">
        <v>51</v>
      </c>
      <c r="D213">
        <v>30</v>
      </c>
      <c r="E213" t="s">
        <v>15</v>
      </c>
      <c r="F213" t="s">
        <v>13</v>
      </c>
      <c r="G213">
        <f>MONTH(cleaned_personal_finance_data15[[#This Row],[date]])</f>
        <v>2</v>
      </c>
      <c r="H213">
        <f>YEAR(cleaned_personal_finance_data15[[#This Row],[date]])</f>
        <v>2024</v>
      </c>
      <c r="I213" t="s">
        <v>43</v>
      </c>
    </row>
    <row r="214" spans="1:9" hidden="1" x14ac:dyDescent="0.25">
      <c r="A214">
        <v>213</v>
      </c>
      <c r="B214" s="1">
        <v>45349</v>
      </c>
      <c r="C214" t="s">
        <v>54</v>
      </c>
      <c r="D214">
        <v>45</v>
      </c>
      <c r="E214" t="s">
        <v>15</v>
      </c>
      <c r="F214" t="s">
        <v>13</v>
      </c>
      <c r="G214">
        <f>MONTH(cleaned_personal_finance_data15[[#This Row],[date]])</f>
        <v>2</v>
      </c>
      <c r="H214">
        <f>YEAR(cleaned_personal_finance_data15[[#This Row],[date]])</f>
        <v>2024</v>
      </c>
      <c r="I214" t="s">
        <v>54</v>
      </c>
    </row>
    <row r="215" spans="1:9" hidden="1" x14ac:dyDescent="0.25">
      <c r="A215">
        <v>214</v>
      </c>
      <c r="B215" s="1">
        <v>45349</v>
      </c>
      <c r="C215" t="s">
        <v>80</v>
      </c>
      <c r="D215">
        <v>130</v>
      </c>
      <c r="E215" t="s">
        <v>15</v>
      </c>
      <c r="F215" t="s">
        <v>13</v>
      </c>
      <c r="G215">
        <f>MONTH(cleaned_personal_finance_data15[[#This Row],[date]])</f>
        <v>2</v>
      </c>
      <c r="H215">
        <f>YEAR(cleaned_personal_finance_data15[[#This Row],[date]])</f>
        <v>2024</v>
      </c>
      <c r="I215" t="s">
        <v>43</v>
      </c>
    </row>
    <row r="216" spans="1:9" hidden="1" x14ac:dyDescent="0.25">
      <c r="A216">
        <v>215</v>
      </c>
      <c r="B216" s="1">
        <v>45349</v>
      </c>
      <c r="C216" t="s">
        <v>128</v>
      </c>
      <c r="D216">
        <v>13</v>
      </c>
      <c r="E216" t="s">
        <v>15</v>
      </c>
      <c r="F216" t="s">
        <v>13</v>
      </c>
      <c r="G216">
        <f>MONTH(cleaned_personal_finance_data15[[#This Row],[date]])</f>
        <v>2</v>
      </c>
      <c r="H216">
        <f>YEAR(cleaned_personal_finance_data15[[#This Row],[date]])</f>
        <v>2024</v>
      </c>
      <c r="I216" t="s">
        <v>43</v>
      </c>
    </row>
    <row r="217" spans="1:9" hidden="1" x14ac:dyDescent="0.25">
      <c r="A217">
        <v>216</v>
      </c>
      <c r="B217" s="1">
        <v>45349</v>
      </c>
      <c r="C217" t="s">
        <v>129</v>
      </c>
      <c r="D217">
        <v>13</v>
      </c>
      <c r="E217" t="s">
        <v>15</v>
      </c>
      <c r="F217" t="s">
        <v>13</v>
      </c>
      <c r="G217">
        <f>MONTH(cleaned_personal_finance_data15[[#This Row],[date]])</f>
        <v>2</v>
      </c>
      <c r="H217">
        <f>YEAR(cleaned_personal_finance_data15[[#This Row],[date]])</f>
        <v>2024</v>
      </c>
      <c r="I217" t="s">
        <v>43</v>
      </c>
    </row>
    <row r="218" spans="1:9" hidden="1" x14ac:dyDescent="0.25">
      <c r="A218">
        <v>217</v>
      </c>
      <c r="B218" s="1">
        <v>45349</v>
      </c>
      <c r="C218" t="s">
        <v>106</v>
      </c>
      <c r="D218">
        <v>157</v>
      </c>
      <c r="E218" t="s">
        <v>15</v>
      </c>
      <c r="F218" t="s">
        <v>13</v>
      </c>
      <c r="G218">
        <f>MONTH(cleaned_personal_finance_data15[[#This Row],[date]])</f>
        <v>2</v>
      </c>
      <c r="H218">
        <f>YEAR(cleaned_personal_finance_data15[[#This Row],[date]])</f>
        <v>2024</v>
      </c>
      <c r="I218" t="s">
        <v>106</v>
      </c>
    </row>
    <row r="219" spans="1:9" hidden="1" x14ac:dyDescent="0.25">
      <c r="A219">
        <v>218</v>
      </c>
      <c r="B219" s="1">
        <v>45349</v>
      </c>
      <c r="C219" t="s">
        <v>130</v>
      </c>
      <c r="D219">
        <v>899</v>
      </c>
      <c r="E219" t="s">
        <v>15</v>
      </c>
      <c r="F219" t="s">
        <v>13</v>
      </c>
      <c r="G219">
        <f>MONTH(cleaned_personal_finance_data15[[#This Row],[date]])</f>
        <v>2</v>
      </c>
      <c r="H219">
        <f>YEAR(cleaned_personal_finance_data15[[#This Row],[date]])</f>
        <v>2024</v>
      </c>
      <c r="I219" t="s">
        <v>130</v>
      </c>
    </row>
    <row r="220" spans="1:9" hidden="1" x14ac:dyDescent="0.25">
      <c r="A220">
        <v>219</v>
      </c>
      <c r="B220" s="1">
        <v>45349</v>
      </c>
      <c r="C220" t="s">
        <v>61</v>
      </c>
      <c r="D220">
        <v>130</v>
      </c>
      <c r="E220" t="s">
        <v>15</v>
      </c>
      <c r="F220" t="s">
        <v>13</v>
      </c>
      <c r="G220">
        <f>MONTH(cleaned_personal_finance_data15[[#This Row],[date]])</f>
        <v>2</v>
      </c>
      <c r="H220">
        <f>YEAR(cleaned_personal_finance_data15[[#This Row],[date]])</f>
        <v>2024</v>
      </c>
      <c r="I220" t="s">
        <v>43</v>
      </c>
    </row>
    <row r="221" spans="1:9" hidden="1" x14ac:dyDescent="0.25">
      <c r="A221">
        <v>220</v>
      </c>
      <c r="B221" s="1">
        <v>45349</v>
      </c>
      <c r="C221" t="s">
        <v>76</v>
      </c>
      <c r="D221">
        <v>100</v>
      </c>
      <c r="E221" t="s">
        <v>15</v>
      </c>
      <c r="F221" t="s">
        <v>13</v>
      </c>
      <c r="G221">
        <f>MONTH(cleaned_personal_finance_data15[[#This Row],[date]])</f>
        <v>2</v>
      </c>
      <c r="H221">
        <f>YEAR(cleaned_personal_finance_data15[[#This Row],[date]])</f>
        <v>2024</v>
      </c>
      <c r="I221" t="s">
        <v>43</v>
      </c>
    </row>
    <row r="222" spans="1:9" hidden="1" x14ac:dyDescent="0.25">
      <c r="A222">
        <v>221</v>
      </c>
      <c r="B222" s="1">
        <v>45351</v>
      </c>
      <c r="C222" t="s">
        <v>131</v>
      </c>
      <c r="D222">
        <v>12598</v>
      </c>
      <c r="E222" t="s">
        <v>7</v>
      </c>
      <c r="F222" t="s">
        <v>8</v>
      </c>
      <c r="G222">
        <f>MONTH(cleaned_personal_finance_data15[[#This Row],[date]])</f>
        <v>2</v>
      </c>
      <c r="H222">
        <f>YEAR(cleaned_personal_finance_data15[[#This Row],[date]])</f>
        <v>2024</v>
      </c>
      <c r="I222" t="s">
        <v>318</v>
      </c>
    </row>
    <row r="223" spans="1:9" hidden="1" x14ac:dyDescent="0.25">
      <c r="A223">
        <v>222</v>
      </c>
      <c r="B223" s="1">
        <v>45353</v>
      </c>
      <c r="C223" t="s">
        <v>132</v>
      </c>
      <c r="D223">
        <v>20</v>
      </c>
      <c r="E223" t="s">
        <v>15</v>
      </c>
      <c r="F223" t="s">
        <v>13</v>
      </c>
      <c r="G223">
        <f>MONTH(cleaned_personal_finance_data15[[#This Row],[date]])</f>
        <v>3</v>
      </c>
      <c r="H223">
        <f>YEAR(cleaned_personal_finance_data15[[#This Row],[date]])</f>
        <v>2024</v>
      </c>
      <c r="I223" t="s">
        <v>262</v>
      </c>
    </row>
    <row r="224" spans="1:9" hidden="1" x14ac:dyDescent="0.25">
      <c r="A224">
        <v>223</v>
      </c>
      <c r="B224" s="1">
        <v>45353</v>
      </c>
      <c r="C224" t="s">
        <v>28</v>
      </c>
      <c r="D224">
        <v>125</v>
      </c>
      <c r="E224" t="s">
        <v>15</v>
      </c>
      <c r="F224" t="s">
        <v>21</v>
      </c>
      <c r="G224">
        <f>MONTH(cleaned_personal_finance_data15[[#This Row],[date]])</f>
        <v>3</v>
      </c>
      <c r="H224">
        <f>YEAR(cleaned_personal_finance_data15[[#This Row],[date]])</f>
        <v>2024</v>
      </c>
      <c r="I224" t="s">
        <v>28</v>
      </c>
    </row>
    <row r="225" spans="1:9" hidden="1" x14ac:dyDescent="0.25">
      <c r="A225">
        <v>224</v>
      </c>
      <c r="B225" s="1">
        <v>45354</v>
      </c>
      <c r="C225" t="s">
        <v>103</v>
      </c>
      <c r="D225">
        <v>260</v>
      </c>
      <c r="E225" t="s">
        <v>15</v>
      </c>
      <c r="F225" t="s">
        <v>13</v>
      </c>
      <c r="G225">
        <f>MONTH(cleaned_personal_finance_data15[[#This Row],[date]])</f>
        <v>3</v>
      </c>
      <c r="H225">
        <f>YEAR(cleaned_personal_finance_data15[[#This Row],[date]])</f>
        <v>2024</v>
      </c>
      <c r="I225" t="s">
        <v>329</v>
      </c>
    </row>
    <row r="226" spans="1:9" hidden="1" x14ac:dyDescent="0.25">
      <c r="A226">
        <v>225</v>
      </c>
      <c r="B226" s="1">
        <v>45354</v>
      </c>
      <c r="C226" t="s">
        <v>133</v>
      </c>
      <c r="D226">
        <v>2560</v>
      </c>
      <c r="E226" t="s">
        <v>15</v>
      </c>
      <c r="F226" t="s">
        <v>13</v>
      </c>
      <c r="G226">
        <f>MONTH(cleaned_personal_finance_data15[[#This Row],[date]])</f>
        <v>3</v>
      </c>
      <c r="H226">
        <f>YEAR(cleaned_personal_finance_data15[[#This Row],[date]])</f>
        <v>2024</v>
      </c>
      <c r="I226" t="s">
        <v>159</v>
      </c>
    </row>
    <row r="227" spans="1:9" hidden="1" x14ac:dyDescent="0.25">
      <c r="A227">
        <v>226</v>
      </c>
      <c r="B227" s="1">
        <v>45354</v>
      </c>
      <c r="C227" t="s">
        <v>134</v>
      </c>
      <c r="D227">
        <v>5000</v>
      </c>
      <c r="E227" t="s">
        <v>15</v>
      </c>
      <c r="F227" t="s">
        <v>13</v>
      </c>
      <c r="G227">
        <f>MONTH(cleaned_personal_finance_data15[[#This Row],[date]])</f>
        <v>3</v>
      </c>
      <c r="H227">
        <f>YEAR(cleaned_personal_finance_data15[[#This Row],[date]])</f>
        <v>2024</v>
      </c>
      <c r="I227" t="s">
        <v>145</v>
      </c>
    </row>
    <row r="228" spans="1:9" hidden="1" x14ac:dyDescent="0.25">
      <c r="A228">
        <v>227</v>
      </c>
      <c r="B228" s="1">
        <v>45354</v>
      </c>
      <c r="C228" t="s">
        <v>38</v>
      </c>
      <c r="D228">
        <v>1500</v>
      </c>
      <c r="E228" t="s">
        <v>15</v>
      </c>
      <c r="F228" t="s">
        <v>13</v>
      </c>
      <c r="G228">
        <f>MONTH(cleaned_personal_finance_data15[[#This Row],[date]])</f>
        <v>3</v>
      </c>
      <c r="H228">
        <f>YEAR(cleaned_personal_finance_data15[[#This Row],[date]])</f>
        <v>2024</v>
      </c>
      <c r="I228" t="s">
        <v>38</v>
      </c>
    </row>
    <row r="229" spans="1:9" hidden="1" x14ac:dyDescent="0.25">
      <c r="A229">
        <v>228</v>
      </c>
      <c r="B229" s="1">
        <v>45354</v>
      </c>
      <c r="C229" t="s">
        <v>135</v>
      </c>
      <c r="D229">
        <v>30</v>
      </c>
      <c r="E229" t="s">
        <v>15</v>
      </c>
      <c r="F229" t="s">
        <v>13</v>
      </c>
      <c r="G229">
        <f>MONTH(cleaned_personal_finance_data15[[#This Row],[date]])</f>
        <v>3</v>
      </c>
      <c r="H229">
        <f>YEAR(cleaned_personal_finance_data15[[#This Row],[date]])</f>
        <v>2024</v>
      </c>
      <c r="I229" t="s">
        <v>135</v>
      </c>
    </row>
    <row r="230" spans="1:9" hidden="1" x14ac:dyDescent="0.25">
      <c r="A230">
        <v>229</v>
      </c>
      <c r="B230" s="1">
        <v>45356</v>
      </c>
      <c r="C230" t="s">
        <v>37</v>
      </c>
      <c r="D230">
        <v>48</v>
      </c>
      <c r="E230" t="s">
        <v>15</v>
      </c>
      <c r="F230" t="s">
        <v>13</v>
      </c>
      <c r="G230">
        <f>MONTH(cleaned_personal_finance_data15[[#This Row],[date]])</f>
        <v>3</v>
      </c>
      <c r="H230">
        <f>YEAR(cleaned_personal_finance_data15[[#This Row],[date]])</f>
        <v>2024</v>
      </c>
      <c r="I230" t="s">
        <v>47</v>
      </c>
    </row>
    <row r="231" spans="1:9" hidden="1" x14ac:dyDescent="0.25">
      <c r="A231">
        <v>230</v>
      </c>
      <c r="B231" s="1">
        <v>45356</v>
      </c>
      <c r="C231" t="s">
        <v>28</v>
      </c>
      <c r="D231">
        <v>50</v>
      </c>
      <c r="E231" t="s">
        <v>15</v>
      </c>
      <c r="F231" t="s">
        <v>21</v>
      </c>
      <c r="G231">
        <f>MONTH(cleaned_personal_finance_data15[[#This Row],[date]])</f>
        <v>3</v>
      </c>
      <c r="H231">
        <f>YEAR(cleaned_personal_finance_data15[[#This Row],[date]])</f>
        <v>2024</v>
      </c>
      <c r="I231" t="s">
        <v>28</v>
      </c>
    </row>
    <row r="232" spans="1:9" hidden="1" x14ac:dyDescent="0.25">
      <c r="A232">
        <v>231</v>
      </c>
      <c r="B232" s="1">
        <v>45356</v>
      </c>
      <c r="C232" t="s">
        <v>28</v>
      </c>
      <c r="D232">
        <v>125</v>
      </c>
      <c r="E232" t="s">
        <v>15</v>
      </c>
      <c r="F232" t="s">
        <v>21</v>
      </c>
      <c r="G232">
        <f>MONTH(cleaned_personal_finance_data15[[#This Row],[date]])</f>
        <v>3</v>
      </c>
      <c r="H232">
        <f>YEAR(cleaned_personal_finance_data15[[#This Row],[date]])</f>
        <v>2024</v>
      </c>
      <c r="I232" t="s">
        <v>28</v>
      </c>
    </row>
    <row r="233" spans="1:9" hidden="1" x14ac:dyDescent="0.25">
      <c r="A233">
        <v>232</v>
      </c>
      <c r="B233" s="1">
        <v>45357</v>
      </c>
      <c r="C233" t="s">
        <v>24</v>
      </c>
      <c r="D233">
        <v>239</v>
      </c>
      <c r="E233" t="s">
        <v>15</v>
      </c>
      <c r="F233" t="s">
        <v>21</v>
      </c>
      <c r="G233">
        <f>MONTH(cleaned_personal_finance_data15[[#This Row],[date]])</f>
        <v>3</v>
      </c>
      <c r="H233">
        <f>YEAR(cleaned_personal_finance_data15[[#This Row],[date]])</f>
        <v>2024</v>
      </c>
      <c r="I233" t="s">
        <v>24</v>
      </c>
    </row>
    <row r="234" spans="1:9" hidden="1" x14ac:dyDescent="0.25">
      <c r="A234">
        <v>233</v>
      </c>
      <c r="B234" s="1">
        <v>45361</v>
      </c>
      <c r="C234" t="s">
        <v>136</v>
      </c>
      <c r="D234">
        <v>19900</v>
      </c>
      <c r="E234" t="s">
        <v>10</v>
      </c>
      <c r="F234" t="s">
        <v>8</v>
      </c>
      <c r="G234">
        <f>MONTH(cleaned_personal_finance_data15[[#This Row],[date]])</f>
        <v>3</v>
      </c>
      <c r="H234">
        <f>YEAR(cleaned_personal_finance_data15[[#This Row],[date]])</f>
        <v>2024</v>
      </c>
      <c r="I234" t="s">
        <v>136</v>
      </c>
    </row>
    <row r="235" spans="1:9" hidden="1" x14ac:dyDescent="0.25">
      <c r="A235">
        <v>234</v>
      </c>
      <c r="B235" s="1">
        <v>45361</v>
      </c>
      <c r="C235" t="s">
        <v>137</v>
      </c>
      <c r="D235">
        <v>36</v>
      </c>
      <c r="E235" t="s">
        <v>15</v>
      </c>
      <c r="F235" t="s">
        <v>8</v>
      </c>
      <c r="G235">
        <f>MONTH(cleaned_personal_finance_data15[[#This Row],[date]])</f>
        <v>3</v>
      </c>
      <c r="H235">
        <f>YEAR(cleaned_personal_finance_data15[[#This Row],[date]])</f>
        <v>2024</v>
      </c>
      <c r="I235" t="s">
        <v>137</v>
      </c>
    </row>
    <row r="236" spans="1:9" hidden="1" x14ac:dyDescent="0.25">
      <c r="A236">
        <v>235</v>
      </c>
      <c r="B236" s="1">
        <v>45361</v>
      </c>
      <c r="C236" t="s">
        <v>138</v>
      </c>
      <c r="D236">
        <v>7000</v>
      </c>
      <c r="E236" t="s">
        <v>15</v>
      </c>
      <c r="F236" t="s">
        <v>13</v>
      </c>
      <c r="G236">
        <f>MONTH(cleaned_personal_finance_data15[[#This Row],[date]])</f>
        <v>3</v>
      </c>
      <c r="H236">
        <f>YEAR(cleaned_personal_finance_data15[[#This Row],[date]])</f>
        <v>2024</v>
      </c>
      <c r="I236" t="s">
        <v>138</v>
      </c>
    </row>
    <row r="237" spans="1:9" hidden="1" x14ac:dyDescent="0.25">
      <c r="A237">
        <v>236</v>
      </c>
      <c r="B237" s="1">
        <v>45365</v>
      </c>
      <c r="C237" t="s">
        <v>131</v>
      </c>
      <c r="D237">
        <v>12579</v>
      </c>
      <c r="E237" t="s">
        <v>7</v>
      </c>
      <c r="F237" t="s">
        <v>8</v>
      </c>
      <c r="G237">
        <f>MONTH(cleaned_personal_finance_data15[[#This Row],[date]])</f>
        <v>3</v>
      </c>
      <c r="H237">
        <f>YEAR(cleaned_personal_finance_data15[[#This Row],[date]])</f>
        <v>2024</v>
      </c>
      <c r="I237" t="s">
        <v>318</v>
      </c>
    </row>
    <row r="238" spans="1:9" hidden="1" x14ac:dyDescent="0.25">
      <c r="A238">
        <v>237</v>
      </c>
      <c r="B238" s="1">
        <v>45365</v>
      </c>
      <c r="C238" t="s">
        <v>50</v>
      </c>
      <c r="D238">
        <v>599</v>
      </c>
      <c r="E238" t="s">
        <v>15</v>
      </c>
      <c r="F238" t="s">
        <v>21</v>
      </c>
      <c r="G238">
        <f>MONTH(cleaned_personal_finance_data15[[#This Row],[date]])</f>
        <v>3</v>
      </c>
      <c r="H238">
        <f>YEAR(cleaned_personal_finance_data15[[#This Row],[date]])</f>
        <v>2024</v>
      </c>
      <c r="I238" t="s">
        <v>50</v>
      </c>
    </row>
    <row r="239" spans="1:9" hidden="1" x14ac:dyDescent="0.25">
      <c r="A239">
        <v>238</v>
      </c>
      <c r="B239" s="1">
        <v>45369</v>
      </c>
      <c r="C239" t="s">
        <v>25</v>
      </c>
      <c r="D239">
        <v>30</v>
      </c>
      <c r="E239" t="s">
        <v>15</v>
      </c>
      <c r="F239" t="s">
        <v>13</v>
      </c>
      <c r="G239">
        <f>MONTH(cleaned_personal_finance_data15[[#This Row],[date]])</f>
        <v>3</v>
      </c>
      <c r="H239">
        <f>YEAR(cleaned_personal_finance_data15[[#This Row],[date]])</f>
        <v>2024</v>
      </c>
      <c r="I239" t="s">
        <v>25</v>
      </c>
    </row>
    <row r="240" spans="1:9" hidden="1" x14ac:dyDescent="0.25">
      <c r="A240">
        <v>239</v>
      </c>
      <c r="B240" s="1">
        <v>45373</v>
      </c>
      <c r="C240" t="s">
        <v>34</v>
      </c>
      <c r="D240">
        <v>129</v>
      </c>
      <c r="E240" t="s">
        <v>15</v>
      </c>
      <c r="F240" t="s">
        <v>21</v>
      </c>
      <c r="G240">
        <f>MONTH(cleaned_personal_finance_data15[[#This Row],[date]])</f>
        <v>3</v>
      </c>
      <c r="H240">
        <f>YEAR(cleaned_personal_finance_data15[[#This Row],[date]])</f>
        <v>2024</v>
      </c>
      <c r="I240" t="s">
        <v>34</v>
      </c>
    </row>
    <row r="241" spans="1:9" hidden="1" x14ac:dyDescent="0.25">
      <c r="A241">
        <v>240</v>
      </c>
      <c r="B241" s="1">
        <v>45374</v>
      </c>
      <c r="C241" t="s">
        <v>20</v>
      </c>
      <c r="D241">
        <v>3000</v>
      </c>
      <c r="E241" t="s">
        <v>10</v>
      </c>
      <c r="F241" t="s">
        <v>13</v>
      </c>
      <c r="G241">
        <f>MONTH(cleaned_personal_finance_data15[[#This Row],[date]])</f>
        <v>3</v>
      </c>
      <c r="H241">
        <f>YEAR(cleaned_personal_finance_data15[[#This Row],[date]])</f>
        <v>2024</v>
      </c>
      <c r="I241" t="s">
        <v>20</v>
      </c>
    </row>
    <row r="242" spans="1:9" hidden="1" x14ac:dyDescent="0.25">
      <c r="A242">
        <v>241</v>
      </c>
      <c r="B242" s="1">
        <v>45374</v>
      </c>
      <c r="C242" t="s">
        <v>20</v>
      </c>
      <c r="D242">
        <v>3000</v>
      </c>
      <c r="E242" t="s">
        <v>12</v>
      </c>
      <c r="F242" t="s">
        <v>21</v>
      </c>
      <c r="G242">
        <f>MONTH(cleaned_personal_finance_data15[[#This Row],[date]])</f>
        <v>3</v>
      </c>
      <c r="H242">
        <f>YEAR(cleaned_personal_finance_data15[[#This Row],[date]])</f>
        <v>2024</v>
      </c>
      <c r="I242" t="s">
        <v>20</v>
      </c>
    </row>
    <row r="243" spans="1:9" hidden="1" x14ac:dyDescent="0.25">
      <c r="A243">
        <v>242</v>
      </c>
      <c r="B243" s="1">
        <v>45374</v>
      </c>
      <c r="C243" t="s">
        <v>35</v>
      </c>
      <c r="D243">
        <v>280</v>
      </c>
      <c r="E243" t="s">
        <v>15</v>
      </c>
      <c r="F243" t="s">
        <v>21</v>
      </c>
      <c r="G243">
        <f>MONTH(cleaned_personal_finance_data15[[#This Row],[date]])</f>
        <v>3</v>
      </c>
      <c r="H243">
        <f>YEAR(cleaned_personal_finance_data15[[#This Row],[date]])</f>
        <v>2024</v>
      </c>
      <c r="I243" t="s">
        <v>35</v>
      </c>
    </row>
    <row r="244" spans="1:9" hidden="1" x14ac:dyDescent="0.25">
      <c r="A244">
        <v>243</v>
      </c>
      <c r="B244" s="1">
        <v>45378</v>
      </c>
      <c r="C244" t="s">
        <v>139</v>
      </c>
      <c r="D244">
        <v>25</v>
      </c>
      <c r="E244" t="s">
        <v>15</v>
      </c>
      <c r="F244" t="s">
        <v>13</v>
      </c>
      <c r="G244">
        <f>MONTH(cleaned_personal_finance_data15[[#This Row],[date]])</f>
        <v>3</v>
      </c>
      <c r="H244">
        <f>YEAR(cleaned_personal_finance_data15[[#This Row],[date]])</f>
        <v>2024</v>
      </c>
      <c r="I244" t="s">
        <v>139</v>
      </c>
    </row>
    <row r="245" spans="1:9" hidden="1" x14ac:dyDescent="0.25">
      <c r="A245">
        <v>244</v>
      </c>
      <c r="B245" s="1">
        <v>45378</v>
      </c>
      <c r="C245" t="s">
        <v>127</v>
      </c>
      <c r="D245">
        <v>90</v>
      </c>
      <c r="E245" t="s">
        <v>15</v>
      </c>
      <c r="F245" t="s">
        <v>13</v>
      </c>
      <c r="G245">
        <f>MONTH(cleaned_personal_finance_data15[[#This Row],[date]])</f>
        <v>3</v>
      </c>
      <c r="H245">
        <f>YEAR(cleaned_personal_finance_data15[[#This Row],[date]])</f>
        <v>2024</v>
      </c>
      <c r="I245" t="s">
        <v>262</v>
      </c>
    </row>
    <row r="246" spans="1:9" hidden="1" x14ac:dyDescent="0.25">
      <c r="A246">
        <v>245</v>
      </c>
      <c r="B246" s="1">
        <v>45378</v>
      </c>
      <c r="C246" t="s">
        <v>18</v>
      </c>
      <c r="D246">
        <v>56</v>
      </c>
      <c r="E246" t="s">
        <v>15</v>
      </c>
      <c r="F246" t="s">
        <v>13</v>
      </c>
      <c r="G246">
        <f>MONTH(cleaned_personal_finance_data15[[#This Row],[date]])</f>
        <v>3</v>
      </c>
      <c r="H246">
        <f>YEAR(cleaned_personal_finance_data15[[#This Row],[date]])</f>
        <v>2024</v>
      </c>
      <c r="I246" t="s">
        <v>18</v>
      </c>
    </row>
    <row r="247" spans="1:9" hidden="1" x14ac:dyDescent="0.25">
      <c r="A247">
        <v>246</v>
      </c>
      <c r="B247" s="1">
        <v>45378</v>
      </c>
      <c r="C247" t="s">
        <v>131</v>
      </c>
      <c r="D247">
        <v>12616</v>
      </c>
      <c r="E247" t="s">
        <v>7</v>
      </c>
      <c r="F247" t="s">
        <v>8</v>
      </c>
      <c r="G247">
        <f>MONTH(cleaned_personal_finance_data15[[#This Row],[date]])</f>
        <v>3</v>
      </c>
      <c r="H247">
        <f>YEAR(cleaned_personal_finance_data15[[#This Row],[date]])</f>
        <v>2024</v>
      </c>
      <c r="I247" t="s">
        <v>318</v>
      </c>
    </row>
    <row r="248" spans="1:9" hidden="1" x14ac:dyDescent="0.25">
      <c r="A248">
        <v>247</v>
      </c>
      <c r="B248" s="1">
        <v>45378</v>
      </c>
      <c r="C248" t="s">
        <v>64</v>
      </c>
      <c r="D248">
        <v>199</v>
      </c>
      <c r="E248" t="s">
        <v>15</v>
      </c>
      <c r="F248" t="s">
        <v>21</v>
      </c>
      <c r="G248">
        <f>MONTH(cleaned_personal_finance_data15[[#This Row],[date]])</f>
        <v>3</v>
      </c>
      <c r="H248">
        <f>YEAR(cleaned_personal_finance_data15[[#This Row],[date]])</f>
        <v>2024</v>
      </c>
      <c r="I248" t="s">
        <v>64</v>
      </c>
    </row>
    <row r="249" spans="1:9" hidden="1" x14ac:dyDescent="0.25">
      <c r="A249">
        <v>248</v>
      </c>
      <c r="B249" s="1">
        <v>45381</v>
      </c>
      <c r="C249" t="s">
        <v>140</v>
      </c>
      <c r="D249">
        <v>200</v>
      </c>
      <c r="E249" t="s">
        <v>15</v>
      </c>
      <c r="F249" t="s">
        <v>13</v>
      </c>
      <c r="G249">
        <f>MONTH(cleaned_personal_finance_data15[[#This Row],[date]])</f>
        <v>3</v>
      </c>
      <c r="H249">
        <f>YEAR(cleaned_personal_finance_data15[[#This Row],[date]])</f>
        <v>2024</v>
      </c>
      <c r="I249" t="s">
        <v>140</v>
      </c>
    </row>
    <row r="250" spans="1:9" hidden="1" x14ac:dyDescent="0.25">
      <c r="A250">
        <v>249</v>
      </c>
      <c r="B250" s="1">
        <v>45381</v>
      </c>
      <c r="C250" t="s">
        <v>141</v>
      </c>
      <c r="D250">
        <v>50</v>
      </c>
      <c r="E250" t="s">
        <v>15</v>
      </c>
      <c r="F250" t="s">
        <v>13</v>
      </c>
      <c r="G250">
        <f>MONTH(cleaned_personal_finance_data15[[#This Row],[date]])</f>
        <v>3</v>
      </c>
      <c r="H250">
        <f>YEAR(cleaned_personal_finance_data15[[#This Row],[date]])</f>
        <v>2024</v>
      </c>
      <c r="I250" t="s">
        <v>141</v>
      </c>
    </row>
    <row r="251" spans="1:9" hidden="1" x14ac:dyDescent="0.25">
      <c r="A251">
        <v>250</v>
      </c>
      <c r="B251" s="1">
        <v>45382</v>
      </c>
      <c r="C251" t="s">
        <v>142</v>
      </c>
      <c r="D251">
        <v>8</v>
      </c>
      <c r="E251" t="s">
        <v>15</v>
      </c>
      <c r="F251" t="s">
        <v>13</v>
      </c>
      <c r="G251">
        <f>MONTH(cleaned_personal_finance_data15[[#This Row],[date]])</f>
        <v>3</v>
      </c>
      <c r="H251">
        <f>YEAR(cleaned_personal_finance_data15[[#This Row],[date]])</f>
        <v>2024</v>
      </c>
      <c r="I251" t="s">
        <v>237</v>
      </c>
    </row>
    <row r="252" spans="1:9" hidden="1" x14ac:dyDescent="0.25">
      <c r="A252">
        <v>251</v>
      </c>
      <c r="B252" s="1">
        <v>45382</v>
      </c>
      <c r="C252" t="s">
        <v>36</v>
      </c>
      <c r="D252">
        <v>130</v>
      </c>
      <c r="E252" t="s">
        <v>15</v>
      </c>
      <c r="F252" t="s">
        <v>13</v>
      </c>
      <c r="G252">
        <f>MONTH(cleaned_personal_finance_data15[[#This Row],[date]])</f>
        <v>3</v>
      </c>
      <c r="H252">
        <f>YEAR(cleaned_personal_finance_data15[[#This Row],[date]])</f>
        <v>2024</v>
      </c>
      <c r="I252" t="s">
        <v>329</v>
      </c>
    </row>
    <row r="253" spans="1:9" hidden="1" x14ac:dyDescent="0.25">
      <c r="A253">
        <v>252</v>
      </c>
      <c r="B253" s="1">
        <v>45384</v>
      </c>
      <c r="C253" t="s">
        <v>38</v>
      </c>
      <c r="D253">
        <v>1500</v>
      </c>
      <c r="E253" t="s">
        <v>15</v>
      </c>
      <c r="F253" t="s">
        <v>13</v>
      </c>
      <c r="G253">
        <f>MONTH(cleaned_personal_finance_data15[[#This Row],[date]])</f>
        <v>4</v>
      </c>
      <c r="H253">
        <f>YEAR(cleaned_personal_finance_data15[[#This Row],[date]])</f>
        <v>2024</v>
      </c>
      <c r="I253" t="s">
        <v>38</v>
      </c>
    </row>
    <row r="254" spans="1:9" hidden="1" x14ac:dyDescent="0.25">
      <c r="A254">
        <v>253</v>
      </c>
      <c r="B254" s="1">
        <v>45384</v>
      </c>
      <c r="C254" t="s">
        <v>28</v>
      </c>
      <c r="D254">
        <v>50</v>
      </c>
      <c r="E254" t="s">
        <v>15</v>
      </c>
      <c r="F254" t="s">
        <v>21</v>
      </c>
      <c r="G254">
        <f>MONTH(cleaned_personal_finance_data15[[#This Row],[date]])</f>
        <v>4</v>
      </c>
      <c r="H254">
        <f>YEAR(cleaned_personal_finance_data15[[#This Row],[date]])</f>
        <v>2024</v>
      </c>
      <c r="I254" t="s">
        <v>28</v>
      </c>
    </row>
    <row r="255" spans="1:9" hidden="1" x14ac:dyDescent="0.25">
      <c r="A255">
        <v>254</v>
      </c>
      <c r="B255" s="1">
        <v>45387</v>
      </c>
      <c r="C255" t="s">
        <v>28</v>
      </c>
      <c r="D255">
        <v>125</v>
      </c>
      <c r="E255" t="s">
        <v>15</v>
      </c>
      <c r="F255" t="s">
        <v>21</v>
      </c>
      <c r="G255">
        <f>MONTH(cleaned_personal_finance_data15[[#This Row],[date]])</f>
        <v>4</v>
      </c>
      <c r="H255">
        <f>YEAR(cleaned_personal_finance_data15[[#This Row],[date]])</f>
        <v>2024</v>
      </c>
      <c r="I255" t="s">
        <v>28</v>
      </c>
    </row>
    <row r="256" spans="1:9" hidden="1" x14ac:dyDescent="0.25">
      <c r="A256">
        <v>255</v>
      </c>
      <c r="B256" s="1">
        <v>45387</v>
      </c>
      <c r="C256" t="s">
        <v>143</v>
      </c>
      <c r="D256">
        <v>40</v>
      </c>
      <c r="E256" t="s">
        <v>15</v>
      </c>
      <c r="F256" t="s">
        <v>13</v>
      </c>
      <c r="G256">
        <f>MONTH(cleaned_personal_finance_data15[[#This Row],[date]])</f>
        <v>4</v>
      </c>
      <c r="H256">
        <f>YEAR(cleaned_personal_finance_data15[[#This Row],[date]])</f>
        <v>2024</v>
      </c>
      <c r="I256" t="s">
        <v>143</v>
      </c>
    </row>
    <row r="257" spans="1:9" hidden="1" x14ac:dyDescent="0.25">
      <c r="A257">
        <v>256</v>
      </c>
      <c r="B257" s="1">
        <v>45388</v>
      </c>
      <c r="C257" t="s">
        <v>24</v>
      </c>
      <c r="D257">
        <v>239</v>
      </c>
      <c r="E257" t="s">
        <v>15</v>
      </c>
      <c r="F257" t="s">
        <v>21</v>
      </c>
      <c r="G257">
        <f>MONTH(cleaned_personal_finance_data15[[#This Row],[date]])</f>
        <v>4</v>
      </c>
      <c r="H257">
        <f>YEAR(cleaned_personal_finance_data15[[#This Row],[date]])</f>
        <v>2024</v>
      </c>
      <c r="I257" t="s">
        <v>24</v>
      </c>
    </row>
    <row r="258" spans="1:9" hidden="1" x14ac:dyDescent="0.25">
      <c r="A258">
        <v>257</v>
      </c>
      <c r="B258" s="1">
        <v>45389</v>
      </c>
      <c r="C258" t="s">
        <v>144</v>
      </c>
      <c r="D258">
        <v>2560</v>
      </c>
      <c r="E258" t="s">
        <v>15</v>
      </c>
      <c r="F258" t="s">
        <v>13</v>
      </c>
      <c r="G258">
        <f>MONTH(cleaned_personal_finance_data15[[#This Row],[date]])</f>
        <v>4</v>
      </c>
      <c r="H258">
        <f>YEAR(cleaned_personal_finance_data15[[#This Row],[date]])</f>
        <v>2024</v>
      </c>
      <c r="I258" t="s">
        <v>159</v>
      </c>
    </row>
    <row r="259" spans="1:9" hidden="1" x14ac:dyDescent="0.25">
      <c r="A259">
        <v>258</v>
      </c>
      <c r="B259" s="1">
        <v>45389</v>
      </c>
      <c r="C259" t="s">
        <v>145</v>
      </c>
      <c r="D259">
        <v>5000</v>
      </c>
      <c r="E259" t="s">
        <v>15</v>
      </c>
      <c r="F259" t="s">
        <v>13</v>
      </c>
      <c r="G259">
        <f>MONTH(cleaned_personal_finance_data15[[#This Row],[date]])</f>
        <v>4</v>
      </c>
      <c r="H259">
        <f>YEAR(cleaned_personal_finance_data15[[#This Row],[date]])</f>
        <v>2024</v>
      </c>
      <c r="I259" t="s">
        <v>145</v>
      </c>
    </row>
    <row r="260" spans="1:9" hidden="1" x14ac:dyDescent="0.25">
      <c r="A260">
        <v>259</v>
      </c>
      <c r="B260" s="1">
        <v>45391</v>
      </c>
      <c r="C260" t="s">
        <v>146</v>
      </c>
      <c r="D260">
        <v>50</v>
      </c>
      <c r="E260" t="s">
        <v>15</v>
      </c>
      <c r="F260" t="s">
        <v>13</v>
      </c>
      <c r="G260">
        <f>MONTH(cleaned_personal_finance_data15[[#This Row],[date]])</f>
        <v>4</v>
      </c>
      <c r="H260">
        <f>YEAR(cleaned_personal_finance_data15[[#This Row],[date]])</f>
        <v>2024</v>
      </c>
      <c r="I260" t="s">
        <v>146</v>
      </c>
    </row>
    <row r="261" spans="1:9" hidden="1" x14ac:dyDescent="0.25">
      <c r="A261">
        <v>260</v>
      </c>
      <c r="B261" s="1">
        <v>45391</v>
      </c>
      <c r="C261" t="s">
        <v>136</v>
      </c>
      <c r="D261">
        <v>12995</v>
      </c>
      <c r="E261" t="s">
        <v>10</v>
      </c>
      <c r="F261" t="s">
        <v>8</v>
      </c>
      <c r="G261">
        <f>MONTH(cleaned_personal_finance_data15[[#This Row],[date]])</f>
        <v>4</v>
      </c>
      <c r="H261">
        <f>YEAR(cleaned_personal_finance_data15[[#This Row],[date]])</f>
        <v>2024</v>
      </c>
      <c r="I261" t="s">
        <v>136</v>
      </c>
    </row>
    <row r="262" spans="1:9" hidden="1" x14ac:dyDescent="0.25">
      <c r="A262">
        <v>261</v>
      </c>
      <c r="B262" s="1">
        <v>45391</v>
      </c>
      <c r="C262" t="s">
        <v>137</v>
      </c>
      <c r="D262">
        <v>100</v>
      </c>
      <c r="E262" t="s">
        <v>15</v>
      </c>
      <c r="F262" t="s">
        <v>13</v>
      </c>
      <c r="G262">
        <f>MONTH(cleaned_personal_finance_data15[[#This Row],[date]])</f>
        <v>4</v>
      </c>
      <c r="H262">
        <f>YEAR(cleaned_personal_finance_data15[[#This Row],[date]])</f>
        <v>2024</v>
      </c>
      <c r="I262" t="s">
        <v>137</v>
      </c>
    </row>
    <row r="263" spans="1:9" hidden="1" x14ac:dyDescent="0.25">
      <c r="A263">
        <v>262</v>
      </c>
      <c r="B263" s="1">
        <v>45391</v>
      </c>
      <c r="C263" t="s">
        <v>147</v>
      </c>
      <c r="D263">
        <v>6000</v>
      </c>
      <c r="E263" t="s">
        <v>7</v>
      </c>
      <c r="F263" t="s">
        <v>8</v>
      </c>
      <c r="G263">
        <f>MONTH(cleaned_personal_finance_data15[[#This Row],[date]])</f>
        <v>4</v>
      </c>
      <c r="H263">
        <f>YEAR(cleaned_personal_finance_data15[[#This Row],[date]])</f>
        <v>2024</v>
      </c>
      <c r="I263" t="s">
        <v>147</v>
      </c>
    </row>
    <row r="264" spans="1:9" hidden="1" x14ac:dyDescent="0.25">
      <c r="A264">
        <v>263</v>
      </c>
      <c r="B264" s="1">
        <v>45392</v>
      </c>
      <c r="C264" t="s">
        <v>127</v>
      </c>
      <c r="D264">
        <v>80</v>
      </c>
      <c r="E264" t="s">
        <v>15</v>
      </c>
      <c r="F264" t="s">
        <v>13</v>
      </c>
      <c r="G264">
        <f>MONTH(cleaned_personal_finance_data15[[#This Row],[date]])</f>
        <v>4</v>
      </c>
      <c r="H264">
        <f>YEAR(cleaned_personal_finance_data15[[#This Row],[date]])</f>
        <v>2024</v>
      </c>
      <c r="I264" t="s">
        <v>262</v>
      </c>
    </row>
    <row r="265" spans="1:9" hidden="1" x14ac:dyDescent="0.25">
      <c r="A265">
        <v>264</v>
      </c>
      <c r="B265" s="1">
        <v>45397</v>
      </c>
      <c r="C265" t="s">
        <v>131</v>
      </c>
      <c r="D265">
        <v>13615</v>
      </c>
      <c r="E265" t="s">
        <v>7</v>
      </c>
      <c r="F265" t="s">
        <v>8</v>
      </c>
      <c r="G265">
        <f>MONTH(cleaned_personal_finance_data15[[#This Row],[date]])</f>
        <v>4</v>
      </c>
      <c r="H265">
        <f>YEAR(cleaned_personal_finance_data15[[#This Row],[date]])</f>
        <v>2024</v>
      </c>
      <c r="I265" t="s">
        <v>318</v>
      </c>
    </row>
    <row r="266" spans="1:9" hidden="1" x14ac:dyDescent="0.25">
      <c r="A266">
        <v>265</v>
      </c>
      <c r="B266" s="1">
        <v>45398</v>
      </c>
      <c r="C266" t="s">
        <v>36</v>
      </c>
      <c r="D266">
        <v>130</v>
      </c>
      <c r="E266" t="s">
        <v>15</v>
      </c>
      <c r="F266" t="s">
        <v>13</v>
      </c>
      <c r="G266">
        <f>MONTH(cleaned_personal_finance_data15[[#This Row],[date]])</f>
        <v>4</v>
      </c>
      <c r="H266">
        <f>YEAR(cleaned_personal_finance_data15[[#This Row],[date]])</f>
        <v>2024</v>
      </c>
      <c r="I266" t="s">
        <v>329</v>
      </c>
    </row>
    <row r="267" spans="1:9" hidden="1" x14ac:dyDescent="0.25">
      <c r="A267">
        <v>266</v>
      </c>
      <c r="B267" s="1">
        <v>45398</v>
      </c>
      <c r="C267" t="s">
        <v>148</v>
      </c>
      <c r="D267">
        <v>43</v>
      </c>
      <c r="E267" t="s">
        <v>15</v>
      </c>
      <c r="F267" t="s">
        <v>13</v>
      </c>
      <c r="G267">
        <f>MONTH(cleaned_personal_finance_data15[[#This Row],[date]])</f>
        <v>4</v>
      </c>
      <c r="H267">
        <f>YEAR(cleaned_personal_finance_data15[[#This Row],[date]])</f>
        <v>2024</v>
      </c>
      <c r="I267" t="s">
        <v>237</v>
      </c>
    </row>
    <row r="268" spans="1:9" hidden="1" x14ac:dyDescent="0.25">
      <c r="A268">
        <v>267</v>
      </c>
      <c r="B268" s="1">
        <v>45398</v>
      </c>
      <c r="C268" t="s">
        <v>37</v>
      </c>
      <c r="D268">
        <v>25</v>
      </c>
      <c r="E268" t="s">
        <v>15</v>
      </c>
      <c r="F268" t="s">
        <v>13</v>
      </c>
      <c r="G268">
        <f>MONTH(cleaned_personal_finance_data15[[#This Row],[date]])</f>
        <v>4</v>
      </c>
      <c r="H268">
        <f>YEAR(cleaned_personal_finance_data15[[#This Row],[date]])</f>
        <v>2024</v>
      </c>
      <c r="I268" t="s">
        <v>47</v>
      </c>
    </row>
    <row r="269" spans="1:9" hidden="1" x14ac:dyDescent="0.25">
      <c r="A269">
        <v>268</v>
      </c>
      <c r="B269" s="1">
        <v>45398</v>
      </c>
      <c r="C269" t="s">
        <v>28</v>
      </c>
      <c r="D269">
        <v>125</v>
      </c>
      <c r="E269" t="s">
        <v>15</v>
      </c>
      <c r="F269" t="s">
        <v>21</v>
      </c>
      <c r="G269">
        <f>MONTH(cleaned_personal_finance_data15[[#This Row],[date]])</f>
        <v>4</v>
      </c>
      <c r="H269">
        <f>YEAR(cleaned_personal_finance_data15[[#This Row],[date]])</f>
        <v>2024</v>
      </c>
      <c r="I269" t="s">
        <v>28</v>
      </c>
    </row>
    <row r="270" spans="1:9" hidden="1" x14ac:dyDescent="0.25">
      <c r="A270">
        <v>269</v>
      </c>
      <c r="B270" s="1">
        <v>45402</v>
      </c>
      <c r="C270" t="s">
        <v>50</v>
      </c>
      <c r="D270">
        <v>599</v>
      </c>
      <c r="E270" t="s">
        <v>15</v>
      </c>
      <c r="F270" t="s">
        <v>21</v>
      </c>
      <c r="G270">
        <f>MONTH(cleaned_personal_finance_data15[[#This Row],[date]])</f>
        <v>4</v>
      </c>
      <c r="H270">
        <f>YEAR(cleaned_personal_finance_data15[[#This Row],[date]])</f>
        <v>2024</v>
      </c>
      <c r="I270" t="s">
        <v>50</v>
      </c>
    </row>
    <row r="271" spans="1:9" hidden="1" x14ac:dyDescent="0.25">
      <c r="A271">
        <v>270</v>
      </c>
      <c r="B271" s="1">
        <v>45403</v>
      </c>
      <c r="C271" t="s">
        <v>37</v>
      </c>
      <c r="D271">
        <v>25</v>
      </c>
      <c r="E271" t="s">
        <v>15</v>
      </c>
      <c r="F271" t="s">
        <v>13</v>
      </c>
      <c r="G271">
        <f>MONTH(cleaned_personal_finance_data15[[#This Row],[date]])</f>
        <v>4</v>
      </c>
      <c r="H271">
        <f>YEAR(cleaned_personal_finance_data15[[#This Row],[date]])</f>
        <v>2024</v>
      </c>
      <c r="I271" t="s">
        <v>47</v>
      </c>
    </row>
    <row r="272" spans="1:9" hidden="1" x14ac:dyDescent="0.25">
      <c r="A272">
        <v>271</v>
      </c>
      <c r="B272" s="1">
        <v>45403</v>
      </c>
      <c r="C272" t="s">
        <v>35</v>
      </c>
      <c r="D272">
        <v>280</v>
      </c>
      <c r="E272" t="s">
        <v>15</v>
      </c>
      <c r="F272" t="s">
        <v>21</v>
      </c>
      <c r="G272">
        <f>MONTH(cleaned_personal_finance_data15[[#This Row],[date]])</f>
        <v>4</v>
      </c>
      <c r="H272">
        <f>YEAR(cleaned_personal_finance_data15[[#This Row],[date]])</f>
        <v>2024</v>
      </c>
      <c r="I272" t="s">
        <v>35</v>
      </c>
    </row>
    <row r="273" spans="1:9" hidden="1" x14ac:dyDescent="0.25">
      <c r="A273">
        <v>272</v>
      </c>
      <c r="B273" s="1">
        <v>45404</v>
      </c>
      <c r="C273" t="s">
        <v>34</v>
      </c>
      <c r="D273">
        <v>129</v>
      </c>
      <c r="E273" t="s">
        <v>15</v>
      </c>
      <c r="F273" t="s">
        <v>21</v>
      </c>
      <c r="G273">
        <f>MONTH(cleaned_personal_finance_data15[[#This Row],[date]])</f>
        <v>4</v>
      </c>
      <c r="H273">
        <f>YEAR(cleaned_personal_finance_data15[[#This Row],[date]])</f>
        <v>2024</v>
      </c>
      <c r="I273" t="s">
        <v>34</v>
      </c>
    </row>
    <row r="274" spans="1:9" hidden="1" x14ac:dyDescent="0.25">
      <c r="A274">
        <v>273</v>
      </c>
      <c r="B274" s="1">
        <v>45404</v>
      </c>
      <c r="C274" t="s">
        <v>64</v>
      </c>
      <c r="D274">
        <v>199</v>
      </c>
      <c r="E274" t="s">
        <v>15</v>
      </c>
      <c r="F274" t="s">
        <v>21</v>
      </c>
      <c r="G274">
        <f>MONTH(cleaned_personal_finance_data15[[#This Row],[date]])</f>
        <v>4</v>
      </c>
      <c r="H274">
        <f>YEAR(cleaned_personal_finance_data15[[#This Row],[date]])</f>
        <v>2024</v>
      </c>
      <c r="I274" t="s">
        <v>64</v>
      </c>
    </row>
    <row r="275" spans="1:9" hidden="1" x14ac:dyDescent="0.25">
      <c r="A275">
        <v>274</v>
      </c>
      <c r="B275" s="1">
        <v>45412</v>
      </c>
      <c r="C275" t="s">
        <v>149</v>
      </c>
      <c r="D275">
        <v>500</v>
      </c>
      <c r="E275" t="s">
        <v>15</v>
      </c>
      <c r="F275" t="s">
        <v>21</v>
      </c>
      <c r="G275">
        <f>MONTH(cleaned_personal_finance_data15[[#This Row],[date]])</f>
        <v>4</v>
      </c>
      <c r="H275">
        <f>YEAR(cleaned_personal_finance_data15[[#This Row],[date]])</f>
        <v>2024</v>
      </c>
      <c r="I275" t="s">
        <v>149</v>
      </c>
    </row>
    <row r="276" spans="1:9" hidden="1" x14ac:dyDescent="0.25">
      <c r="A276">
        <v>275</v>
      </c>
      <c r="B276" s="1">
        <v>45412</v>
      </c>
      <c r="C276" t="s">
        <v>150</v>
      </c>
      <c r="D276">
        <v>1000</v>
      </c>
      <c r="E276" t="s">
        <v>15</v>
      </c>
      <c r="F276" t="s">
        <v>13</v>
      </c>
      <c r="G276">
        <f>MONTH(cleaned_personal_finance_data15[[#This Row],[date]])</f>
        <v>4</v>
      </c>
      <c r="H276">
        <f>YEAR(cleaned_personal_finance_data15[[#This Row],[date]])</f>
        <v>2024</v>
      </c>
      <c r="I276" t="s">
        <v>150</v>
      </c>
    </row>
    <row r="277" spans="1:9" hidden="1" x14ac:dyDescent="0.25">
      <c r="A277">
        <v>276</v>
      </c>
      <c r="B277" s="1">
        <v>45412</v>
      </c>
      <c r="C277" t="s">
        <v>151</v>
      </c>
      <c r="D277">
        <v>2000</v>
      </c>
      <c r="E277" t="s">
        <v>15</v>
      </c>
      <c r="F277" t="s">
        <v>13</v>
      </c>
      <c r="G277">
        <f>MONTH(cleaned_personal_finance_data15[[#This Row],[date]])</f>
        <v>4</v>
      </c>
      <c r="H277">
        <f>YEAR(cleaned_personal_finance_data15[[#This Row],[date]])</f>
        <v>2024</v>
      </c>
      <c r="I277" t="s">
        <v>151</v>
      </c>
    </row>
    <row r="278" spans="1:9" hidden="1" x14ac:dyDescent="0.25">
      <c r="A278">
        <v>277</v>
      </c>
      <c r="B278" s="1">
        <v>45412</v>
      </c>
      <c r="C278" t="s">
        <v>152</v>
      </c>
      <c r="D278">
        <v>1000</v>
      </c>
      <c r="E278" t="s">
        <v>15</v>
      </c>
      <c r="F278" t="s">
        <v>13</v>
      </c>
      <c r="G278">
        <f>MONTH(cleaned_personal_finance_data15[[#This Row],[date]])</f>
        <v>4</v>
      </c>
      <c r="H278">
        <f>YEAR(cleaned_personal_finance_data15[[#This Row],[date]])</f>
        <v>2024</v>
      </c>
      <c r="I278" t="s">
        <v>152</v>
      </c>
    </row>
    <row r="279" spans="1:9" hidden="1" x14ac:dyDescent="0.25">
      <c r="A279">
        <v>278</v>
      </c>
      <c r="B279" s="1">
        <v>45412</v>
      </c>
      <c r="C279" t="s">
        <v>6</v>
      </c>
      <c r="D279">
        <v>12616</v>
      </c>
      <c r="E279" t="s">
        <v>7</v>
      </c>
      <c r="F279" t="s">
        <v>8</v>
      </c>
      <c r="G279">
        <f>MONTH(cleaned_personal_finance_data15[[#This Row],[date]])</f>
        <v>4</v>
      </c>
      <c r="H279">
        <f>YEAR(cleaned_personal_finance_data15[[#This Row],[date]])</f>
        <v>2024</v>
      </c>
      <c r="I279" t="s">
        <v>318</v>
      </c>
    </row>
    <row r="280" spans="1:9" hidden="1" x14ac:dyDescent="0.25">
      <c r="A280">
        <v>279</v>
      </c>
      <c r="B280" s="1">
        <v>45412</v>
      </c>
      <c r="C280" t="s">
        <v>103</v>
      </c>
      <c r="D280">
        <v>260</v>
      </c>
      <c r="E280" t="s">
        <v>15</v>
      </c>
      <c r="F280" t="s">
        <v>13</v>
      </c>
      <c r="G280">
        <f>MONTH(cleaned_personal_finance_data15[[#This Row],[date]])</f>
        <v>4</v>
      </c>
      <c r="H280">
        <f>YEAR(cleaned_personal_finance_data15[[#This Row],[date]])</f>
        <v>2024</v>
      </c>
      <c r="I280" t="s">
        <v>329</v>
      </c>
    </row>
    <row r="281" spans="1:9" hidden="1" x14ac:dyDescent="0.25">
      <c r="A281">
        <v>280</v>
      </c>
      <c r="B281" s="1">
        <v>45415</v>
      </c>
      <c r="C281" t="s">
        <v>38</v>
      </c>
      <c r="D281">
        <v>1700</v>
      </c>
      <c r="E281" t="s">
        <v>15</v>
      </c>
      <c r="F281" t="s">
        <v>13</v>
      </c>
      <c r="G281">
        <f>MONTH(cleaned_personal_finance_data15[[#This Row],[date]])</f>
        <v>5</v>
      </c>
      <c r="H281">
        <f>YEAR(cleaned_personal_finance_data15[[#This Row],[date]])</f>
        <v>2024</v>
      </c>
      <c r="I281" t="s">
        <v>38</v>
      </c>
    </row>
    <row r="282" spans="1:9" hidden="1" x14ac:dyDescent="0.25">
      <c r="A282">
        <v>281</v>
      </c>
      <c r="B282" s="1">
        <v>45415</v>
      </c>
      <c r="C282" t="s">
        <v>28</v>
      </c>
      <c r="D282">
        <v>50</v>
      </c>
      <c r="E282" t="s">
        <v>15</v>
      </c>
      <c r="F282" t="s">
        <v>21</v>
      </c>
      <c r="G282">
        <f>MONTH(cleaned_personal_finance_data15[[#This Row],[date]])</f>
        <v>5</v>
      </c>
      <c r="H282">
        <f>YEAR(cleaned_personal_finance_data15[[#This Row],[date]])</f>
        <v>2024</v>
      </c>
      <c r="I282" t="s">
        <v>28</v>
      </c>
    </row>
    <row r="283" spans="1:9" hidden="1" x14ac:dyDescent="0.25">
      <c r="A283">
        <v>282</v>
      </c>
      <c r="B283" s="1">
        <v>45415</v>
      </c>
      <c r="C283" t="s">
        <v>28</v>
      </c>
      <c r="D283">
        <v>125</v>
      </c>
      <c r="E283" t="s">
        <v>15</v>
      </c>
      <c r="F283" t="s">
        <v>21</v>
      </c>
      <c r="G283">
        <f>MONTH(cleaned_personal_finance_data15[[#This Row],[date]])</f>
        <v>5</v>
      </c>
      <c r="H283">
        <f>YEAR(cleaned_personal_finance_data15[[#This Row],[date]])</f>
        <v>2024</v>
      </c>
      <c r="I283" t="s">
        <v>28</v>
      </c>
    </row>
    <row r="284" spans="1:9" hidden="1" x14ac:dyDescent="0.25">
      <c r="A284">
        <v>283</v>
      </c>
      <c r="B284" s="1">
        <v>45415</v>
      </c>
      <c r="C284" t="s">
        <v>64</v>
      </c>
      <c r="D284">
        <v>199</v>
      </c>
      <c r="E284" t="s">
        <v>15</v>
      </c>
      <c r="F284" t="s">
        <v>21</v>
      </c>
      <c r="G284">
        <f>MONTH(cleaned_personal_finance_data15[[#This Row],[date]])</f>
        <v>5</v>
      </c>
      <c r="H284">
        <f>YEAR(cleaned_personal_finance_data15[[#This Row],[date]])</f>
        <v>2024</v>
      </c>
      <c r="I284" t="s">
        <v>64</v>
      </c>
    </row>
    <row r="285" spans="1:9" hidden="1" x14ac:dyDescent="0.25">
      <c r="A285">
        <v>284</v>
      </c>
      <c r="B285" s="1">
        <v>45416</v>
      </c>
      <c r="C285" t="s">
        <v>136</v>
      </c>
      <c r="D285">
        <v>19000</v>
      </c>
      <c r="E285" t="s">
        <v>10</v>
      </c>
      <c r="F285" t="s">
        <v>8</v>
      </c>
      <c r="G285">
        <f>MONTH(cleaned_personal_finance_data15[[#This Row],[date]])</f>
        <v>5</v>
      </c>
      <c r="H285">
        <f>YEAR(cleaned_personal_finance_data15[[#This Row],[date]])</f>
        <v>2024</v>
      </c>
      <c r="I285" t="s">
        <v>136</v>
      </c>
    </row>
    <row r="286" spans="1:9" hidden="1" x14ac:dyDescent="0.25">
      <c r="A286">
        <v>285</v>
      </c>
      <c r="B286" s="1">
        <v>45416</v>
      </c>
      <c r="C286" t="s">
        <v>137</v>
      </c>
      <c r="D286">
        <v>236</v>
      </c>
      <c r="E286" t="s">
        <v>15</v>
      </c>
      <c r="F286" t="s">
        <v>8</v>
      </c>
      <c r="G286">
        <f>MONTH(cleaned_personal_finance_data15[[#This Row],[date]])</f>
        <v>5</v>
      </c>
      <c r="H286">
        <f>YEAR(cleaned_personal_finance_data15[[#This Row],[date]])</f>
        <v>2024</v>
      </c>
      <c r="I286" t="s">
        <v>137</v>
      </c>
    </row>
    <row r="287" spans="1:9" hidden="1" x14ac:dyDescent="0.25">
      <c r="A287">
        <v>286</v>
      </c>
      <c r="B287" s="1">
        <v>45416</v>
      </c>
      <c r="C287" t="s">
        <v>153</v>
      </c>
      <c r="D287">
        <v>2100</v>
      </c>
      <c r="E287" t="s">
        <v>15</v>
      </c>
      <c r="F287" t="s">
        <v>13</v>
      </c>
      <c r="G287">
        <f>MONTH(cleaned_personal_finance_data15[[#This Row],[date]])</f>
        <v>5</v>
      </c>
      <c r="H287">
        <f>YEAR(cleaned_personal_finance_data15[[#This Row],[date]])</f>
        <v>2024</v>
      </c>
      <c r="I287" t="s">
        <v>159</v>
      </c>
    </row>
    <row r="288" spans="1:9" hidden="1" x14ac:dyDescent="0.25">
      <c r="A288">
        <v>287</v>
      </c>
      <c r="B288" s="1">
        <v>45416</v>
      </c>
      <c r="C288" t="s">
        <v>145</v>
      </c>
      <c r="D288">
        <v>5000</v>
      </c>
      <c r="E288" t="s">
        <v>15</v>
      </c>
      <c r="F288" t="s">
        <v>13</v>
      </c>
      <c r="G288">
        <f>MONTH(cleaned_personal_finance_data15[[#This Row],[date]])</f>
        <v>5</v>
      </c>
      <c r="H288">
        <f>YEAR(cleaned_personal_finance_data15[[#This Row],[date]])</f>
        <v>2024</v>
      </c>
      <c r="I288" t="s">
        <v>145</v>
      </c>
    </row>
    <row r="289" spans="1:9" hidden="1" x14ac:dyDescent="0.25">
      <c r="A289">
        <v>288</v>
      </c>
      <c r="B289" s="1">
        <v>45416</v>
      </c>
      <c r="C289" t="s">
        <v>20</v>
      </c>
      <c r="D289">
        <v>3000</v>
      </c>
      <c r="E289" t="s">
        <v>10</v>
      </c>
      <c r="F289" t="s">
        <v>13</v>
      </c>
      <c r="G289">
        <f>MONTH(cleaned_personal_finance_data15[[#This Row],[date]])</f>
        <v>5</v>
      </c>
      <c r="H289">
        <f>YEAR(cleaned_personal_finance_data15[[#This Row],[date]])</f>
        <v>2024</v>
      </c>
      <c r="I289" t="s">
        <v>20</v>
      </c>
    </row>
    <row r="290" spans="1:9" hidden="1" x14ac:dyDescent="0.25">
      <c r="A290">
        <v>289</v>
      </c>
      <c r="B290" s="1">
        <v>45416</v>
      </c>
      <c r="C290" t="s">
        <v>20</v>
      </c>
      <c r="D290">
        <v>3000</v>
      </c>
      <c r="E290" t="s">
        <v>12</v>
      </c>
      <c r="F290" t="s">
        <v>21</v>
      </c>
      <c r="G290">
        <f>MONTH(cleaned_personal_finance_data15[[#This Row],[date]])</f>
        <v>5</v>
      </c>
      <c r="H290">
        <f>YEAR(cleaned_personal_finance_data15[[#This Row],[date]])</f>
        <v>2024</v>
      </c>
      <c r="I290" t="s">
        <v>20</v>
      </c>
    </row>
    <row r="291" spans="1:9" hidden="1" x14ac:dyDescent="0.25">
      <c r="A291">
        <v>290</v>
      </c>
      <c r="B291" s="1">
        <v>45418</v>
      </c>
      <c r="C291" t="s">
        <v>28</v>
      </c>
      <c r="D291">
        <v>125</v>
      </c>
      <c r="E291" t="s">
        <v>15</v>
      </c>
      <c r="F291" t="s">
        <v>21</v>
      </c>
      <c r="G291">
        <f>MONTH(cleaned_personal_finance_data15[[#This Row],[date]])</f>
        <v>5</v>
      </c>
      <c r="H291">
        <f>YEAR(cleaned_personal_finance_data15[[#This Row],[date]])</f>
        <v>2024</v>
      </c>
      <c r="I291" t="s">
        <v>28</v>
      </c>
    </row>
    <row r="292" spans="1:9" hidden="1" x14ac:dyDescent="0.25">
      <c r="A292">
        <v>291</v>
      </c>
      <c r="B292" s="1">
        <v>45418</v>
      </c>
      <c r="C292" t="s">
        <v>28</v>
      </c>
      <c r="D292">
        <v>50</v>
      </c>
      <c r="E292" t="s">
        <v>15</v>
      </c>
      <c r="F292" t="s">
        <v>21</v>
      </c>
      <c r="G292">
        <f>MONTH(cleaned_personal_finance_data15[[#This Row],[date]])</f>
        <v>5</v>
      </c>
      <c r="H292">
        <f>YEAR(cleaned_personal_finance_data15[[#This Row],[date]])</f>
        <v>2024</v>
      </c>
      <c r="I292" t="s">
        <v>28</v>
      </c>
    </row>
    <row r="293" spans="1:9" hidden="1" x14ac:dyDescent="0.25">
      <c r="A293">
        <v>292</v>
      </c>
      <c r="B293" s="1">
        <v>45419</v>
      </c>
      <c r="C293" t="s">
        <v>24</v>
      </c>
      <c r="D293">
        <v>239</v>
      </c>
      <c r="E293" t="s">
        <v>15</v>
      </c>
      <c r="F293" t="s">
        <v>21</v>
      </c>
      <c r="G293">
        <f>MONTH(cleaned_personal_finance_data15[[#This Row],[date]])</f>
        <v>5</v>
      </c>
      <c r="H293">
        <f>YEAR(cleaned_personal_finance_data15[[#This Row],[date]])</f>
        <v>2024</v>
      </c>
      <c r="I293" t="s">
        <v>24</v>
      </c>
    </row>
    <row r="294" spans="1:9" hidden="1" x14ac:dyDescent="0.25">
      <c r="A294">
        <v>293</v>
      </c>
      <c r="B294" s="1">
        <v>45420</v>
      </c>
      <c r="C294" t="s">
        <v>25</v>
      </c>
      <c r="D294">
        <v>30</v>
      </c>
      <c r="E294" t="s">
        <v>15</v>
      </c>
      <c r="F294" t="s">
        <v>13</v>
      </c>
      <c r="G294">
        <f>MONTH(cleaned_personal_finance_data15[[#This Row],[date]])</f>
        <v>5</v>
      </c>
      <c r="H294">
        <f>YEAR(cleaned_personal_finance_data15[[#This Row],[date]])</f>
        <v>2024</v>
      </c>
      <c r="I294" t="s">
        <v>25</v>
      </c>
    </row>
    <row r="295" spans="1:9" hidden="1" x14ac:dyDescent="0.25">
      <c r="A295">
        <v>294</v>
      </c>
      <c r="B295" s="1">
        <v>45425</v>
      </c>
      <c r="C295" t="s">
        <v>51</v>
      </c>
      <c r="D295">
        <v>30</v>
      </c>
      <c r="E295" t="s">
        <v>15</v>
      </c>
      <c r="F295" t="s">
        <v>13</v>
      </c>
      <c r="G295">
        <f>MONTH(cleaned_personal_finance_data15[[#This Row],[date]])</f>
        <v>5</v>
      </c>
      <c r="H295">
        <f>YEAR(cleaned_personal_finance_data15[[#This Row],[date]])</f>
        <v>2024</v>
      </c>
      <c r="I295" t="s">
        <v>43</v>
      </c>
    </row>
    <row r="296" spans="1:9" hidden="1" x14ac:dyDescent="0.25">
      <c r="A296">
        <v>295</v>
      </c>
      <c r="B296" s="1">
        <v>45425</v>
      </c>
      <c r="C296" t="s">
        <v>40</v>
      </c>
      <c r="D296">
        <v>37</v>
      </c>
      <c r="E296" t="s">
        <v>15</v>
      </c>
      <c r="F296" t="s">
        <v>13</v>
      </c>
      <c r="G296">
        <f>MONTH(cleaned_personal_finance_data15[[#This Row],[date]])</f>
        <v>5</v>
      </c>
      <c r="H296">
        <f>YEAR(cleaned_personal_finance_data15[[#This Row],[date]])</f>
        <v>2024</v>
      </c>
      <c r="I296" t="s">
        <v>40</v>
      </c>
    </row>
    <row r="297" spans="1:9" hidden="1" x14ac:dyDescent="0.25">
      <c r="A297">
        <v>296</v>
      </c>
      <c r="B297" s="1">
        <v>45425</v>
      </c>
      <c r="C297" t="s">
        <v>106</v>
      </c>
      <c r="D297">
        <v>73</v>
      </c>
      <c r="E297" t="s">
        <v>15</v>
      </c>
      <c r="F297" t="s">
        <v>13</v>
      </c>
      <c r="G297">
        <f>MONTH(cleaned_personal_finance_data15[[#This Row],[date]])</f>
        <v>5</v>
      </c>
      <c r="H297">
        <f>YEAR(cleaned_personal_finance_data15[[#This Row],[date]])</f>
        <v>2024</v>
      </c>
      <c r="I297" t="s">
        <v>106</v>
      </c>
    </row>
    <row r="298" spans="1:9" hidden="1" x14ac:dyDescent="0.25">
      <c r="A298">
        <v>297</v>
      </c>
      <c r="B298" s="1">
        <v>45425</v>
      </c>
      <c r="C298" t="s">
        <v>76</v>
      </c>
      <c r="D298">
        <v>40</v>
      </c>
      <c r="E298" t="s">
        <v>15</v>
      </c>
      <c r="F298" t="s">
        <v>13</v>
      </c>
      <c r="G298">
        <f>MONTH(cleaned_personal_finance_data15[[#This Row],[date]])</f>
        <v>5</v>
      </c>
      <c r="H298">
        <f>YEAR(cleaned_personal_finance_data15[[#This Row],[date]])</f>
        <v>2024</v>
      </c>
      <c r="I298" t="s">
        <v>43</v>
      </c>
    </row>
    <row r="299" spans="1:9" hidden="1" x14ac:dyDescent="0.25">
      <c r="A299">
        <v>298</v>
      </c>
      <c r="B299" s="1">
        <v>45425</v>
      </c>
      <c r="C299" t="s">
        <v>154</v>
      </c>
      <c r="D299">
        <v>399</v>
      </c>
      <c r="E299" t="s">
        <v>15</v>
      </c>
      <c r="F299" t="s">
        <v>21</v>
      </c>
      <c r="G299">
        <f>MONTH(cleaned_personal_finance_data15[[#This Row],[date]])</f>
        <v>5</v>
      </c>
      <c r="H299">
        <f>YEAR(cleaned_personal_finance_data15[[#This Row],[date]])</f>
        <v>2024</v>
      </c>
      <c r="I299" t="s">
        <v>154</v>
      </c>
    </row>
    <row r="300" spans="1:9" hidden="1" x14ac:dyDescent="0.25">
      <c r="A300">
        <v>299</v>
      </c>
      <c r="B300" s="1">
        <v>45426</v>
      </c>
      <c r="C300" t="s">
        <v>6</v>
      </c>
      <c r="D300">
        <v>12615</v>
      </c>
      <c r="E300" t="s">
        <v>7</v>
      </c>
      <c r="F300" t="s">
        <v>8</v>
      </c>
      <c r="G300">
        <f>MONTH(cleaned_personal_finance_data15[[#This Row],[date]])</f>
        <v>5</v>
      </c>
      <c r="H300">
        <f>YEAR(cleaned_personal_finance_data15[[#This Row],[date]])</f>
        <v>2024</v>
      </c>
      <c r="I300" t="s">
        <v>318</v>
      </c>
    </row>
    <row r="301" spans="1:9" hidden="1" x14ac:dyDescent="0.25">
      <c r="A301">
        <v>300</v>
      </c>
      <c r="B301" s="1">
        <v>45427</v>
      </c>
      <c r="C301" t="s">
        <v>25</v>
      </c>
      <c r="D301">
        <v>30</v>
      </c>
      <c r="E301" t="s">
        <v>15</v>
      </c>
      <c r="F301" t="s">
        <v>13</v>
      </c>
      <c r="G301">
        <f>MONTH(cleaned_personal_finance_data15[[#This Row],[date]])</f>
        <v>5</v>
      </c>
      <c r="H301">
        <f>YEAR(cleaned_personal_finance_data15[[#This Row],[date]])</f>
        <v>2024</v>
      </c>
      <c r="I301" t="s">
        <v>25</v>
      </c>
    </row>
    <row r="302" spans="1:9" hidden="1" x14ac:dyDescent="0.25">
      <c r="A302">
        <v>301</v>
      </c>
      <c r="B302" s="1">
        <v>45428</v>
      </c>
      <c r="C302" t="s">
        <v>155</v>
      </c>
      <c r="D302">
        <v>27000</v>
      </c>
      <c r="E302" t="s">
        <v>7</v>
      </c>
      <c r="F302" t="s">
        <v>8</v>
      </c>
      <c r="G302">
        <f>MONTH(cleaned_personal_finance_data15[[#This Row],[date]])</f>
        <v>5</v>
      </c>
      <c r="H302">
        <f>YEAR(cleaned_personal_finance_data15[[#This Row],[date]])</f>
        <v>2024</v>
      </c>
      <c r="I302" t="s">
        <v>330</v>
      </c>
    </row>
    <row r="303" spans="1:9" hidden="1" x14ac:dyDescent="0.25">
      <c r="A303">
        <v>302</v>
      </c>
      <c r="B303" s="1">
        <v>45430</v>
      </c>
      <c r="C303" t="s">
        <v>28</v>
      </c>
      <c r="D303">
        <v>50</v>
      </c>
      <c r="E303" t="s">
        <v>15</v>
      </c>
      <c r="F303" t="s">
        <v>21</v>
      </c>
      <c r="G303">
        <f>MONTH(cleaned_personal_finance_data15[[#This Row],[date]])</f>
        <v>5</v>
      </c>
      <c r="H303">
        <f>YEAR(cleaned_personal_finance_data15[[#This Row],[date]])</f>
        <v>2024</v>
      </c>
      <c r="I303" t="s">
        <v>28</v>
      </c>
    </row>
    <row r="304" spans="1:9" hidden="1" x14ac:dyDescent="0.25">
      <c r="A304">
        <v>303</v>
      </c>
      <c r="B304" s="1">
        <v>45434</v>
      </c>
      <c r="C304" t="s">
        <v>34</v>
      </c>
      <c r="D304">
        <v>129</v>
      </c>
      <c r="E304" t="s">
        <v>15</v>
      </c>
      <c r="F304" t="s">
        <v>21</v>
      </c>
      <c r="G304">
        <f>MONTH(cleaned_personal_finance_data15[[#This Row],[date]])</f>
        <v>5</v>
      </c>
      <c r="H304">
        <f>YEAR(cleaned_personal_finance_data15[[#This Row],[date]])</f>
        <v>2024</v>
      </c>
      <c r="I304" t="s">
        <v>34</v>
      </c>
    </row>
    <row r="305" spans="1:9" hidden="1" x14ac:dyDescent="0.25">
      <c r="A305">
        <v>304</v>
      </c>
      <c r="B305" s="1">
        <v>45434</v>
      </c>
      <c r="C305" t="s">
        <v>35</v>
      </c>
      <c r="D305">
        <v>280</v>
      </c>
      <c r="E305" t="s">
        <v>15</v>
      </c>
      <c r="F305" t="s">
        <v>21</v>
      </c>
      <c r="G305">
        <f>MONTH(cleaned_personal_finance_data15[[#This Row],[date]])</f>
        <v>5</v>
      </c>
      <c r="H305">
        <f>YEAR(cleaned_personal_finance_data15[[#This Row],[date]])</f>
        <v>2024</v>
      </c>
      <c r="I305" t="s">
        <v>35</v>
      </c>
    </row>
    <row r="306" spans="1:9" hidden="1" x14ac:dyDescent="0.25">
      <c r="A306">
        <v>305</v>
      </c>
      <c r="B306" s="1">
        <v>45435</v>
      </c>
      <c r="C306" t="s">
        <v>156</v>
      </c>
      <c r="D306">
        <v>50</v>
      </c>
      <c r="E306" t="s">
        <v>15</v>
      </c>
      <c r="F306" t="s">
        <v>13</v>
      </c>
      <c r="G306">
        <f>MONTH(cleaned_personal_finance_data15[[#This Row],[date]])</f>
        <v>5</v>
      </c>
      <c r="H306">
        <f>YEAR(cleaned_personal_finance_data15[[#This Row],[date]])</f>
        <v>2024</v>
      </c>
      <c r="I306" t="s">
        <v>156</v>
      </c>
    </row>
    <row r="307" spans="1:9" hidden="1" x14ac:dyDescent="0.25">
      <c r="A307">
        <v>306</v>
      </c>
      <c r="B307" s="1">
        <v>45435</v>
      </c>
      <c r="C307" t="s">
        <v>103</v>
      </c>
      <c r="D307">
        <v>260</v>
      </c>
      <c r="E307" t="s">
        <v>15</v>
      </c>
      <c r="F307" t="s">
        <v>13</v>
      </c>
      <c r="G307">
        <f>MONTH(cleaned_personal_finance_data15[[#This Row],[date]])</f>
        <v>5</v>
      </c>
      <c r="H307">
        <f>YEAR(cleaned_personal_finance_data15[[#This Row],[date]])</f>
        <v>2024</v>
      </c>
      <c r="I307" t="s">
        <v>329</v>
      </c>
    </row>
    <row r="308" spans="1:9" hidden="1" x14ac:dyDescent="0.25">
      <c r="A308">
        <v>307</v>
      </c>
      <c r="B308" s="1">
        <v>45435</v>
      </c>
      <c r="C308" t="s">
        <v>64</v>
      </c>
      <c r="D308">
        <v>199</v>
      </c>
      <c r="E308" t="s">
        <v>15</v>
      </c>
      <c r="F308" t="s">
        <v>21</v>
      </c>
      <c r="G308">
        <f>MONTH(cleaned_personal_finance_data15[[#This Row],[date]])</f>
        <v>5</v>
      </c>
      <c r="H308">
        <f>YEAR(cleaned_personal_finance_data15[[#This Row],[date]])</f>
        <v>2024</v>
      </c>
      <c r="I308" t="s">
        <v>64</v>
      </c>
    </row>
    <row r="309" spans="1:9" hidden="1" x14ac:dyDescent="0.25">
      <c r="A309">
        <v>308</v>
      </c>
      <c r="B309" s="1">
        <v>45440</v>
      </c>
      <c r="C309" t="s">
        <v>157</v>
      </c>
      <c r="D309">
        <v>246</v>
      </c>
      <c r="E309" t="s">
        <v>15</v>
      </c>
      <c r="F309" t="s">
        <v>13</v>
      </c>
      <c r="G309">
        <f>MONTH(cleaned_personal_finance_data15[[#This Row],[date]])</f>
        <v>5</v>
      </c>
      <c r="H309">
        <f>YEAR(cleaned_personal_finance_data15[[#This Row],[date]])</f>
        <v>2024</v>
      </c>
      <c r="I309" t="s">
        <v>319</v>
      </c>
    </row>
    <row r="310" spans="1:9" hidden="1" x14ac:dyDescent="0.25">
      <c r="A310">
        <v>309</v>
      </c>
      <c r="B310" s="1">
        <v>45440</v>
      </c>
      <c r="C310" t="s">
        <v>158</v>
      </c>
      <c r="D310">
        <v>440</v>
      </c>
      <c r="E310" t="s">
        <v>15</v>
      </c>
      <c r="F310" t="s">
        <v>13</v>
      </c>
      <c r="G310">
        <f>MONTH(cleaned_personal_finance_data15[[#This Row],[date]])</f>
        <v>5</v>
      </c>
      <c r="H310">
        <f>YEAR(cleaned_personal_finance_data15[[#This Row],[date]])</f>
        <v>2024</v>
      </c>
      <c r="I310" t="s">
        <v>319</v>
      </c>
    </row>
    <row r="311" spans="1:9" hidden="1" x14ac:dyDescent="0.25">
      <c r="A311">
        <v>310</v>
      </c>
      <c r="B311" s="1">
        <v>45440</v>
      </c>
      <c r="C311" t="s">
        <v>28</v>
      </c>
      <c r="D311">
        <v>125</v>
      </c>
      <c r="E311" t="s">
        <v>15</v>
      </c>
      <c r="F311" t="s">
        <v>21</v>
      </c>
      <c r="G311">
        <f>MONTH(cleaned_personal_finance_data15[[#This Row],[date]])</f>
        <v>5</v>
      </c>
      <c r="H311">
        <f>YEAR(cleaned_personal_finance_data15[[#This Row],[date]])</f>
        <v>2024</v>
      </c>
      <c r="I311" t="s">
        <v>28</v>
      </c>
    </row>
    <row r="312" spans="1:9" hidden="1" x14ac:dyDescent="0.25">
      <c r="A312">
        <v>311</v>
      </c>
      <c r="B312" s="1">
        <v>45442</v>
      </c>
      <c r="C312" t="s">
        <v>6</v>
      </c>
      <c r="D312">
        <v>12615</v>
      </c>
      <c r="E312" t="s">
        <v>7</v>
      </c>
      <c r="F312" t="s">
        <v>8</v>
      </c>
      <c r="G312">
        <f>MONTH(cleaned_personal_finance_data15[[#This Row],[date]])</f>
        <v>5</v>
      </c>
      <c r="H312">
        <f>YEAR(cleaned_personal_finance_data15[[#This Row],[date]])</f>
        <v>2024</v>
      </c>
      <c r="I312" t="s">
        <v>318</v>
      </c>
    </row>
    <row r="313" spans="1:9" hidden="1" x14ac:dyDescent="0.25">
      <c r="A313">
        <v>312</v>
      </c>
      <c r="B313" s="1">
        <v>45445</v>
      </c>
      <c r="C313" t="s">
        <v>67</v>
      </c>
      <c r="D313">
        <v>105</v>
      </c>
      <c r="E313" t="s">
        <v>15</v>
      </c>
      <c r="F313" t="s">
        <v>13</v>
      </c>
      <c r="G313">
        <f>MONTH(cleaned_personal_finance_data15[[#This Row],[date]])</f>
        <v>6</v>
      </c>
      <c r="H313">
        <f>YEAR(cleaned_personal_finance_data15[[#This Row],[date]])</f>
        <v>2024</v>
      </c>
      <c r="I313" t="s">
        <v>67</v>
      </c>
    </row>
    <row r="314" spans="1:9" hidden="1" x14ac:dyDescent="0.25">
      <c r="A314">
        <v>313</v>
      </c>
      <c r="B314" s="1">
        <v>45447</v>
      </c>
      <c r="C314" t="s">
        <v>28</v>
      </c>
      <c r="D314">
        <v>125</v>
      </c>
      <c r="E314" t="s">
        <v>15</v>
      </c>
      <c r="F314" t="s">
        <v>21</v>
      </c>
      <c r="G314">
        <f>MONTH(cleaned_personal_finance_data15[[#This Row],[date]])</f>
        <v>6</v>
      </c>
      <c r="H314">
        <f>YEAR(cleaned_personal_finance_data15[[#This Row],[date]])</f>
        <v>2024</v>
      </c>
      <c r="I314" t="s">
        <v>28</v>
      </c>
    </row>
    <row r="315" spans="1:9" hidden="1" x14ac:dyDescent="0.25">
      <c r="A315">
        <v>314</v>
      </c>
      <c r="B315" s="1">
        <v>45448</v>
      </c>
      <c r="C315" t="s">
        <v>50</v>
      </c>
      <c r="D315">
        <v>699</v>
      </c>
      <c r="E315" t="s">
        <v>15</v>
      </c>
      <c r="F315" t="s">
        <v>21</v>
      </c>
      <c r="G315">
        <f>MONTH(cleaned_personal_finance_data15[[#This Row],[date]])</f>
        <v>6</v>
      </c>
      <c r="H315">
        <f>YEAR(cleaned_personal_finance_data15[[#This Row],[date]])</f>
        <v>2024</v>
      </c>
      <c r="I315" t="s">
        <v>50</v>
      </c>
    </row>
    <row r="316" spans="1:9" hidden="1" x14ac:dyDescent="0.25">
      <c r="A316">
        <v>315</v>
      </c>
      <c r="B316" s="1">
        <v>45449</v>
      </c>
      <c r="C316" t="s">
        <v>28</v>
      </c>
      <c r="D316">
        <v>125</v>
      </c>
      <c r="E316" t="s">
        <v>15</v>
      </c>
      <c r="F316" t="s">
        <v>21</v>
      </c>
      <c r="G316">
        <f>MONTH(cleaned_personal_finance_data15[[#This Row],[date]])</f>
        <v>6</v>
      </c>
      <c r="H316">
        <f>YEAR(cleaned_personal_finance_data15[[#This Row],[date]])</f>
        <v>2024</v>
      </c>
      <c r="I316" t="s">
        <v>28</v>
      </c>
    </row>
    <row r="317" spans="1:9" hidden="1" x14ac:dyDescent="0.25">
      <c r="A317">
        <v>316</v>
      </c>
      <c r="B317" s="1">
        <v>45449</v>
      </c>
      <c r="C317" t="s">
        <v>38</v>
      </c>
      <c r="D317">
        <v>1500</v>
      </c>
      <c r="E317" t="s">
        <v>15</v>
      </c>
      <c r="F317" t="s">
        <v>13</v>
      </c>
      <c r="G317">
        <f>MONTH(cleaned_personal_finance_data15[[#This Row],[date]])</f>
        <v>6</v>
      </c>
      <c r="H317">
        <f>YEAR(cleaned_personal_finance_data15[[#This Row],[date]])</f>
        <v>2024</v>
      </c>
      <c r="I317" t="s">
        <v>38</v>
      </c>
    </row>
    <row r="318" spans="1:9" hidden="1" x14ac:dyDescent="0.25">
      <c r="A318">
        <v>317</v>
      </c>
      <c r="B318" s="1">
        <v>45449</v>
      </c>
      <c r="C318" t="s">
        <v>24</v>
      </c>
      <c r="D318">
        <v>239</v>
      </c>
      <c r="E318" t="s">
        <v>15</v>
      </c>
      <c r="F318" t="s">
        <v>21</v>
      </c>
      <c r="G318">
        <f>MONTH(cleaned_personal_finance_data15[[#This Row],[date]])</f>
        <v>6</v>
      </c>
      <c r="H318">
        <f>YEAR(cleaned_personal_finance_data15[[#This Row],[date]])</f>
        <v>2024</v>
      </c>
      <c r="I318" t="s">
        <v>24</v>
      </c>
    </row>
    <row r="319" spans="1:9" hidden="1" x14ac:dyDescent="0.25">
      <c r="A319">
        <v>318</v>
      </c>
      <c r="B319" s="1">
        <v>45450</v>
      </c>
      <c r="C319" t="s">
        <v>145</v>
      </c>
      <c r="D319">
        <v>5000</v>
      </c>
      <c r="E319" t="s">
        <v>15</v>
      </c>
      <c r="F319" t="s">
        <v>13</v>
      </c>
      <c r="G319">
        <f>MONTH(cleaned_personal_finance_data15[[#This Row],[date]])</f>
        <v>6</v>
      </c>
      <c r="H319">
        <f>YEAR(cleaned_personal_finance_data15[[#This Row],[date]])</f>
        <v>2024</v>
      </c>
      <c r="I319" t="s">
        <v>145</v>
      </c>
    </row>
    <row r="320" spans="1:9" hidden="1" x14ac:dyDescent="0.25">
      <c r="A320">
        <v>319</v>
      </c>
      <c r="B320" s="1">
        <v>45450</v>
      </c>
      <c r="C320" t="s">
        <v>159</v>
      </c>
      <c r="D320">
        <v>2400</v>
      </c>
      <c r="E320" t="s">
        <v>15</v>
      </c>
      <c r="F320" t="s">
        <v>13</v>
      </c>
      <c r="G320">
        <f>MONTH(cleaned_personal_finance_data15[[#This Row],[date]])</f>
        <v>6</v>
      </c>
      <c r="H320">
        <f>YEAR(cleaned_personal_finance_data15[[#This Row],[date]])</f>
        <v>2024</v>
      </c>
      <c r="I320" t="s">
        <v>159</v>
      </c>
    </row>
    <row r="321" spans="1:9" hidden="1" x14ac:dyDescent="0.25">
      <c r="A321">
        <v>320</v>
      </c>
      <c r="B321" s="1">
        <v>45450</v>
      </c>
      <c r="C321" t="s">
        <v>37</v>
      </c>
      <c r="D321">
        <v>25</v>
      </c>
      <c r="E321" t="s">
        <v>15</v>
      </c>
      <c r="F321" t="s">
        <v>13</v>
      </c>
      <c r="G321">
        <f>MONTH(cleaned_personal_finance_data15[[#This Row],[date]])</f>
        <v>6</v>
      </c>
      <c r="H321">
        <f>YEAR(cleaned_personal_finance_data15[[#This Row],[date]])</f>
        <v>2024</v>
      </c>
      <c r="I321" t="s">
        <v>47</v>
      </c>
    </row>
    <row r="322" spans="1:9" hidden="1" x14ac:dyDescent="0.25">
      <c r="A322">
        <v>321</v>
      </c>
      <c r="B322" s="1">
        <v>45450</v>
      </c>
      <c r="C322" t="s">
        <v>28</v>
      </c>
      <c r="D322">
        <v>25</v>
      </c>
      <c r="E322" t="s">
        <v>15</v>
      </c>
      <c r="F322" t="s">
        <v>21</v>
      </c>
      <c r="G322">
        <f>MONTH(cleaned_personal_finance_data15[[#This Row],[date]])</f>
        <v>6</v>
      </c>
      <c r="H322">
        <f>YEAR(cleaned_personal_finance_data15[[#This Row],[date]])</f>
        <v>2024</v>
      </c>
      <c r="I322" t="s">
        <v>28</v>
      </c>
    </row>
    <row r="323" spans="1:9" hidden="1" x14ac:dyDescent="0.25">
      <c r="A323">
        <v>322</v>
      </c>
      <c r="B323" s="1">
        <v>45450</v>
      </c>
      <c r="C323" t="s">
        <v>28</v>
      </c>
      <c r="D323">
        <v>125</v>
      </c>
      <c r="E323" t="s">
        <v>15</v>
      </c>
      <c r="F323" t="s">
        <v>21</v>
      </c>
      <c r="G323">
        <f>MONTH(cleaned_personal_finance_data15[[#This Row],[date]])</f>
        <v>6</v>
      </c>
      <c r="H323">
        <f>YEAR(cleaned_personal_finance_data15[[#This Row],[date]])</f>
        <v>2024</v>
      </c>
      <c r="I323" t="s">
        <v>28</v>
      </c>
    </row>
    <row r="324" spans="1:9" hidden="1" x14ac:dyDescent="0.25">
      <c r="A324">
        <v>323</v>
      </c>
      <c r="B324" s="1">
        <v>45450</v>
      </c>
      <c r="C324" t="s">
        <v>28</v>
      </c>
      <c r="D324">
        <v>50</v>
      </c>
      <c r="E324" t="s">
        <v>15</v>
      </c>
      <c r="F324" t="s">
        <v>21</v>
      </c>
      <c r="G324">
        <f>MONTH(cleaned_personal_finance_data15[[#This Row],[date]])</f>
        <v>6</v>
      </c>
      <c r="H324">
        <f>YEAR(cleaned_personal_finance_data15[[#This Row],[date]])</f>
        <v>2024</v>
      </c>
      <c r="I324" t="s">
        <v>28</v>
      </c>
    </row>
    <row r="325" spans="1:9" hidden="1" x14ac:dyDescent="0.25">
      <c r="A325">
        <v>324</v>
      </c>
      <c r="B325" s="1">
        <v>45453</v>
      </c>
      <c r="C325" t="s">
        <v>160</v>
      </c>
      <c r="D325">
        <v>240</v>
      </c>
      <c r="E325" t="s">
        <v>15</v>
      </c>
      <c r="F325" t="s">
        <v>13</v>
      </c>
      <c r="G325">
        <f>MONTH(cleaned_personal_finance_data15[[#This Row],[date]])</f>
        <v>6</v>
      </c>
      <c r="H325">
        <f>YEAR(cleaned_personal_finance_data15[[#This Row],[date]])</f>
        <v>2024</v>
      </c>
      <c r="I325" t="s">
        <v>43</v>
      </c>
    </row>
    <row r="326" spans="1:9" hidden="1" x14ac:dyDescent="0.25">
      <c r="A326">
        <v>325</v>
      </c>
      <c r="B326" s="1">
        <v>45453</v>
      </c>
      <c r="C326" t="s">
        <v>161</v>
      </c>
      <c r="D326">
        <v>328</v>
      </c>
      <c r="E326" t="s">
        <v>15</v>
      </c>
      <c r="F326" t="s">
        <v>13</v>
      </c>
      <c r="G326">
        <f>MONTH(cleaned_personal_finance_data15[[#This Row],[date]])</f>
        <v>6</v>
      </c>
      <c r="H326">
        <f>YEAR(cleaned_personal_finance_data15[[#This Row],[date]])</f>
        <v>2024</v>
      </c>
      <c r="I326" t="s">
        <v>161</v>
      </c>
    </row>
    <row r="327" spans="1:9" hidden="1" x14ac:dyDescent="0.25">
      <c r="A327">
        <v>326</v>
      </c>
      <c r="B327" s="1">
        <v>45453</v>
      </c>
      <c r="C327" t="s">
        <v>162</v>
      </c>
      <c r="D327">
        <v>19000</v>
      </c>
      <c r="E327" t="s">
        <v>10</v>
      </c>
      <c r="F327" t="s">
        <v>8</v>
      </c>
      <c r="G327">
        <f>MONTH(cleaned_personal_finance_data15[[#This Row],[date]])</f>
        <v>6</v>
      </c>
      <c r="H327">
        <f>YEAR(cleaned_personal_finance_data15[[#This Row],[date]])</f>
        <v>2024</v>
      </c>
      <c r="I327" t="s">
        <v>162</v>
      </c>
    </row>
    <row r="328" spans="1:9" hidden="1" x14ac:dyDescent="0.25">
      <c r="A328">
        <v>327</v>
      </c>
      <c r="B328" s="1">
        <v>45453</v>
      </c>
      <c r="C328" t="s">
        <v>163</v>
      </c>
      <c r="D328">
        <v>38</v>
      </c>
      <c r="E328" t="s">
        <v>15</v>
      </c>
      <c r="F328" t="s">
        <v>8</v>
      </c>
      <c r="G328">
        <f>MONTH(cleaned_personal_finance_data15[[#This Row],[date]])</f>
        <v>6</v>
      </c>
      <c r="H328">
        <f>YEAR(cleaned_personal_finance_data15[[#This Row],[date]])</f>
        <v>2024</v>
      </c>
      <c r="I328" t="s">
        <v>163</v>
      </c>
    </row>
    <row r="329" spans="1:9" hidden="1" x14ac:dyDescent="0.25">
      <c r="A329">
        <v>328</v>
      </c>
      <c r="B329" s="1">
        <v>45453</v>
      </c>
      <c r="C329" t="s">
        <v>164</v>
      </c>
      <c r="D329">
        <v>19000</v>
      </c>
      <c r="E329" t="s">
        <v>12</v>
      </c>
      <c r="F329" t="s">
        <v>13</v>
      </c>
      <c r="G329">
        <f>MONTH(cleaned_personal_finance_data15[[#This Row],[date]])</f>
        <v>6</v>
      </c>
      <c r="H329">
        <f>YEAR(cleaned_personal_finance_data15[[#This Row],[date]])</f>
        <v>2024</v>
      </c>
      <c r="I329" t="s">
        <v>164</v>
      </c>
    </row>
    <row r="330" spans="1:9" hidden="1" x14ac:dyDescent="0.25">
      <c r="A330">
        <v>329</v>
      </c>
      <c r="B330" s="1">
        <v>45453</v>
      </c>
      <c r="C330" t="s">
        <v>165</v>
      </c>
      <c r="D330">
        <v>170</v>
      </c>
      <c r="E330" t="s">
        <v>15</v>
      </c>
      <c r="F330" t="s">
        <v>13</v>
      </c>
      <c r="G330">
        <f>MONTH(cleaned_personal_finance_data15[[#This Row],[date]])</f>
        <v>6</v>
      </c>
      <c r="H330">
        <f>YEAR(cleaned_personal_finance_data15[[#This Row],[date]])</f>
        <v>2024</v>
      </c>
      <c r="I330" t="s">
        <v>320</v>
      </c>
    </row>
    <row r="331" spans="1:9" hidden="1" x14ac:dyDescent="0.25">
      <c r="A331">
        <v>330</v>
      </c>
      <c r="B331" s="1">
        <v>45453</v>
      </c>
      <c r="C331" t="s">
        <v>166</v>
      </c>
      <c r="D331">
        <v>15</v>
      </c>
      <c r="E331" t="s">
        <v>15</v>
      </c>
      <c r="F331" t="s">
        <v>13</v>
      </c>
      <c r="G331">
        <f>MONTH(cleaned_personal_finance_data15[[#This Row],[date]])</f>
        <v>6</v>
      </c>
      <c r="H331">
        <f>YEAR(cleaned_personal_finance_data15[[#This Row],[date]])</f>
        <v>2024</v>
      </c>
      <c r="I331" t="s">
        <v>43</v>
      </c>
    </row>
    <row r="332" spans="1:9" hidden="1" x14ac:dyDescent="0.25">
      <c r="A332">
        <v>331</v>
      </c>
      <c r="B332" s="1">
        <v>45453</v>
      </c>
      <c r="C332" t="s">
        <v>167</v>
      </c>
      <c r="D332">
        <v>451</v>
      </c>
      <c r="E332" t="s">
        <v>15</v>
      </c>
      <c r="F332" t="s">
        <v>13</v>
      </c>
      <c r="G332">
        <f>MONTH(cleaned_personal_finance_data15[[#This Row],[date]])</f>
        <v>6</v>
      </c>
      <c r="H332">
        <f>YEAR(cleaned_personal_finance_data15[[#This Row],[date]])</f>
        <v>2024</v>
      </c>
      <c r="I332" t="s">
        <v>167</v>
      </c>
    </row>
    <row r="333" spans="1:9" hidden="1" x14ac:dyDescent="0.25">
      <c r="A333">
        <v>332</v>
      </c>
      <c r="B333" s="1">
        <v>45453</v>
      </c>
      <c r="C333" t="s">
        <v>168</v>
      </c>
      <c r="D333">
        <v>5000</v>
      </c>
      <c r="E333" t="s">
        <v>15</v>
      </c>
      <c r="F333" t="s">
        <v>13</v>
      </c>
      <c r="G333">
        <f>MONTH(cleaned_personal_finance_data15[[#This Row],[date]])</f>
        <v>6</v>
      </c>
      <c r="H333">
        <f>YEAR(cleaned_personal_finance_data15[[#This Row],[date]])</f>
        <v>2024</v>
      </c>
      <c r="I333" t="s">
        <v>323</v>
      </c>
    </row>
    <row r="334" spans="1:9" hidden="1" x14ac:dyDescent="0.25">
      <c r="A334">
        <v>333</v>
      </c>
      <c r="B334" s="1">
        <v>45453</v>
      </c>
      <c r="C334" t="s">
        <v>169</v>
      </c>
      <c r="D334">
        <v>70</v>
      </c>
      <c r="E334" t="s">
        <v>15</v>
      </c>
      <c r="F334" t="s">
        <v>13</v>
      </c>
      <c r="G334">
        <f>MONTH(cleaned_personal_finance_data15[[#This Row],[date]])</f>
        <v>6</v>
      </c>
      <c r="H334">
        <f>YEAR(cleaned_personal_finance_data15[[#This Row],[date]])</f>
        <v>2024</v>
      </c>
      <c r="I334" t="s">
        <v>169</v>
      </c>
    </row>
    <row r="335" spans="1:9" hidden="1" x14ac:dyDescent="0.25">
      <c r="A335">
        <v>334</v>
      </c>
      <c r="B335" s="1">
        <v>45453</v>
      </c>
      <c r="C335" t="s">
        <v>170</v>
      </c>
      <c r="D335">
        <v>320</v>
      </c>
      <c r="E335" t="s">
        <v>15</v>
      </c>
      <c r="F335" t="s">
        <v>13</v>
      </c>
      <c r="G335">
        <f>MONTH(cleaned_personal_finance_data15[[#This Row],[date]])</f>
        <v>6</v>
      </c>
      <c r="H335">
        <f>YEAR(cleaned_personal_finance_data15[[#This Row],[date]])</f>
        <v>2024</v>
      </c>
      <c r="I335" t="s">
        <v>170</v>
      </c>
    </row>
    <row r="336" spans="1:9" hidden="1" x14ac:dyDescent="0.25">
      <c r="A336">
        <v>335</v>
      </c>
      <c r="B336" s="1">
        <v>45453</v>
      </c>
      <c r="C336" t="s">
        <v>171</v>
      </c>
      <c r="D336">
        <v>360</v>
      </c>
      <c r="E336" t="s">
        <v>15</v>
      </c>
      <c r="F336" t="s">
        <v>13</v>
      </c>
      <c r="G336">
        <f>MONTH(cleaned_personal_finance_data15[[#This Row],[date]])</f>
        <v>6</v>
      </c>
      <c r="H336">
        <f>YEAR(cleaned_personal_finance_data15[[#This Row],[date]])</f>
        <v>2024</v>
      </c>
      <c r="I336" t="s">
        <v>43</v>
      </c>
    </row>
    <row r="337" spans="1:9" hidden="1" x14ac:dyDescent="0.25">
      <c r="A337">
        <v>336</v>
      </c>
      <c r="B337" s="1">
        <v>45453</v>
      </c>
      <c r="C337" t="s">
        <v>20</v>
      </c>
      <c r="D337">
        <v>200</v>
      </c>
      <c r="E337" t="s">
        <v>10</v>
      </c>
      <c r="F337" t="s">
        <v>13</v>
      </c>
      <c r="G337">
        <f>MONTH(cleaned_personal_finance_data15[[#This Row],[date]])</f>
        <v>6</v>
      </c>
      <c r="H337">
        <f>YEAR(cleaned_personal_finance_data15[[#This Row],[date]])</f>
        <v>2024</v>
      </c>
      <c r="I337" t="s">
        <v>20</v>
      </c>
    </row>
    <row r="338" spans="1:9" hidden="1" x14ac:dyDescent="0.25">
      <c r="A338">
        <v>337</v>
      </c>
      <c r="B338" s="1">
        <v>45453</v>
      </c>
      <c r="C338" t="s">
        <v>20</v>
      </c>
      <c r="D338">
        <v>200</v>
      </c>
      <c r="E338" t="s">
        <v>12</v>
      </c>
      <c r="F338" t="s">
        <v>21</v>
      </c>
      <c r="G338">
        <f>MONTH(cleaned_personal_finance_data15[[#This Row],[date]])</f>
        <v>6</v>
      </c>
      <c r="H338">
        <f>YEAR(cleaned_personal_finance_data15[[#This Row],[date]])</f>
        <v>2024</v>
      </c>
      <c r="I338" t="s">
        <v>20</v>
      </c>
    </row>
    <row r="339" spans="1:9" hidden="1" x14ac:dyDescent="0.25">
      <c r="A339">
        <v>338</v>
      </c>
      <c r="B339" s="1">
        <v>45453</v>
      </c>
      <c r="C339" t="s">
        <v>64</v>
      </c>
      <c r="D339">
        <v>199</v>
      </c>
      <c r="E339" t="s">
        <v>15</v>
      </c>
      <c r="F339" t="s">
        <v>21</v>
      </c>
      <c r="G339">
        <f>MONTH(cleaned_personal_finance_data15[[#This Row],[date]])</f>
        <v>6</v>
      </c>
      <c r="H339">
        <f>YEAR(cleaned_personal_finance_data15[[#This Row],[date]])</f>
        <v>2024</v>
      </c>
      <c r="I339" t="s">
        <v>64</v>
      </c>
    </row>
    <row r="340" spans="1:9" hidden="1" x14ac:dyDescent="0.25">
      <c r="A340">
        <v>339</v>
      </c>
      <c r="B340" s="1">
        <v>45454</v>
      </c>
      <c r="C340" t="s">
        <v>172</v>
      </c>
      <c r="D340">
        <v>1500</v>
      </c>
      <c r="E340" t="s">
        <v>12</v>
      </c>
      <c r="F340" t="s">
        <v>21</v>
      </c>
      <c r="G340">
        <f>MONTH(cleaned_personal_finance_data15[[#This Row],[date]])</f>
        <v>6</v>
      </c>
      <c r="H340">
        <f>YEAR(cleaned_personal_finance_data15[[#This Row],[date]])</f>
        <v>2024</v>
      </c>
      <c r="I340" t="s">
        <v>20</v>
      </c>
    </row>
    <row r="341" spans="1:9" hidden="1" x14ac:dyDescent="0.25">
      <c r="A341">
        <v>340</v>
      </c>
      <c r="B341" s="1">
        <v>45454</v>
      </c>
      <c r="C341" t="s">
        <v>173</v>
      </c>
      <c r="D341">
        <v>750</v>
      </c>
      <c r="E341" t="s">
        <v>10</v>
      </c>
      <c r="F341" t="s">
        <v>21</v>
      </c>
      <c r="G341">
        <f>MONTH(cleaned_personal_finance_data15[[#This Row],[date]])</f>
        <v>6</v>
      </c>
      <c r="H341">
        <f>YEAR(cleaned_personal_finance_data15[[#This Row],[date]])</f>
        <v>2024</v>
      </c>
      <c r="I341" t="s">
        <v>173</v>
      </c>
    </row>
    <row r="342" spans="1:9" hidden="1" x14ac:dyDescent="0.25">
      <c r="A342">
        <v>341</v>
      </c>
      <c r="B342" s="1">
        <v>45456</v>
      </c>
      <c r="C342" t="s">
        <v>131</v>
      </c>
      <c r="D342">
        <v>12615</v>
      </c>
      <c r="E342" t="s">
        <v>7</v>
      </c>
      <c r="F342" t="s">
        <v>8</v>
      </c>
      <c r="G342">
        <f>MONTH(cleaned_personal_finance_data15[[#This Row],[date]])</f>
        <v>6</v>
      </c>
      <c r="H342">
        <f>YEAR(cleaned_personal_finance_data15[[#This Row],[date]])</f>
        <v>2024</v>
      </c>
      <c r="I342" t="s">
        <v>318</v>
      </c>
    </row>
    <row r="343" spans="1:9" hidden="1" x14ac:dyDescent="0.25">
      <c r="A343">
        <v>342</v>
      </c>
      <c r="B343" s="1">
        <v>45456</v>
      </c>
      <c r="C343" t="s">
        <v>28</v>
      </c>
      <c r="D343">
        <v>125</v>
      </c>
      <c r="E343" t="s">
        <v>15</v>
      </c>
      <c r="F343" t="s">
        <v>21</v>
      </c>
      <c r="G343">
        <f>MONTH(cleaned_personal_finance_data15[[#This Row],[date]])</f>
        <v>6</v>
      </c>
      <c r="H343">
        <f>YEAR(cleaned_personal_finance_data15[[#This Row],[date]])</f>
        <v>2024</v>
      </c>
      <c r="I343" t="s">
        <v>28</v>
      </c>
    </row>
    <row r="344" spans="1:9" hidden="1" x14ac:dyDescent="0.25">
      <c r="A344">
        <v>343</v>
      </c>
      <c r="B344" s="1">
        <v>45457</v>
      </c>
      <c r="C344" t="s">
        <v>28</v>
      </c>
      <c r="D344">
        <v>50</v>
      </c>
      <c r="E344" t="s">
        <v>15</v>
      </c>
      <c r="F344" t="s">
        <v>21</v>
      </c>
      <c r="G344">
        <f>MONTH(cleaned_personal_finance_data15[[#This Row],[date]])</f>
        <v>6</v>
      </c>
      <c r="H344">
        <f>YEAR(cleaned_personal_finance_data15[[#This Row],[date]])</f>
        <v>2024</v>
      </c>
      <c r="I344" t="s">
        <v>28</v>
      </c>
    </row>
    <row r="345" spans="1:9" hidden="1" x14ac:dyDescent="0.25">
      <c r="A345">
        <v>344</v>
      </c>
      <c r="B345" s="1">
        <v>45458</v>
      </c>
      <c r="C345" t="s">
        <v>103</v>
      </c>
      <c r="D345">
        <v>260</v>
      </c>
      <c r="E345" t="s">
        <v>15</v>
      </c>
      <c r="F345" t="s">
        <v>13</v>
      </c>
      <c r="G345">
        <f>MONTH(cleaned_personal_finance_data15[[#This Row],[date]])</f>
        <v>6</v>
      </c>
      <c r="H345">
        <f>YEAR(cleaned_personal_finance_data15[[#This Row],[date]])</f>
        <v>2024</v>
      </c>
      <c r="I345" t="s">
        <v>329</v>
      </c>
    </row>
    <row r="346" spans="1:9" hidden="1" x14ac:dyDescent="0.25">
      <c r="A346">
        <v>345</v>
      </c>
      <c r="B346" s="1">
        <v>45458</v>
      </c>
      <c r="C346" t="s">
        <v>20</v>
      </c>
      <c r="D346">
        <v>3000</v>
      </c>
      <c r="E346" t="s">
        <v>10</v>
      </c>
      <c r="F346" t="s">
        <v>13</v>
      </c>
      <c r="G346">
        <f>MONTH(cleaned_personal_finance_data15[[#This Row],[date]])</f>
        <v>6</v>
      </c>
      <c r="H346">
        <f>YEAR(cleaned_personal_finance_data15[[#This Row],[date]])</f>
        <v>2024</v>
      </c>
      <c r="I346" t="s">
        <v>20</v>
      </c>
    </row>
    <row r="347" spans="1:9" hidden="1" x14ac:dyDescent="0.25">
      <c r="A347">
        <v>346</v>
      </c>
      <c r="B347" s="1">
        <v>45458</v>
      </c>
      <c r="C347" t="s">
        <v>174</v>
      </c>
      <c r="D347">
        <v>3000</v>
      </c>
      <c r="E347" t="s">
        <v>12</v>
      </c>
      <c r="F347" t="s">
        <v>21</v>
      </c>
      <c r="G347">
        <f>MONTH(cleaned_personal_finance_data15[[#This Row],[date]])</f>
        <v>6</v>
      </c>
      <c r="H347">
        <f>YEAR(cleaned_personal_finance_data15[[#This Row],[date]])</f>
        <v>2024</v>
      </c>
      <c r="I347" t="s">
        <v>174</v>
      </c>
    </row>
    <row r="348" spans="1:9" hidden="1" x14ac:dyDescent="0.25">
      <c r="A348">
        <v>347</v>
      </c>
      <c r="B348" s="1">
        <v>45462</v>
      </c>
      <c r="C348" t="s">
        <v>87</v>
      </c>
      <c r="D348">
        <v>250</v>
      </c>
      <c r="E348" t="s">
        <v>15</v>
      </c>
      <c r="F348" t="s">
        <v>13</v>
      </c>
      <c r="G348">
        <f>MONTH(cleaned_personal_finance_data15[[#This Row],[date]])</f>
        <v>6</v>
      </c>
      <c r="H348">
        <f>YEAR(cleaned_personal_finance_data15[[#This Row],[date]])</f>
        <v>2024</v>
      </c>
      <c r="I348" t="s">
        <v>87</v>
      </c>
    </row>
    <row r="349" spans="1:9" hidden="1" x14ac:dyDescent="0.25">
      <c r="A349">
        <v>348</v>
      </c>
      <c r="B349" s="1">
        <v>45462</v>
      </c>
      <c r="C349" t="s">
        <v>175</v>
      </c>
      <c r="D349">
        <v>75</v>
      </c>
      <c r="E349" t="s">
        <v>15</v>
      </c>
      <c r="F349" t="s">
        <v>13</v>
      </c>
      <c r="G349">
        <f>MONTH(cleaned_personal_finance_data15[[#This Row],[date]])</f>
        <v>6</v>
      </c>
      <c r="H349">
        <f>YEAR(cleaned_personal_finance_data15[[#This Row],[date]])</f>
        <v>2024</v>
      </c>
      <c r="I349" t="s">
        <v>159</v>
      </c>
    </row>
    <row r="350" spans="1:9" hidden="1" x14ac:dyDescent="0.25">
      <c r="A350">
        <v>349</v>
      </c>
      <c r="B350" s="1">
        <v>45463</v>
      </c>
      <c r="C350" t="s">
        <v>64</v>
      </c>
      <c r="D350">
        <v>199</v>
      </c>
      <c r="E350" t="s">
        <v>15</v>
      </c>
      <c r="F350" t="s">
        <v>21</v>
      </c>
      <c r="G350">
        <f>MONTH(cleaned_personal_finance_data15[[#This Row],[date]])</f>
        <v>6</v>
      </c>
      <c r="H350">
        <f>YEAR(cleaned_personal_finance_data15[[#This Row],[date]])</f>
        <v>2024</v>
      </c>
      <c r="I350" t="s">
        <v>64</v>
      </c>
    </row>
    <row r="351" spans="1:9" hidden="1" x14ac:dyDescent="0.25">
      <c r="A351">
        <v>350</v>
      </c>
      <c r="B351" s="1">
        <v>45463</v>
      </c>
      <c r="C351" t="s">
        <v>28</v>
      </c>
      <c r="D351">
        <v>50</v>
      </c>
      <c r="E351" t="s">
        <v>15</v>
      </c>
      <c r="F351" t="s">
        <v>21</v>
      </c>
      <c r="G351">
        <f>MONTH(cleaned_personal_finance_data15[[#This Row],[date]])</f>
        <v>6</v>
      </c>
      <c r="H351">
        <f>YEAR(cleaned_personal_finance_data15[[#This Row],[date]])</f>
        <v>2024</v>
      </c>
      <c r="I351" t="s">
        <v>28</v>
      </c>
    </row>
    <row r="352" spans="1:9" hidden="1" x14ac:dyDescent="0.25">
      <c r="A352">
        <v>351</v>
      </c>
      <c r="B352" s="1">
        <v>45464</v>
      </c>
      <c r="C352" t="s">
        <v>34</v>
      </c>
      <c r="D352">
        <v>129</v>
      </c>
      <c r="E352" t="s">
        <v>15</v>
      </c>
      <c r="F352" t="s">
        <v>21</v>
      </c>
      <c r="G352">
        <f>MONTH(cleaned_personal_finance_data15[[#This Row],[date]])</f>
        <v>6</v>
      </c>
      <c r="H352">
        <f>YEAR(cleaned_personal_finance_data15[[#This Row],[date]])</f>
        <v>2024</v>
      </c>
      <c r="I352" t="s">
        <v>34</v>
      </c>
    </row>
    <row r="353" spans="1:9" hidden="1" x14ac:dyDescent="0.25">
      <c r="A353">
        <v>352</v>
      </c>
      <c r="B353" s="1">
        <v>45465</v>
      </c>
      <c r="C353" t="s">
        <v>176</v>
      </c>
      <c r="D353">
        <v>129</v>
      </c>
      <c r="E353" t="s">
        <v>15</v>
      </c>
      <c r="F353" t="s">
        <v>21</v>
      </c>
      <c r="G353">
        <f>MONTH(cleaned_personal_finance_data15[[#This Row],[date]])</f>
        <v>6</v>
      </c>
      <c r="H353">
        <f>YEAR(cleaned_personal_finance_data15[[#This Row],[date]])</f>
        <v>2024</v>
      </c>
      <c r="I353" t="s">
        <v>176</v>
      </c>
    </row>
    <row r="354" spans="1:9" hidden="1" x14ac:dyDescent="0.25">
      <c r="A354">
        <v>353</v>
      </c>
      <c r="B354" s="1">
        <v>45466</v>
      </c>
      <c r="C354" t="s">
        <v>28</v>
      </c>
      <c r="D354">
        <v>50</v>
      </c>
      <c r="E354" t="s">
        <v>15</v>
      </c>
      <c r="F354" t="s">
        <v>21</v>
      </c>
      <c r="G354">
        <f>MONTH(cleaned_personal_finance_data15[[#This Row],[date]])</f>
        <v>6</v>
      </c>
      <c r="H354">
        <f>YEAR(cleaned_personal_finance_data15[[#This Row],[date]])</f>
        <v>2024</v>
      </c>
      <c r="I354" t="s">
        <v>28</v>
      </c>
    </row>
    <row r="355" spans="1:9" hidden="1" x14ac:dyDescent="0.25">
      <c r="A355">
        <v>354</v>
      </c>
      <c r="B355" s="1">
        <v>45466</v>
      </c>
      <c r="C355" t="s">
        <v>28</v>
      </c>
      <c r="D355">
        <v>50</v>
      </c>
      <c r="E355" t="s">
        <v>15</v>
      </c>
      <c r="F355" t="s">
        <v>21</v>
      </c>
      <c r="G355">
        <f>MONTH(cleaned_personal_finance_data15[[#This Row],[date]])</f>
        <v>6</v>
      </c>
      <c r="H355">
        <f>YEAR(cleaned_personal_finance_data15[[#This Row],[date]])</f>
        <v>2024</v>
      </c>
      <c r="I355" t="s">
        <v>28</v>
      </c>
    </row>
    <row r="356" spans="1:9" hidden="1" x14ac:dyDescent="0.25">
      <c r="A356">
        <v>355</v>
      </c>
      <c r="B356" s="1">
        <v>45466</v>
      </c>
      <c r="C356" t="s">
        <v>28</v>
      </c>
      <c r="D356">
        <v>125</v>
      </c>
      <c r="E356" t="s">
        <v>15</v>
      </c>
      <c r="F356" t="s">
        <v>21</v>
      </c>
      <c r="G356">
        <f>MONTH(cleaned_personal_finance_data15[[#This Row],[date]])</f>
        <v>6</v>
      </c>
      <c r="H356">
        <f>YEAR(cleaned_personal_finance_data15[[#This Row],[date]])</f>
        <v>2024</v>
      </c>
      <c r="I356" t="s">
        <v>28</v>
      </c>
    </row>
    <row r="357" spans="1:9" hidden="1" x14ac:dyDescent="0.25">
      <c r="A357">
        <v>356</v>
      </c>
      <c r="B357" s="1">
        <v>45466</v>
      </c>
      <c r="C357" t="s">
        <v>87</v>
      </c>
      <c r="D357">
        <v>240</v>
      </c>
      <c r="E357" t="s">
        <v>15</v>
      </c>
      <c r="F357" t="s">
        <v>13</v>
      </c>
      <c r="G357">
        <f>MONTH(cleaned_personal_finance_data15[[#This Row],[date]])</f>
        <v>6</v>
      </c>
      <c r="H357">
        <f>YEAR(cleaned_personal_finance_data15[[#This Row],[date]])</f>
        <v>2024</v>
      </c>
      <c r="I357" t="s">
        <v>87</v>
      </c>
    </row>
    <row r="358" spans="1:9" hidden="1" x14ac:dyDescent="0.25">
      <c r="A358">
        <v>357</v>
      </c>
      <c r="B358" s="1">
        <v>45470</v>
      </c>
      <c r="C358" t="s">
        <v>6</v>
      </c>
      <c r="D358">
        <v>12616</v>
      </c>
      <c r="E358" t="s">
        <v>7</v>
      </c>
      <c r="F358" t="s">
        <v>13</v>
      </c>
      <c r="G358">
        <f>MONTH(cleaned_personal_finance_data15[[#This Row],[date]])</f>
        <v>6</v>
      </c>
      <c r="H358">
        <f>YEAR(cleaned_personal_finance_data15[[#This Row],[date]])</f>
        <v>2024</v>
      </c>
      <c r="I358" t="s">
        <v>318</v>
      </c>
    </row>
    <row r="359" spans="1:9" hidden="1" x14ac:dyDescent="0.25">
      <c r="A359">
        <v>358</v>
      </c>
      <c r="B359" s="1">
        <v>45470</v>
      </c>
      <c r="C359" t="s">
        <v>28</v>
      </c>
      <c r="D359">
        <v>50</v>
      </c>
      <c r="E359" t="s">
        <v>15</v>
      </c>
      <c r="F359" t="s">
        <v>21</v>
      </c>
      <c r="G359">
        <f>MONTH(cleaned_personal_finance_data15[[#This Row],[date]])</f>
        <v>6</v>
      </c>
      <c r="H359">
        <f>YEAR(cleaned_personal_finance_data15[[#This Row],[date]])</f>
        <v>2024</v>
      </c>
      <c r="I359" t="s">
        <v>28</v>
      </c>
    </row>
    <row r="360" spans="1:9" hidden="1" x14ac:dyDescent="0.25">
      <c r="A360">
        <v>359</v>
      </c>
      <c r="B360" s="1">
        <v>45470</v>
      </c>
      <c r="C360" t="s">
        <v>28</v>
      </c>
      <c r="D360">
        <v>50</v>
      </c>
      <c r="E360" t="s">
        <v>15</v>
      </c>
      <c r="F360" t="s">
        <v>21</v>
      </c>
      <c r="G360">
        <f>MONTH(cleaned_personal_finance_data15[[#This Row],[date]])</f>
        <v>6</v>
      </c>
      <c r="H360">
        <f>YEAR(cleaned_personal_finance_data15[[#This Row],[date]])</f>
        <v>2024</v>
      </c>
      <c r="I360" t="s">
        <v>28</v>
      </c>
    </row>
    <row r="361" spans="1:9" hidden="1" x14ac:dyDescent="0.25">
      <c r="A361">
        <v>360</v>
      </c>
      <c r="B361" s="1">
        <v>45471</v>
      </c>
      <c r="C361" t="s">
        <v>176</v>
      </c>
      <c r="D361">
        <v>129</v>
      </c>
      <c r="E361" t="s">
        <v>15</v>
      </c>
      <c r="F361" t="s">
        <v>21</v>
      </c>
      <c r="G361">
        <f>MONTH(cleaned_personal_finance_data15[[#This Row],[date]])</f>
        <v>6</v>
      </c>
      <c r="H361">
        <f>YEAR(cleaned_personal_finance_data15[[#This Row],[date]])</f>
        <v>2024</v>
      </c>
      <c r="I361" t="s">
        <v>176</v>
      </c>
    </row>
    <row r="362" spans="1:9" hidden="1" x14ac:dyDescent="0.25">
      <c r="A362">
        <v>361</v>
      </c>
      <c r="B362" s="1">
        <v>45471</v>
      </c>
      <c r="C362" t="s">
        <v>28</v>
      </c>
      <c r="D362">
        <v>125</v>
      </c>
      <c r="E362" t="s">
        <v>15</v>
      </c>
      <c r="F362" t="s">
        <v>21</v>
      </c>
      <c r="G362">
        <f>MONTH(cleaned_personal_finance_data15[[#This Row],[date]])</f>
        <v>6</v>
      </c>
      <c r="H362">
        <f>YEAR(cleaned_personal_finance_data15[[#This Row],[date]])</f>
        <v>2024</v>
      </c>
      <c r="I362" t="s">
        <v>28</v>
      </c>
    </row>
    <row r="363" spans="1:9" hidden="1" x14ac:dyDescent="0.25">
      <c r="A363">
        <v>362</v>
      </c>
      <c r="B363" s="1">
        <v>45471</v>
      </c>
      <c r="C363" t="s">
        <v>177</v>
      </c>
      <c r="D363">
        <v>150</v>
      </c>
      <c r="E363" t="s">
        <v>15</v>
      </c>
      <c r="F363" t="s">
        <v>21</v>
      </c>
      <c r="G363">
        <f>MONTH(cleaned_personal_finance_data15[[#This Row],[date]])</f>
        <v>6</v>
      </c>
      <c r="H363">
        <f>YEAR(cleaned_personal_finance_data15[[#This Row],[date]])</f>
        <v>2024</v>
      </c>
      <c r="I363" t="s">
        <v>323</v>
      </c>
    </row>
    <row r="364" spans="1:9" hidden="1" x14ac:dyDescent="0.25">
      <c r="A364">
        <v>363</v>
      </c>
      <c r="B364" s="1">
        <v>45471</v>
      </c>
      <c r="C364" t="s">
        <v>178</v>
      </c>
      <c r="D364">
        <v>150</v>
      </c>
      <c r="E364" t="s">
        <v>15</v>
      </c>
      <c r="F364" t="s">
        <v>13</v>
      </c>
      <c r="G364">
        <f>MONTH(cleaned_personal_finance_data15[[#This Row],[date]])</f>
        <v>6</v>
      </c>
      <c r="H364">
        <f>YEAR(cleaned_personal_finance_data15[[#This Row],[date]])</f>
        <v>2024</v>
      </c>
      <c r="I364" t="s">
        <v>43</v>
      </c>
    </row>
    <row r="365" spans="1:9" hidden="1" x14ac:dyDescent="0.25">
      <c r="A365">
        <v>364</v>
      </c>
      <c r="B365" s="1">
        <v>45471</v>
      </c>
      <c r="C365" t="s">
        <v>167</v>
      </c>
      <c r="D365">
        <v>178</v>
      </c>
      <c r="E365" t="s">
        <v>15</v>
      </c>
      <c r="F365" t="s">
        <v>13</v>
      </c>
      <c r="G365">
        <f>MONTH(cleaned_personal_finance_data15[[#This Row],[date]])</f>
        <v>6</v>
      </c>
      <c r="H365">
        <f>YEAR(cleaned_personal_finance_data15[[#This Row],[date]])</f>
        <v>2024</v>
      </c>
      <c r="I365" t="s">
        <v>167</v>
      </c>
    </row>
    <row r="366" spans="1:9" hidden="1" x14ac:dyDescent="0.25">
      <c r="A366">
        <v>365</v>
      </c>
      <c r="B366" s="1">
        <v>45471</v>
      </c>
      <c r="C366" t="s">
        <v>179</v>
      </c>
      <c r="D366">
        <v>16</v>
      </c>
      <c r="E366" t="s">
        <v>15</v>
      </c>
      <c r="F366" t="s">
        <v>13</v>
      </c>
      <c r="G366">
        <f>MONTH(cleaned_personal_finance_data15[[#This Row],[date]])</f>
        <v>6</v>
      </c>
      <c r="H366">
        <f>YEAR(cleaned_personal_finance_data15[[#This Row],[date]])</f>
        <v>2024</v>
      </c>
      <c r="I366" t="s">
        <v>179</v>
      </c>
    </row>
    <row r="367" spans="1:9" hidden="1" x14ac:dyDescent="0.25">
      <c r="A367">
        <v>366</v>
      </c>
      <c r="B367" s="1">
        <v>45471</v>
      </c>
      <c r="C367" t="s">
        <v>180</v>
      </c>
      <c r="D367">
        <v>10</v>
      </c>
      <c r="E367" t="s">
        <v>15</v>
      </c>
      <c r="F367" t="s">
        <v>13</v>
      </c>
      <c r="G367">
        <f>MONTH(cleaned_personal_finance_data15[[#This Row],[date]])</f>
        <v>6</v>
      </c>
      <c r="H367">
        <f>YEAR(cleaned_personal_finance_data15[[#This Row],[date]])</f>
        <v>2024</v>
      </c>
      <c r="I367" t="s">
        <v>43</v>
      </c>
    </row>
    <row r="368" spans="1:9" hidden="1" x14ac:dyDescent="0.25">
      <c r="A368">
        <v>367</v>
      </c>
      <c r="B368" s="1">
        <v>45471</v>
      </c>
      <c r="C368" t="s">
        <v>67</v>
      </c>
      <c r="D368">
        <v>12</v>
      </c>
      <c r="E368" t="s">
        <v>15</v>
      </c>
      <c r="F368" t="s">
        <v>13</v>
      </c>
      <c r="G368">
        <f>MONTH(cleaned_personal_finance_data15[[#This Row],[date]])</f>
        <v>6</v>
      </c>
      <c r="H368">
        <f>YEAR(cleaned_personal_finance_data15[[#This Row],[date]])</f>
        <v>2024</v>
      </c>
      <c r="I368" t="s">
        <v>67</v>
      </c>
    </row>
    <row r="369" spans="1:9" hidden="1" x14ac:dyDescent="0.25">
      <c r="A369">
        <v>368</v>
      </c>
      <c r="B369" s="1">
        <v>45471</v>
      </c>
      <c r="C369" t="s">
        <v>181</v>
      </c>
      <c r="D369">
        <v>150</v>
      </c>
      <c r="E369" t="s">
        <v>15</v>
      </c>
      <c r="F369" t="s">
        <v>13</v>
      </c>
      <c r="G369">
        <f>MONTH(cleaned_personal_finance_data15[[#This Row],[date]])</f>
        <v>6</v>
      </c>
      <c r="H369">
        <f>YEAR(cleaned_personal_finance_data15[[#This Row],[date]])</f>
        <v>2024</v>
      </c>
      <c r="I369" t="s">
        <v>43</v>
      </c>
    </row>
    <row r="370" spans="1:9" hidden="1" x14ac:dyDescent="0.25">
      <c r="A370">
        <v>369</v>
      </c>
      <c r="B370" s="1">
        <v>45471</v>
      </c>
      <c r="C370" t="s">
        <v>76</v>
      </c>
      <c r="D370">
        <v>50</v>
      </c>
      <c r="E370" t="s">
        <v>15</v>
      </c>
      <c r="F370" t="s">
        <v>13</v>
      </c>
      <c r="G370">
        <f>MONTH(cleaned_personal_finance_data15[[#This Row],[date]])</f>
        <v>6</v>
      </c>
      <c r="H370">
        <f>YEAR(cleaned_personal_finance_data15[[#This Row],[date]])</f>
        <v>2024</v>
      </c>
      <c r="I370" t="s">
        <v>43</v>
      </c>
    </row>
    <row r="371" spans="1:9" hidden="1" x14ac:dyDescent="0.25">
      <c r="A371">
        <v>370</v>
      </c>
      <c r="B371" s="1">
        <v>45471</v>
      </c>
      <c r="C371" t="s">
        <v>136</v>
      </c>
      <c r="D371">
        <v>220000</v>
      </c>
      <c r="E371" t="s">
        <v>10</v>
      </c>
      <c r="F371" t="s">
        <v>8</v>
      </c>
      <c r="G371">
        <f>MONTH(cleaned_personal_finance_data15[[#This Row],[date]])</f>
        <v>6</v>
      </c>
      <c r="H371">
        <f>YEAR(cleaned_personal_finance_data15[[#This Row],[date]])</f>
        <v>2024</v>
      </c>
      <c r="I371" t="s">
        <v>136</v>
      </c>
    </row>
    <row r="372" spans="1:9" hidden="1" x14ac:dyDescent="0.25">
      <c r="A372">
        <v>371</v>
      </c>
      <c r="B372" s="1">
        <v>45471</v>
      </c>
      <c r="C372" t="s">
        <v>11</v>
      </c>
      <c r="D372">
        <v>220000</v>
      </c>
      <c r="E372" t="s">
        <v>12</v>
      </c>
      <c r="F372" t="s">
        <v>13</v>
      </c>
      <c r="G372">
        <f>MONTH(cleaned_personal_finance_data15[[#This Row],[date]])</f>
        <v>6</v>
      </c>
      <c r="H372">
        <f>YEAR(cleaned_personal_finance_data15[[#This Row],[date]])</f>
        <v>2024</v>
      </c>
      <c r="I372" t="s">
        <v>11</v>
      </c>
    </row>
    <row r="373" spans="1:9" hidden="1" x14ac:dyDescent="0.25">
      <c r="A373">
        <v>372</v>
      </c>
      <c r="B373" s="1">
        <v>45474</v>
      </c>
      <c r="C373" t="s">
        <v>64</v>
      </c>
      <c r="D373">
        <v>199</v>
      </c>
      <c r="E373" t="s">
        <v>15</v>
      </c>
      <c r="F373" t="s">
        <v>21</v>
      </c>
      <c r="G373">
        <f>MONTH(cleaned_personal_finance_data15[[#This Row],[date]])</f>
        <v>7</v>
      </c>
      <c r="H373">
        <f>YEAR(cleaned_personal_finance_data15[[#This Row],[date]])</f>
        <v>2024</v>
      </c>
      <c r="I373" t="s">
        <v>64</v>
      </c>
    </row>
    <row r="374" spans="1:9" hidden="1" x14ac:dyDescent="0.25">
      <c r="A374">
        <v>373</v>
      </c>
      <c r="B374" s="1">
        <v>45477</v>
      </c>
      <c r="C374" t="s">
        <v>145</v>
      </c>
      <c r="D374">
        <v>5000</v>
      </c>
      <c r="E374" t="s">
        <v>15</v>
      </c>
      <c r="F374" t="s">
        <v>13</v>
      </c>
      <c r="G374">
        <f>MONTH(cleaned_personal_finance_data15[[#This Row],[date]])</f>
        <v>7</v>
      </c>
      <c r="H374">
        <f>YEAR(cleaned_personal_finance_data15[[#This Row],[date]])</f>
        <v>2024</v>
      </c>
      <c r="I374" t="s">
        <v>145</v>
      </c>
    </row>
    <row r="375" spans="1:9" hidden="1" x14ac:dyDescent="0.25">
      <c r="A375">
        <v>374</v>
      </c>
      <c r="B375" s="1">
        <v>45477</v>
      </c>
      <c r="C375" t="s">
        <v>103</v>
      </c>
      <c r="D375">
        <v>260</v>
      </c>
      <c r="E375" t="s">
        <v>15</v>
      </c>
      <c r="F375" t="s">
        <v>13</v>
      </c>
      <c r="G375">
        <f>MONTH(cleaned_personal_finance_data15[[#This Row],[date]])</f>
        <v>7</v>
      </c>
      <c r="H375">
        <f>YEAR(cleaned_personal_finance_data15[[#This Row],[date]])</f>
        <v>2024</v>
      </c>
      <c r="I375" t="s">
        <v>329</v>
      </c>
    </row>
    <row r="376" spans="1:9" hidden="1" x14ac:dyDescent="0.25">
      <c r="A376">
        <v>375</v>
      </c>
      <c r="B376" s="1">
        <v>45479</v>
      </c>
      <c r="C376" t="s">
        <v>24</v>
      </c>
      <c r="D376">
        <v>239</v>
      </c>
      <c r="E376" t="s">
        <v>15</v>
      </c>
      <c r="F376" t="s">
        <v>21</v>
      </c>
      <c r="G376">
        <f>MONTH(cleaned_personal_finance_data15[[#This Row],[date]])</f>
        <v>7</v>
      </c>
      <c r="H376">
        <f>YEAR(cleaned_personal_finance_data15[[#This Row],[date]])</f>
        <v>2024</v>
      </c>
      <c r="I376" t="s">
        <v>24</v>
      </c>
    </row>
    <row r="377" spans="1:9" hidden="1" x14ac:dyDescent="0.25">
      <c r="A377">
        <v>376</v>
      </c>
      <c r="B377" s="1">
        <v>45483</v>
      </c>
      <c r="C377" t="s">
        <v>182</v>
      </c>
      <c r="D377">
        <v>144</v>
      </c>
      <c r="E377" t="s">
        <v>15</v>
      </c>
      <c r="F377" t="s">
        <v>13</v>
      </c>
      <c r="G377">
        <f>MONTH(cleaned_personal_finance_data15[[#This Row],[date]])</f>
        <v>7</v>
      </c>
      <c r="H377">
        <f>YEAR(cleaned_personal_finance_data15[[#This Row],[date]])</f>
        <v>2024</v>
      </c>
      <c r="I377" t="s">
        <v>47</v>
      </c>
    </row>
    <row r="378" spans="1:9" hidden="1" x14ac:dyDescent="0.25">
      <c r="A378">
        <v>377</v>
      </c>
      <c r="B378" s="1">
        <v>45483</v>
      </c>
      <c r="C378" t="s">
        <v>183</v>
      </c>
      <c r="D378">
        <v>188</v>
      </c>
      <c r="E378" t="s">
        <v>15</v>
      </c>
      <c r="F378" t="s">
        <v>21</v>
      </c>
      <c r="G378">
        <f>MONTH(cleaned_personal_finance_data15[[#This Row],[date]])</f>
        <v>7</v>
      </c>
      <c r="H378">
        <f>YEAR(cleaned_personal_finance_data15[[#This Row],[date]])</f>
        <v>2024</v>
      </c>
      <c r="I378" t="s">
        <v>324</v>
      </c>
    </row>
    <row r="379" spans="1:9" hidden="1" x14ac:dyDescent="0.25">
      <c r="A379">
        <v>378</v>
      </c>
      <c r="B379" s="1">
        <v>45483</v>
      </c>
      <c r="C379" t="s">
        <v>184</v>
      </c>
      <c r="D379">
        <v>50</v>
      </c>
      <c r="E379" t="s">
        <v>15</v>
      </c>
      <c r="F379" t="s">
        <v>21</v>
      </c>
      <c r="G379">
        <f>MONTH(cleaned_personal_finance_data15[[#This Row],[date]])</f>
        <v>7</v>
      </c>
      <c r="H379">
        <f>YEAR(cleaned_personal_finance_data15[[#This Row],[date]])</f>
        <v>2024</v>
      </c>
      <c r="I379" t="s">
        <v>28</v>
      </c>
    </row>
    <row r="380" spans="1:9" hidden="1" x14ac:dyDescent="0.25">
      <c r="A380">
        <v>379</v>
      </c>
      <c r="B380" s="1">
        <v>45483</v>
      </c>
      <c r="C380" t="s">
        <v>184</v>
      </c>
      <c r="D380">
        <v>125</v>
      </c>
      <c r="E380" t="s">
        <v>15</v>
      </c>
      <c r="F380" t="s">
        <v>21</v>
      </c>
      <c r="G380">
        <f>MONTH(cleaned_personal_finance_data15[[#This Row],[date]])</f>
        <v>7</v>
      </c>
      <c r="H380">
        <f>YEAR(cleaned_personal_finance_data15[[#This Row],[date]])</f>
        <v>2024</v>
      </c>
      <c r="I380" t="s">
        <v>28</v>
      </c>
    </row>
    <row r="381" spans="1:9" hidden="1" x14ac:dyDescent="0.25">
      <c r="A381">
        <v>380</v>
      </c>
      <c r="B381" s="1">
        <v>45484</v>
      </c>
      <c r="C381" t="s">
        <v>185</v>
      </c>
      <c r="D381">
        <v>2542</v>
      </c>
      <c r="E381" t="s">
        <v>15</v>
      </c>
      <c r="F381" t="s">
        <v>13</v>
      </c>
      <c r="G381">
        <f>MONTH(cleaned_personal_finance_data15[[#This Row],[date]])</f>
        <v>7</v>
      </c>
      <c r="H381">
        <f>YEAR(cleaned_personal_finance_data15[[#This Row],[date]])</f>
        <v>2024</v>
      </c>
      <c r="I381" t="s">
        <v>185</v>
      </c>
    </row>
    <row r="382" spans="1:9" hidden="1" x14ac:dyDescent="0.25">
      <c r="A382">
        <v>381</v>
      </c>
      <c r="B382" s="1">
        <v>45485</v>
      </c>
      <c r="C382" t="s">
        <v>28</v>
      </c>
      <c r="D382">
        <v>50</v>
      </c>
      <c r="E382" t="s">
        <v>15</v>
      </c>
      <c r="F382" t="s">
        <v>21</v>
      </c>
      <c r="G382">
        <f>MONTH(cleaned_personal_finance_data15[[#This Row],[date]])</f>
        <v>7</v>
      </c>
      <c r="H382">
        <f>YEAR(cleaned_personal_finance_data15[[#This Row],[date]])</f>
        <v>2024</v>
      </c>
      <c r="I382" t="s">
        <v>28</v>
      </c>
    </row>
    <row r="383" spans="1:9" hidden="1" x14ac:dyDescent="0.25">
      <c r="A383">
        <v>382</v>
      </c>
      <c r="B383" s="1">
        <v>45488</v>
      </c>
      <c r="C383" t="s">
        <v>186</v>
      </c>
      <c r="D383">
        <v>30</v>
      </c>
      <c r="E383" t="s">
        <v>15</v>
      </c>
      <c r="F383" t="s">
        <v>13</v>
      </c>
      <c r="G383">
        <f>MONTH(cleaned_personal_finance_data15[[#This Row],[date]])</f>
        <v>7</v>
      </c>
      <c r="H383">
        <f>YEAR(cleaned_personal_finance_data15[[#This Row],[date]])</f>
        <v>2024</v>
      </c>
      <c r="I383" t="s">
        <v>186</v>
      </c>
    </row>
    <row r="384" spans="1:9" hidden="1" x14ac:dyDescent="0.25">
      <c r="A384">
        <v>383</v>
      </c>
      <c r="B384" s="1">
        <v>45488</v>
      </c>
      <c r="C384" t="s">
        <v>6</v>
      </c>
      <c r="D384">
        <v>12663</v>
      </c>
      <c r="E384" t="s">
        <v>7</v>
      </c>
      <c r="F384" t="s">
        <v>8</v>
      </c>
      <c r="G384">
        <f>MONTH(cleaned_personal_finance_data15[[#This Row],[date]])</f>
        <v>7</v>
      </c>
      <c r="H384">
        <f>YEAR(cleaned_personal_finance_data15[[#This Row],[date]])</f>
        <v>2024</v>
      </c>
      <c r="I384" t="s">
        <v>318</v>
      </c>
    </row>
    <row r="385" spans="1:9" hidden="1" x14ac:dyDescent="0.25">
      <c r="A385">
        <v>384</v>
      </c>
      <c r="B385" s="1">
        <v>45489</v>
      </c>
      <c r="C385" t="s">
        <v>187</v>
      </c>
      <c r="D385">
        <v>45</v>
      </c>
      <c r="E385" t="s">
        <v>15</v>
      </c>
      <c r="F385" t="s">
        <v>13</v>
      </c>
      <c r="G385">
        <f>MONTH(cleaned_personal_finance_data15[[#This Row],[date]])</f>
        <v>7</v>
      </c>
      <c r="H385">
        <f>YEAR(cleaned_personal_finance_data15[[#This Row],[date]])</f>
        <v>2024</v>
      </c>
      <c r="I385" t="s">
        <v>187</v>
      </c>
    </row>
    <row r="386" spans="1:9" hidden="1" x14ac:dyDescent="0.25">
      <c r="A386">
        <v>385</v>
      </c>
      <c r="B386" s="1">
        <v>45489</v>
      </c>
      <c r="C386" t="s">
        <v>188</v>
      </c>
      <c r="D386">
        <v>1195</v>
      </c>
      <c r="E386" t="s">
        <v>15</v>
      </c>
      <c r="F386" t="s">
        <v>13</v>
      </c>
      <c r="G386">
        <f>MONTH(cleaned_personal_finance_data15[[#This Row],[date]])</f>
        <v>7</v>
      </c>
      <c r="H386">
        <f>YEAR(cleaned_personal_finance_data15[[#This Row],[date]])</f>
        <v>2024</v>
      </c>
      <c r="I386" t="s">
        <v>188</v>
      </c>
    </row>
    <row r="387" spans="1:9" hidden="1" x14ac:dyDescent="0.25">
      <c r="A387">
        <v>386</v>
      </c>
      <c r="B387" s="1">
        <v>45489</v>
      </c>
      <c r="C387" t="s">
        <v>189</v>
      </c>
      <c r="D387">
        <v>455</v>
      </c>
      <c r="E387" t="s">
        <v>15</v>
      </c>
      <c r="F387" t="s">
        <v>13</v>
      </c>
      <c r="G387">
        <f>MONTH(cleaned_personal_finance_data15[[#This Row],[date]])</f>
        <v>7</v>
      </c>
      <c r="H387">
        <f>YEAR(cleaned_personal_finance_data15[[#This Row],[date]])</f>
        <v>2024</v>
      </c>
      <c r="I387" t="s">
        <v>204</v>
      </c>
    </row>
    <row r="388" spans="1:9" hidden="1" x14ac:dyDescent="0.25">
      <c r="A388">
        <v>387</v>
      </c>
      <c r="B388" s="1">
        <v>45489</v>
      </c>
      <c r="C388" t="s">
        <v>190</v>
      </c>
      <c r="D388">
        <v>550</v>
      </c>
      <c r="E388" t="s">
        <v>15</v>
      </c>
      <c r="F388" t="s">
        <v>13</v>
      </c>
      <c r="G388">
        <f>MONTH(cleaned_personal_finance_data15[[#This Row],[date]])</f>
        <v>7</v>
      </c>
      <c r="H388">
        <f>YEAR(cleaned_personal_finance_data15[[#This Row],[date]])</f>
        <v>2024</v>
      </c>
      <c r="I388" t="s">
        <v>190</v>
      </c>
    </row>
    <row r="389" spans="1:9" hidden="1" x14ac:dyDescent="0.25">
      <c r="A389">
        <v>388</v>
      </c>
      <c r="B389" s="1">
        <v>45489</v>
      </c>
      <c r="C389" t="s">
        <v>191</v>
      </c>
      <c r="D389">
        <v>2000</v>
      </c>
      <c r="E389" t="s">
        <v>15</v>
      </c>
      <c r="F389" t="s">
        <v>13</v>
      </c>
      <c r="G389">
        <f>MONTH(cleaned_personal_finance_data15[[#This Row],[date]])</f>
        <v>7</v>
      </c>
      <c r="H389">
        <f>YEAR(cleaned_personal_finance_data15[[#This Row],[date]])</f>
        <v>2024</v>
      </c>
      <c r="I389" t="s">
        <v>191</v>
      </c>
    </row>
    <row r="390" spans="1:9" hidden="1" x14ac:dyDescent="0.25">
      <c r="A390">
        <v>389</v>
      </c>
      <c r="B390" s="1">
        <v>45490</v>
      </c>
      <c r="C390" t="s">
        <v>192</v>
      </c>
      <c r="D390">
        <v>237</v>
      </c>
      <c r="E390" t="s">
        <v>15</v>
      </c>
      <c r="F390" t="s">
        <v>13</v>
      </c>
      <c r="G390">
        <f>MONTH(cleaned_personal_finance_data15[[#This Row],[date]])</f>
        <v>7</v>
      </c>
      <c r="H390">
        <f>YEAR(cleaned_personal_finance_data15[[#This Row],[date]])</f>
        <v>2024</v>
      </c>
      <c r="I390" t="s">
        <v>167</v>
      </c>
    </row>
    <row r="391" spans="1:9" hidden="1" x14ac:dyDescent="0.25">
      <c r="A391">
        <v>390</v>
      </c>
      <c r="B391" s="1">
        <v>45490</v>
      </c>
      <c r="C391" t="s">
        <v>193</v>
      </c>
      <c r="D391">
        <v>160</v>
      </c>
      <c r="E391" t="s">
        <v>15</v>
      </c>
      <c r="F391" t="s">
        <v>13</v>
      </c>
      <c r="G391">
        <f>MONTH(cleaned_personal_finance_data15[[#This Row],[date]])</f>
        <v>7</v>
      </c>
      <c r="H391">
        <f>YEAR(cleaned_personal_finance_data15[[#This Row],[date]])</f>
        <v>2024</v>
      </c>
      <c r="I391" t="s">
        <v>167</v>
      </c>
    </row>
    <row r="392" spans="1:9" hidden="1" x14ac:dyDescent="0.25">
      <c r="A392">
        <v>391</v>
      </c>
      <c r="B392" s="1">
        <v>45490</v>
      </c>
      <c r="C392" t="s">
        <v>64</v>
      </c>
      <c r="D392">
        <v>199</v>
      </c>
      <c r="E392" t="s">
        <v>15</v>
      </c>
      <c r="F392" t="s">
        <v>21</v>
      </c>
      <c r="G392">
        <f>MONTH(cleaned_personal_finance_data15[[#This Row],[date]])</f>
        <v>7</v>
      </c>
      <c r="H392">
        <f>YEAR(cleaned_personal_finance_data15[[#This Row],[date]])</f>
        <v>2024</v>
      </c>
      <c r="I392" t="s">
        <v>64</v>
      </c>
    </row>
    <row r="393" spans="1:9" hidden="1" x14ac:dyDescent="0.25">
      <c r="A393">
        <v>392</v>
      </c>
      <c r="B393" s="1">
        <v>45490</v>
      </c>
      <c r="C393" t="s">
        <v>50</v>
      </c>
      <c r="D393">
        <v>699</v>
      </c>
      <c r="E393" t="s">
        <v>15</v>
      </c>
      <c r="F393" t="s">
        <v>21</v>
      </c>
      <c r="G393">
        <f>MONTH(cleaned_personal_finance_data15[[#This Row],[date]])</f>
        <v>7</v>
      </c>
      <c r="H393">
        <f>YEAR(cleaned_personal_finance_data15[[#This Row],[date]])</f>
        <v>2024</v>
      </c>
      <c r="I393" t="s">
        <v>50</v>
      </c>
    </row>
    <row r="394" spans="1:9" hidden="1" x14ac:dyDescent="0.25">
      <c r="A394">
        <v>393</v>
      </c>
      <c r="B394" s="1">
        <v>45492</v>
      </c>
      <c r="C394" t="s">
        <v>87</v>
      </c>
      <c r="D394">
        <v>600</v>
      </c>
      <c r="E394" t="s">
        <v>15</v>
      </c>
      <c r="F394" t="s">
        <v>13</v>
      </c>
      <c r="G394">
        <f>MONTH(cleaned_personal_finance_data15[[#This Row],[date]])</f>
        <v>7</v>
      </c>
      <c r="H394">
        <f>YEAR(cleaned_personal_finance_data15[[#This Row],[date]])</f>
        <v>2024</v>
      </c>
      <c r="I394" t="s">
        <v>87</v>
      </c>
    </row>
    <row r="395" spans="1:9" hidden="1" x14ac:dyDescent="0.25">
      <c r="A395">
        <v>394</v>
      </c>
      <c r="B395" s="1">
        <v>45492</v>
      </c>
      <c r="C395" t="s">
        <v>79</v>
      </c>
      <c r="D395">
        <v>150</v>
      </c>
      <c r="E395" t="s">
        <v>15</v>
      </c>
      <c r="F395" t="s">
        <v>13</v>
      </c>
      <c r="G395">
        <f>MONTH(cleaned_personal_finance_data15[[#This Row],[date]])</f>
        <v>7</v>
      </c>
      <c r="H395">
        <f>YEAR(cleaned_personal_finance_data15[[#This Row],[date]])</f>
        <v>2024</v>
      </c>
      <c r="I395" t="s">
        <v>79</v>
      </c>
    </row>
    <row r="396" spans="1:9" hidden="1" x14ac:dyDescent="0.25">
      <c r="A396">
        <v>395</v>
      </c>
      <c r="B396" s="1">
        <v>45492</v>
      </c>
      <c r="C396" t="s">
        <v>194</v>
      </c>
      <c r="D396">
        <v>4000</v>
      </c>
      <c r="E396" t="s">
        <v>15</v>
      </c>
      <c r="F396" t="s">
        <v>13</v>
      </c>
      <c r="G396">
        <f>MONTH(cleaned_personal_finance_data15[[#This Row],[date]])</f>
        <v>7</v>
      </c>
      <c r="H396">
        <f>YEAR(cleaned_personal_finance_data15[[#This Row],[date]])</f>
        <v>2024</v>
      </c>
      <c r="I396" t="s">
        <v>194</v>
      </c>
    </row>
    <row r="397" spans="1:9" hidden="1" x14ac:dyDescent="0.25">
      <c r="A397">
        <v>396</v>
      </c>
      <c r="B397" s="1">
        <v>45493</v>
      </c>
      <c r="C397" t="s">
        <v>87</v>
      </c>
      <c r="D397">
        <v>1200</v>
      </c>
      <c r="E397" t="s">
        <v>15</v>
      </c>
      <c r="F397" t="s">
        <v>13</v>
      </c>
      <c r="G397">
        <f>MONTH(cleaned_personal_finance_data15[[#This Row],[date]])</f>
        <v>7</v>
      </c>
      <c r="H397">
        <f>YEAR(cleaned_personal_finance_data15[[#This Row],[date]])</f>
        <v>2024</v>
      </c>
      <c r="I397" t="s">
        <v>87</v>
      </c>
    </row>
    <row r="398" spans="1:9" hidden="1" x14ac:dyDescent="0.25">
      <c r="A398">
        <v>397</v>
      </c>
      <c r="B398" s="1">
        <v>45494</v>
      </c>
      <c r="C398" t="s">
        <v>20</v>
      </c>
      <c r="D398">
        <v>3000</v>
      </c>
      <c r="E398" t="s">
        <v>10</v>
      </c>
      <c r="F398" t="s">
        <v>13</v>
      </c>
      <c r="G398">
        <f>MONTH(cleaned_personal_finance_data15[[#This Row],[date]])</f>
        <v>7</v>
      </c>
      <c r="H398">
        <f>YEAR(cleaned_personal_finance_data15[[#This Row],[date]])</f>
        <v>2024</v>
      </c>
      <c r="I398" t="s">
        <v>20</v>
      </c>
    </row>
    <row r="399" spans="1:9" hidden="1" x14ac:dyDescent="0.25">
      <c r="A399">
        <v>398</v>
      </c>
      <c r="B399" s="1">
        <v>45494</v>
      </c>
      <c r="C399" t="s">
        <v>20</v>
      </c>
      <c r="D399">
        <v>3400</v>
      </c>
      <c r="E399" t="s">
        <v>12</v>
      </c>
      <c r="F399" t="s">
        <v>21</v>
      </c>
      <c r="G399">
        <f>MONTH(cleaned_personal_finance_data15[[#This Row],[date]])</f>
        <v>7</v>
      </c>
      <c r="H399">
        <f>YEAR(cleaned_personal_finance_data15[[#This Row],[date]])</f>
        <v>2024</v>
      </c>
      <c r="I399" t="s">
        <v>20</v>
      </c>
    </row>
    <row r="400" spans="1:9" hidden="1" x14ac:dyDescent="0.25">
      <c r="A400">
        <v>399</v>
      </c>
      <c r="B400" s="1">
        <v>45495</v>
      </c>
      <c r="C400" t="s">
        <v>34</v>
      </c>
      <c r="D400">
        <v>129</v>
      </c>
      <c r="E400" t="s">
        <v>15</v>
      </c>
      <c r="F400" t="s">
        <v>21</v>
      </c>
      <c r="G400">
        <f>MONTH(cleaned_personal_finance_data15[[#This Row],[date]])</f>
        <v>7</v>
      </c>
      <c r="H400">
        <f>YEAR(cleaned_personal_finance_data15[[#This Row],[date]])</f>
        <v>2024</v>
      </c>
      <c r="I400" t="s">
        <v>34</v>
      </c>
    </row>
    <row r="401" spans="1:9" hidden="1" x14ac:dyDescent="0.25">
      <c r="A401">
        <v>400</v>
      </c>
      <c r="B401" s="1">
        <v>45495</v>
      </c>
      <c r="C401" t="s">
        <v>195</v>
      </c>
      <c r="D401">
        <v>650</v>
      </c>
      <c r="E401" t="s">
        <v>15</v>
      </c>
      <c r="F401" t="s">
        <v>21</v>
      </c>
      <c r="G401">
        <f>MONTH(cleaned_personal_finance_data15[[#This Row],[date]])</f>
        <v>7</v>
      </c>
      <c r="H401">
        <f>YEAR(cleaned_personal_finance_data15[[#This Row],[date]])</f>
        <v>2024</v>
      </c>
      <c r="I401" t="s">
        <v>195</v>
      </c>
    </row>
    <row r="402" spans="1:9" hidden="1" x14ac:dyDescent="0.25">
      <c r="A402">
        <v>401</v>
      </c>
      <c r="B402" s="1">
        <v>45496</v>
      </c>
      <c r="C402" t="s">
        <v>196</v>
      </c>
      <c r="D402">
        <v>150</v>
      </c>
      <c r="E402" t="s">
        <v>15</v>
      </c>
      <c r="F402" t="s">
        <v>13</v>
      </c>
      <c r="G402">
        <f>MONTH(cleaned_personal_finance_data15[[#This Row],[date]])</f>
        <v>7</v>
      </c>
      <c r="H402">
        <f>YEAR(cleaned_personal_finance_data15[[#This Row],[date]])</f>
        <v>2024</v>
      </c>
      <c r="I402" t="s">
        <v>196</v>
      </c>
    </row>
    <row r="403" spans="1:9" hidden="1" x14ac:dyDescent="0.25">
      <c r="A403">
        <v>402</v>
      </c>
      <c r="B403" s="1">
        <v>45498</v>
      </c>
      <c r="C403" t="s">
        <v>51</v>
      </c>
      <c r="D403">
        <v>30</v>
      </c>
      <c r="E403" t="s">
        <v>15</v>
      </c>
      <c r="F403" t="s">
        <v>13</v>
      </c>
      <c r="G403">
        <f>MONTH(cleaned_personal_finance_data15[[#This Row],[date]])</f>
        <v>7</v>
      </c>
      <c r="H403">
        <f>YEAR(cleaned_personal_finance_data15[[#This Row],[date]])</f>
        <v>2024</v>
      </c>
      <c r="I403" t="s">
        <v>43</v>
      </c>
    </row>
    <row r="404" spans="1:9" hidden="1" x14ac:dyDescent="0.25">
      <c r="A404">
        <v>403</v>
      </c>
      <c r="B404" s="1">
        <v>45498</v>
      </c>
      <c r="C404" t="s">
        <v>54</v>
      </c>
      <c r="D404">
        <v>30</v>
      </c>
      <c r="E404" t="s">
        <v>15</v>
      </c>
      <c r="F404" t="s">
        <v>13</v>
      </c>
      <c r="G404">
        <f>MONTH(cleaned_personal_finance_data15[[#This Row],[date]])</f>
        <v>7</v>
      </c>
      <c r="H404">
        <f>YEAR(cleaned_personal_finance_data15[[#This Row],[date]])</f>
        <v>2024</v>
      </c>
      <c r="I404" t="s">
        <v>54</v>
      </c>
    </row>
    <row r="405" spans="1:9" hidden="1" x14ac:dyDescent="0.25">
      <c r="A405">
        <v>404</v>
      </c>
      <c r="B405" s="1">
        <v>45498</v>
      </c>
      <c r="C405" t="s">
        <v>66</v>
      </c>
      <c r="D405">
        <v>10</v>
      </c>
      <c r="E405" t="s">
        <v>15</v>
      </c>
      <c r="F405" t="s">
        <v>13</v>
      </c>
      <c r="G405">
        <f>MONTH(cleaned_personal_finance_data15[[#This Row],[date]])</f>
        <v>7</v>
      </c>
      <c r="H405">
        <f>YEAR(cleaned_personal_finance_data15[[#This Row],[date]])</f>
        <v>2024</v>
      </c>
      <c r="I405" t="s">
        <v>66</v>
      </c>
    </row>
    <row r="406" spans="1:9" hidden="1" x14ac:dyDescent="0.25">
      <c r="A406">
        <v>405</v>
      </c>
      <c r="B406" s="1">
        <v>45498</v>
      </c>
      <c r="C406" t="s">
        <v>197</v>
      </c>
      <c r="D406">
        <v>30</v>
      </c>
      <c r="E406" t="s">
        <v>15</v>
      </c>
      <c r="F406" t="s">
        <v>13</v>
      </c>
      <c r="G406">
        <f>MONTH(cleaned_personal_finance_data15[[#This Row],[date]])</f>
        <v>7</v>
      </c>
      <c r="H406">
        <f>YEAR(cleaned_personal_finance_data15[[#This Row],[date]])</f>
        <v>2024</v>
      </c>
      <c r="I406" t="s">
        <v>197</v>
      </c>
    </row>
    <row r="407" spans="1:9" hidden="1" x14ac:dyDescent="0.25">
      <c r="A407">
        <v>406</v>
      </c>
      <c r="B407" s="1">
        <v>45498</v>
      </c>
      <c r="C407" t="s">
        <v>76</v>
      </c>
      <c r="D407">
        <v>30</v>
      </c>
      <c r="E407" t="s">
        <v>15</v>
      </c>
      <c r="F407" t="s">
        <v>13</v>
      </c>
      <c r="G407">
        <f>MONTH(cleaned_personal_finance_data15[[#This Row],[date]])</f>
        <v>7</v>
      </c>
      <c r="H407">
        <f>YEAR(cleaned_personal_finance_data15[[#This Row],[date]])</f>
        <v>2024</v>
      </c>
      <c r="I407" t="s">
        <v>43</v>
      </c>
    </row>
    <row r="408" spans="1:9" hidden="1" x14ac:dyDescent="0.25">
      <c r="A408">
        <v>407</v>
      </c>
      <c r="B408" s="1">
        <v>45498</v>
      </c>
      <c r="C408" t="s">
        <v>198</v>
      </c>
      <c r="D408">
        <v>125</v>
      </c>
      <c r="E408" t="s">
        <v>15</v>
      </c>
      <c r="F408" t="s">
        <v>21</v>
      </c>
      <c r="G408">
        <f>MONTH(cleaned_personal_finance_data15[[#This Row],[date]])</f>
        <v>7</v>
      </c>
      <c r="H408">
        <f>YEAR(cleaned_personal_finance_data15[[#This Row],[date]])</f>
        <v>2024</v>
      </c>
      <c r="I408" t="s">
        <v>198</v>
      </c>
    </row>
    <row r="409" spans="1:9" hidden="1" x14ac:dyDescent="0.25">
      <c r="A409">
        <v>408</v>
      </c>
      <c r="B409" s="1">
        <v>45499</v>
      </c>
      <c r="C409" t="s">
        <v>51</v>
      </c>
      <c r="D409">
        <v>30</v>
      </c>
      <c r="E409" t="s">
        <v>15</v>
      </c>
      <c r="F409" t="s">
        <v>13</v>
      </c>
      <c r="G409">
        <f>MONTH(cleaned_personal_finance_data15[[#This Row],[date]])</f>
        <v>7</v>
      </c>
      <c r="H409">
        <f>YEAR(cleaned_personal_finance_data15[[#This Row],[date]])</f>
        <v>2024</v>
      </c>
      <c r="I409" t="s">
        <v>43</v>
      </c>
    </row>
    <row r="410" spans="1:9" hidden="1" x14ac:dyDescent="0.25">
      <c r="A410">
        <v>409</v>
      </c>
      <c r="B410" s="1">
        <v>45499</v>
      </c>
      <c r="C410" t="s">
        <v>199</v>
      </c>
      <c r="D410">
        <v>14</v>
      </c>
      <c r="E410" t="s">
        <v>15</v>
      </c>
      <c r="F410" t="s">
        <v>13</v>
      </c>
      <c r="G410">
        <f>MONTH(cleaned_personal_finance_data15[[#This Row],[date]])</f>
        <v>7</v>
      </c>
      <c r="H410">
        <f>YEAR(cleaned_personal_finance_data15[[#This Row],[date]])</f>
        <v>2024</v>
      </c>
      <c r="I410" t="s">
        <v>199</v>
      </c>
    </row>
    <row r="411" spans="1:9" hidden="1" x14ac:dyDescent="0.25">
      <c r="A411">
        <v>410</v>
      </c>
      <c r="B411" s="1">
        <v>45499</v>
      </c>
      <c r="C411" t="s">
        <v>66</v>
      </c>
      <c r="D411">
        <v>10</v>
      </c>
      <c r="E411" t="s">
        <v>15</v>
      </c>
      <c r="F411" t="s">
        <v>13</v>
      </c>
      <c r="G411">
        <f>MONTH(cleaned_personal_finance_data15[[#This Row],[date]])</f>
        <v>7</v>
      </c>
      <c r="H411">
        <f>YEAR(cleaned_personal_finance_data15[[#This Row],[date]])</f>
        <v>2024</v>
      </c>
      <c r="I411" t="s">
        <v>66</v>
      </c>
    </row>
    <row r="412" spans="1:9" hidden="1" x14ac:dyDescent="0.25">
      <c r="A412">
        <v>411</v>
      </c>
      <c r="B412" s="1">
        <v>45499</v>
      </c>
      <c r="C412" t="s">
        <v>67</v>
      </c>
      <c r="D412">
        <v>15</v>
      </c>
      <c r="E412" t="s">
        <v>15</v>
      </c>
      <c r="F412" t="s">
        <v>13</v>
      </c>
      <c r="G412">
        <f>MONTH(cleaned_personal_finance_data15[[#This Row],[date]])</f>
        <v>7</v>
      </c>
      <c r="H412">
        <f>YEAR(cleaned_personal_finance_data15[[#This Row],[date]])</f>
        <v>2024</v>
      </c>
      <c r="I412" t="s">
        <v>67</v>
      </c>
    </row>
    <row r="413" spans="1:9" hidden="1" x14ac:dyDescent="0.25">
      <c r="A413">
        <v>412</v>
      </c>
      <c r="B413" s="1">
        <v>45499</v>
      </c>
      <c r="C413" t="s">
        <v>76</v>
      </c>
      <c r="D413">
        <v>15</v>
      </c>
      <c r="E413" t="s">
        <v>15</v>
      </c>
      <c r="F413" t="s">
        <v>13</v>
      </c>
      <c r="G413">
        <f>MONTH(cleaned_personal_finance_data15[[#This Row],[date]])</f>
        <v>7</v>
      </c>
      <c r="H413">
        <f>YEAR(cleaned_personal_finance_data15[[#This Row],[date]])</f>
        <v>2024</v>
      </c>
      <c r="I413" t="s">
        <v>43</v>
      </c>
    </row>
    <row r="414" spans="1:9" hidden="1" x14ac:dyDescent="0.25">
      <c r="A414">
        <v>413</v>
      </c>
      <c r="B414" s="1">
        <v>45499</v>
      </c>
      <c r="C414" t="s">
        <v>6</v>
      </c>
      <c r="D414">
        <v>12615</v>
      </c>
      <c r="E414" t="s">
        <v>7</v>
      </c>
      <c r="F414" t="s">
        <v>13</v>
      </c>
      <c r="G414">
        <f>MONTH(cleaned_personal_finance_data15[[#This Row],[date]])</f>
        <v>7</v>
      </c>
      <c r="H414">
        <f>YEAR(cleaned_personal_finance_data15[[#This Row],[date]])</f>
        <v>2024</v>
      </c>
      <c r="I414" t="s">
        <v>318</v>
      </c>
    </row>
    <row r="415" spans="1:9" hidden="1" x14ac:dyDescent="0.25">
      <c r="A415">
        <v>414</v>
      </c>
      <c r="B415" s="1">
        <v>45500</v>
      </c>
      <c r="C415" t="s">
        <v>51</v>
      </c>
      <c r="D415">
        <v>30</v>
      </c>
      <c r="E415" t="s">
        <v>15</v>
      </c>
      <c r="F415" t="s">
        <v>13</v>
      </c>
      <c r="G415">
        <f>MONTH(cleaned_personal_finance_data15[[#This Row],[date]])</f>
        <v>7</v>
      </c>
      <c r="H415">
        <f>YEAR(cleaned_personal_finance_data15[[#This Row],[date]])</f>
        <v>2024</v>
      </c>
      <c r="I415" t="s">
        <v>43</v>
      </c>
    </row>
    <row r="416" spans="1:9" hidden="1" x14ac:dyDescent="0.25">
      <c r="A416">
        <v>415</v>
      </c>
      <c r="B416" s="1">
        <v>45500</v>
      </c>
      <c r="C416" t="s">
        <v>66</v>
      </c>
      <c r="D416">
        <v>10</v>
      </c>
      <c r="E416" t="s">
        <v>15</v>
      </c>
      <c r="F416" t="s">
        <v>13</v>
      </c>
      <c r="G416">
        <f>MONTH(cleaned_personal_finance_data15[[#This Row],[date]])</f>
        <v>7</v>
      </c>
      <c r="H416">
        <f>YEAR(cleaned_personal_finance_data15[[#This Row],[date]])</f>
        <v>2024</v>
      </c>
      <c r="I416" t="s">
        <v>66</v>
      </c>
    </row>
    <row r="417" spans="1:9" hidden="1" x14ac:dyDescent="0.25">
      <c r="A417">
        <v>416</v>
      </c>
      <c r="B417" s="1">
        <v>45500</v>
      </c>
      <c r="C417" t="s">
        <v>67</v>
      </c>
      <c r="D417">
        <v>15</v>
      </c>
      <c r="E417" t="s">
        <v>15</v>
      </c>
      <c r="F417" t="s">
        <v>13</v>
      </c>
      <c r="G417">
        <f>MONTH(cleaned_personal_finance_data15[[#This Row],[date]])</f>
        <v>7</v>
      </c>
      <c r="H417">
        <f>YEAR(cleaned_personal_finance_data15[[#This Row],[date]])</f>
        <v>2024</v>
      </c>
      <c r="I417" t="s">
        <v>67</v>
      </c>
    </row>
    <row r="418" spans="1:9" hidden="1" x14ac:dyDescent="0.25">
      <c r="A418">
        <v>417</v>
      </c>
      <c r="B418" s="1">
        <v>45500</v>
      </c>
      <c r="C418" t="s">
        <v>76</v>
      </c>
      <c r="D418">
        <v>30</v>
      </c>
      <c r="E418" t="s">
        <v>15</v>
      </c>
      <c r="F418" t="s">
        <v>13</v>
      </c>
      <c r="G418">
        <f>MONTH(cleaned_personal_finance_data15[[#This Row],[date]])</f>
        <v>7</v>
      </c>
      <c r="H418">
        <f>YEAR(cleaned_personal_finance_data15[[#This Row],[date]])</f>
        <v>2024</v>
      </c>
      <c r="I418" t="s">
        <v>43</v>
      </c>
    </row>
    <row r="419" spans="1:9" hidden="1" x14ac:dyDescent="0.25">
      <c r="A419">
        <v>418</v>
      </c>
      <c r="B419" s="1">
        <v>45503</v>
      </c>
      <c r="C419" t="s">
        <v>200</v>
      </c>
      <c r="D419">
        <v>5000</v>
      </c>
      <c r="E419" t="s">
        <v>7</v>
      </c>
      <c r="F419" t="s">
        <v>8</v>
      </c>
      <c r="G419">
        <f>MONTH(cleaned_personal_finance_data15[[#This Row],[date]])</f>
        <v>7</v>
      </c>
      <c r="H419">
        <f>YEAR(cleaned_personal_finance_data15[[#This Row],[date]])</f>
        <v>2024</v>
      </c>
      <c r="I419" t="s">
        <v>200</v>
      </c>
    </row>
    <row r="420" spans="1:9" hidden="1" x14ac:dyDescent="0.25">
      <c r="A420">
        <v>419</v>
      </c>
      <c r="B420" s="1">
        <v>45503</v>
      </c>
      <c r="C420" t="s">
        <v>184</v>
      </c>
      <c r="D420">
        <v>125</v>
      </c>
      <c r="E420" t="s">
        <v>15</v>
      </c>
      <c r="F420" t="s">
        <v>21</v>
      </c>
      <c r="G420">
        <f>MONTH(cleaned_personal_finance_data15[[#This Row],[date]])</f>
        <v>7</v>
      </c>
      <c r="H420">
        <f>YEAR(cleaned_personal_finance_data15[[#This Row],[date]])</f>
        <v>2024</v>
      </c>
      <c r="I420" t="s">
        <v>28</v>
      </c>
    </row>
    <row r="421" spans="1:9" hidden="1" x14ac:dyDescent="0.25">
      <c r="A421">
        <v>420</v>
      </c>
      <c r="B421" s="1">
        <v>45503</v>
      </c>
      <c r="C421" t="s">
        <v>28</v>
      </c>
      <c r="D421">
        <v>125</v>
      </c>
      <c r="E421" t="s">
        <v>15</v>
      </c>
      <c r="F421" t="s">
        <v>21</v>
      </c>
      <c r="G421">
        <f>MONTH(cleaned_personal_finance_data15[[#This Row],[date]])</f>
        <v>7</v>
      </c>
      <c r="H421">
        <f>YEAR(cleaned_personal_finance_data15[[#This Row],[date]])</f>
        <v>2024</v>
      </c>
      <c r="I421" t="s">
        <v>28</v>
      </c>
    </row>
    <row r="422" spans="1:9" hidden="1" x14ac:dyDescent="0.25">
      <c r="A422">
        <v>421</v>
      </c>
      <c r="B422" s="1">
        <v>45504</v>
      </c>
      <c r="C422" t="s">
        <v>201</v>
      </c>
      <c r="D422">
        <v>65</v>
      </c>
      <c r="E422" t="s">
        <v>15</v>
      </c>
      <c r="F422" t="s">
        <v>13</v>
      </c>
      <c r="G422">
        <f>MONTH(cleaned_personal_finance_data15[[#This Row],[date]])</f>
        <v>7</v>
      </c>
      <c r="H422">
        <f>YEAR(cleaned_personal_finance_data15[[#This Row],[date]])</f>
        <v>2024</v>
      </c>
      <c r="I422" t="s">
        <v>201</v>
      </c>
    </row>
    <row r="423" spans="1:9" hidden="1" x14ac:dyDescent="0.25">
      <c r="A423">
        <v>422</v>
      </c>
      <c r="B423" s="1">
        <v>45505</v>
      </c>
      <c r="C423" t="s">
        <v>51</v>
      </c>
      <c r="D423">
        <v>30</v>
      </c>
      <c r="E423" t="s">
        <v>15</v>
      </c>
      <c r="F423" t="s">
        <v>13</v>
      </c>
      <c r="G423">
        <f>MONTH(cleaned_personal_finance_data15[[#This Row],[date]])</f>
        <v>8</v>
      </c>
      <c r="H423">
        <f>YEAR(cleaned_personal_finance_data15[[#This Row],[date]])</f>
        <v>2024</v>
      </c>
      <c r="I423" t="s">
        <v>43</v>
      </c>
    </row>
    <row r="424" spans="1:9" hidden="1" x14ac:dyDescent="0.25">
      <c r="A424">
        <v>423</v>
      </c>
      <c r="B424" s="1">
        <v>45505</v>
      </c>
      <c r="C424" t="s">
        <v>106</v>
      </c>
      <c r="D424">
        <v>70</v>
      </c>
      <c r="E424" t="s">
        <v>15</v>
      </c>
      <c r="F424" t="s">
        <v>13</v>
      </c>
      <c r="G424">
        <f>MONTH(cleaned_personal_finance_data15[[#This Row],[date]])</f>
        <v>8</v>
      </c>
      <c r="H424">
        <f>YEAR(cleaned_personal_finance_data15[[#This Row],[date]])</f>
        <v>2024</v>
      </c>
      <c r="I424" t="s">
        <v>106</v>
      </c>
    </row>
    <row r="425" spans="1:9" hidden="1" x14ac:dyDescent="0.25">
      <c r="A425">
        <v>424</v>
      </c>
      <c r="B425" s="1">
        <v>45506</v>
      </c>
      <c r="C425" t="s">
        <v>64</v>
      </c>
      <c r="D425">
        <v>199</v>
      </c>
      <c r="E425" t="s">
        <v>15</v>
      </c>
      <c r="F425" t="s">
        <v>21</v>
      </c>
      <c r="G425">
        <f>MONTH(cleaned_personal_finance_data15[[#This Row],[date]])</f>
        <v>8</v>
      </c>
      <c r="H425">
        <f>YEAR(cleaned_personal_finance_data15[[#This Row],[date]])</f>
        <v>2024</v>
      </c>
      <c r="I425" t="s">
        <v>64</v>
      </c>
    </row>
    <row r="426" spans="1:9" hidden="1" x14ac:dyDescent="0.25">
      <c r="A426">
        <v>425</v>
      </c>
      <c r="B426" s="1">
        <v>45507</v>
      </c>
      <c r="C426" t="s">
        <v>201</v>
      </c>
      <c r="D426">
        <v>75</v>
      </c>
      <c r="E426" t="s">
        <v>15</v>
      </c>
      <c r="F426" t="s">
        <v>13</v>
      </c>
      <c r="G426">
        <f>MONTH(cleaned_personal_finance_data15[[#This Row],[date]])</f>
        <v>8</v>
      </c>
      <c r="H426">
        <f>YEAR(cleaned_personal_finance_data15[[#This Row],[date]])</f>
        <v>2024</v>
      </c>
      <c r="I426" t="s">
        <v>201</v>
      </c>
    </row>
    <row r="427" spans="1:9" hidden="1" x14ac:dyDescent="0.25">
      <c r="A427">
        <v>426</v>
      </c>
      <c r="B427" s="1">
        <v>45507</v>
      </c>
      <c r="C427" t="s">
        <v>202</v>
      </c>
      <c r="D427">
        <v>25</v>
      </c>
      <c r="E427" t="s">
        <v>15</v>
      </c>
      <c r="F427" t="s">
        <v>13</v>
      </c>
      <c r="G427">
        <f>MONTH(cleaned_personal_finance_data15[[#This Row],[date]])</f>
        <v>8</v>
      </c>
      <c r="H427">
        <f>YEAR(cleaned_personal_finance_data15[[#This Row],[date]])</f>
        <v>2024</v>
      </c>
      <c r="I427" t="s">
        <v>202</v>
      </c>
    </row>
    <row r="428" spans="1:9" hidden="1" x14ac:dyDescent="0.25">
      <c r="A428">
        <v>427</v>
      </c>
      <c r="B428" s="1">
        <v>45508</v>
      </c>
      <c r="C428" t="s">
        <v>175</v>
      </c>
      <c r="D428">
        <v>750</v>
      </c>
      <c r="E428" t="s">
        <v>15</v>
      </c>
      <c r="F428" t="s">
        <v>13</v>
      </c>
      <c r="G428">
        <f>MONTH(cleaned_personal_finance_data15[[#This Row],[date]])</f>
        <v>8</v>
      </c>
      <c r="H428">
        <f>YEAR(cleaned_personal_finance_data15[[#This Row],[date]])</f>
        <v>2024</v>
      </c>
      <c r="I428" t="s">
        <v>159</v>
      </c>
    </row>
    <row r="429" spans="1:9" hidden="1" x14ac:dyDescent="0.25">
      <c r="A429">
        <v>428</v>
      </c>
      <c r="B429" s="1">
        <v>45508</v>
      </c>
      <c r="C429" t="s">
        <v>145</v>
      </c>
      <c r="D429">
        <v>5000</v>
      </c>
      <c r="E429" t="s">
        <v>15</v>
      </c>
      <c r="F429" t="s">
        <v>13</v>
      </c>
      <c r="G429">
        <f>MONTH(cleaned_personal_finance_data15[[#This Row],[date]])</f>
        <v>8</v>
      </c>
      <c r="H429">
        <f>YEAR(cleaned_personal_finance_data15[[#This Row],[date]])</f>
        <v>2024</v>
      </c>
      <c r="I429" t="s">
        <v>145</v>
      </c>
    </row>
    <row r="430" spans="1:9" hidden="1" x14ac:dyDescent="0.25">
      <c r="A430">
        <v>429</v>
      </c>
      <c r="B430" s="1">
        <v>45508</v>
      </c>
      <c r="C430" t="s">
        <v>203</v>
      </c>
      <c r="D430">
        <v>290</v>
      </c>
      <c r="E430" t="s">
        <v>15</v>
      </c>
      <c r="F430" t="s">
        <v>13</v>
      </c>
      <c r="G430">
        <f>MONTH(cleaned_personal_finance_data15[[#This Row],[date]])</f>
        <v>8</v>
      </c>
      <c r="H430">
        <f>YEAR(cleaned_personal_finance_data15[[#This Row],[date]])</f>
        <v>2024</v>
      </c>
      <c r="I430" t="s">
        <v>204</v>
      </c>
    </row>
    <row r="431" spans="1:9" hidden="1" x14ac:dyDescent="0.25">
      <c r="A431">
        <v>430</v>
      </c>
      <c r="B431" s="1">
        <v>45508</v>
      </c>
      <c r="C431" t="s">
        <v>204</v>
      </c>
      <c r="D431">
        <v>220</v>
      </c>
      <c r="E431" t="s">
        <v>15</v>
      </c>
      <c r="F431" t="s">
        <v>13</v>
      </c>
      <c r="G431">
        <f>MONTH(cleaned_personal_finance_data15[[#This Row],[date]])</f>
        <v>8</v>
      </c>
      <c r="H431">
        <f>YEAR(cleaned_personal_finance_data15[[#This Row],[date]])</f>
        <v>2024</v>
      </c>
      <c r="I431" t="s">
        <v>204</v>
      </c>
    </row>
    <row r="432" spans="1:9" hidden="1" x14ac:dyDescent="0.25">
      <c r="A432">
        <v>431</v>
      </c>
      <c r="B432" s="1">
        <v>45508</v>
      </c>
      <c r="C432" t="s">
        <v>205</v>
      </c>
      <c r="D432">
        <v>290</v>
      </c>
      <c r="E432" t="s">
        <v>15</v>
      </c>
      <c r="F432" t="s">
        <v>13</v>
      </c>
      <c r="G432">
        <f>MONTH(cleaned_personal_finance_data15[[#This Row],[date]])</f>
        <v>8</v>
      </c>
      <c r="H432">
        <f>YEAR(cleaned_personal_finance_data15[[#This Row],[date]])</f>
        <v>2024</v>
      </c>
      <c r="I432" t="s">
        <v>321</v>
      </c>
    </row>
    <row r="433" spans="1:9" hidden="1" x14ac:dyDescent="0.25">
      <c r="A433">
        <v>432</v>
      </c>
      <c r="B433" s="1">
        <v>45508</v>
      </c>
      <c r="C433" t="s">
        <v>206</v>
      </c>
      <c r="D433">
        <v>90</v>
      </c>
      <c r="E433" t="s">
        <v>15</v>
      </c>
      <c r="F433" t="s">
        <v>13</v>
      </c>
      <c r="G433">
        <f>MONTH(cleaned_personal_finance_data15[[#This Row],[date]])</f>
        <v>8</v>
      </c>
      <c r="H433">
        <f>YEAR(cleaned_personal_finance_data15[[#This Row],[date]])</f>
        <v>2024</v>
      </c>
      <c r="I433" t="s">
        <v>321</v>
      </c>
    </row>
    <row r="434" spans="1:9" hidden="1" x14ac:dyDescent="0.25">
      <c r="A434">
        <v>433</v>
      </c>
      <c r="B434" s="1">
        <v>45508</v>
      </c>
      <c r="C434" t="s">
        <v>207</v>
      </c>
      <c r="D434">
        <v>100</v>
      </c>
      <c r="E434" t="s">
        <v>15</v>
      </c>
      <c r="F434" t="s">
        <v>13</v>
      </c>
      <c r="G434">
        <f>MONTH(cleaned_personal_finance_data15[[#This Row],[date]])</f>
        <v>8</v>
      </c>
      <c r="H434">
        <f>YEAR(cleaned_personal_finance_data15[[#This Row],[date]])</f>
        <v>2024</v>
      </c>
      <c r="I434" t="s">
        <v>207</v>
      </c>
    </row>
    <row r="435" spans="1:9" hidden="1" x14ac:dyDescent="0.25">
      <c r="A435">
        <v>434</v>
      </c>
      <c r="B435" s="1">
        <v>45510</v>
      </c>
      <c r="C435" t="s">
        <v>24</v>
      </c>
      <c r="D435">
        <v>239</v>
      </c>
      <c r="E435" t="s">
        <v>15</v>
      </c>
      <c r="F435" t="s">
        <v>21</v>
      </c>
      <c r="G435">
        <f>MONTH(cleaned_personal_finance_data15[[#This Row],[date]])</f>
        <v>8</v>
      </c>
      <c r="H435">
        <f>YEAR(cleaned_personal_finance_data15[[#This Row],[date]])</f>
        <v>2024</v>
      </c>
      <c r="I435" t="s">
        <v>24</v>
      </c>
    </row>
    <row r="436" spans="1:9" hidden="1" x14ac:dyDescent="0.25">
      <c r="A436">
        <v>435</v>
      </c>
      <c r="B436" s="1">
        <v>45513</v>
      </c>
      <c r="C436" t="s">
        <v>51</v>
      </c>
      <c r="D436">
        <v>30</v>
      </c>
      <c r="E436" t="s">
        <v>15</v>
      </c>
      <c r="F436" t="s">
        <v>13</v>
      </c>
      <c r="G436">
        <f>MONTH(cleaned_personal_finance_data15[[#This Row],[date]])</f>
        <v>8</v>
      </c>
      <c r="H436">
        <f>YEAR(cleaned_personal_finance_data15[[#This Row],[date]])</f>
        <v>2024</v>
      </c>
      <c r="I436" t="s">
        <v>43</v>
      </c>
    </row>
    <row r="437" spans="1:9" hidden="1" x14ac:dyDescent="0.25">
      <c r="A437">
        <v>436</v>
      </c>
      <c r="B437" s="1">
        <v>45513</v>
      </c>
      <c r="C437" t="s">
        <v>54</v>
      </c>
      <c r="D437">
        <v>30</v>
      </c>
      <c r="E437" t="s">
        <v>15</v>
      </c>
      <c r="F437" t="s">
        <v>13</v>
      </c>
      <c r="G437">
        <f>MONTH(cleaned_personal_finance_data15[[#This Row],[date]])</f>
        <v>8</v>
      </c>
      <c r="H437">
        <f>YEAR(cleaned_personal_finance_data15[[#This Row],[date]])</f>
        <v>2024</v>
      </c>
      <c r="I437" t="s">
        <v>54</v>
      </c>
    </row>
    <row r="438" spans="1:9" hidden="1" x14ac:dyDescent="0.25">
      <c r="A438">
        <v>437</v>
      </c>
      <c r="B438" s="1">
        <v>45513</v>
      </c>
      <c r="C438" t="s">
        <v>201</v>
      </c>
      <c r="D438">
        <v>60</v>
      </c>
      <c r="E438" t="s">
        <v>15</v>
      </c>
      <c r="F438" t="s">
        <v>13</v>
      </c>
      <c r="G438">
        <f>MONTH(cleaned_personal_finance_data15[[#This Row],[date]])</f>
        <v>8</v>
      </c>
      <c r="H438">
        <f>YEAR(cleaned_personal_finance_data15[[#This Row],[date]])</f>
        <v>2024</v>
      </c>
      <c r="I438" t="s">
        <v>201</v>
      </c>
    </row>
    <row r="439" spans="1:9" hidden="1" x14ac:dyDescent="0.25">
      <c r="A439">
        <v>438</v>
      </c>
      <c r="B439" s="1">
        <v>45513</v>
      </c>
      <c r="C439" t="s">
        <v>76</v>
      </c>
      <c r="D439">
        <v>30</v>
      </c>
      <c r="E439" t="s">
        <v>15</v>
      </c>
      <c r="F439" t="s">
        <v>13</v>
      </c>
      <c r="G439">
        <f>MONTH(cleaned_personal_finance_data15[[#This Row],[date]])</f>
        <v>8</v>
      </c>
      <c r="H439">
        <f>YEAR(cleaned_personal_finance_data15[[#This Row],[date]])</f>
        <v>2024</v>
      </c>
      <c r="I439" t="s">
        <v>43</v>
      </c>
    </row>
    <row r="440" spans="1:9" hidden="1" x14ac:dyDescent="0.25">
      <c r="A440">
        <v>439</v>
      </c>
      <c r="B440" s="1">
        <v>45513</v>
      </c>
      <c r="C440" t="s">
        <v>64</v>
      </c>
      <c r="D440">
        <v>199</v>
      </c>
      <c r="E440" t="s">
        <v>15</v>
      </c>
      <c r="F440" t="s">
        <v>21</v>
      </c>
      <c r="G440">
        <f>MONTH(cleaned_personal_finance_data15[[#This Row],[date]])</f>
        <v>8</v>
      </c>
      <c r="H440">
        <f>YEAR(cleaned_personal_finance_data15[[#This Row],[date]])</f>
        <v>2024</v>
      </c>
      <c r="I440" t="s">
        <v>64</v>
      </c>
    </row>
    <row r="441" spans="1:9" hidden="1" x14ac:dyDescent="0.25">
      <c r="A441">
        <v>440</v>
      </c>
      <c r="B441" s="1">
        <v>45514</v>
      </c>
      <c r="C441" t="s">
        <v>51</v>
      </c>
      <c r="D441">
        <v>30</v>
      </c>
      <c r="E441" t="s">
        <v>15</v>
      </c>
      <c r="F441" t="s">
        <v>13</v>
      </c>
      <c r="G441">
        <f>MONTH(cleaned_personal_finance_data15[[#This Row],[date]])</f>
        <v>8</v>
      </c>
      <c r="H441">
        <f>YEAR(cleaned_personal_finance_data15[[#This Row],[date]])</f>
        <v>2024</v>
      </c>
      <c r="I441" t="s">
        <v>43</v>
      </c>
    </row>
    <row r="442" spans="1:9" hidden="1" x14ac:dyDescent="0.25">
      <c r="A442">
        <v>441</v>
      </c>
      <c r="B442" s="1">
        <v>45514</v>
      </c>
      <c r="C442" t="s">
        <v>66</v>
      </c>
      <c r="D442">
        <v>10</v>
      </c>
      <c r="E442" t="s">
        <v>15</v>
      </c>
      <c r="F442" t="s">
        <v>13</v>
      </c>
      <c r="G442">
        <f>MONTH(cleaned_personal_finance_data15[[#This Row],[date]])</f>
        <v>8</v>
      </c>
      <c r="H442">
        <f>YEAR(cleaned_personal_finance_data15[[#This Row],[date]])</f>
        <v>2024</v>
      </c>
      <c r="I442" t="s">
        <v>66</v>
      </c>
    </row>
    <row r="443" spans="1:9" hidden="1" x14ac:dyDescent="0.25">
      <c r="A443">
        <v>442</v>
      </c>
      <c r="B443" s="1">
        <v>45514</v>
      </c>
      <c r="C443" t="s">
        <v>67</v>
      </c>
      <c r="D443">
        <v>15</v>
      </c>
      <c r="E443" t="s">
        <v>15</v>
      </c>
      <c r="F443" t="s">
        <v>13</v>
      </c>
      <c r="G443">
        <f>MONTH(cleaned_personal_finance_data15[[#This Row],[date]])</f>
        <v>8</v>
      </c>
      <c r="H443">
        <f>YEAR(cleaned_personal_finance_data15[[#This Row],[date]])</f>
        <v>2024</v>
      </c>
      <c r="I443" t="s">
        <v>67</v>
      </c>
    </row>
    <row r="444" spans="1:9" hidden="1" x14ac:dyDescent="0.25">
      <c r="A444">
        <v>443</v>
      </c>
      <c r="B444" s="1">
        <v>45514</v>
      </c>
      <c r="C444" t="s">
        <v>208</v>
      </c>
      <c r="D444">
        <v>120</v>
      </c>
      <c r="E444" t="s">
        <v>15</v>
      </c>
      <c r="F444" t="s">
        <v>13</v>
      </c>
      <c r="G444">
        <f>MONTH(cleaned_personal_finance_data15[[#This Row],[date]])</f>
        <v>8</v>
      </c>
      <c r="H444">
        <f>YEAR(cleaned_personal_finance_data15[[#This Row],[date]])</f>
        <v>2024</v>
      </c>
      <c r="I444" t="s">
        <v>321</v>
      </c>
    </row>
    <row r="445" spans="1:9" hidden="1" x14ac:dyDescent="0.25">
      <c r="A445">
        <v>444</v>
      </c>
      <c r="B445" s="1">
        <v>45514</v>
      </c>
      <c r="C445" t="s">
        <v>209</v>
      </c>
      <c r="D445">
        <v>290</v>
      </c>
      <c r="E445" t="s">
        <v>15</v>
      </c>
      <c r="F445" t="s">
        <v>13</v>
      </c>
      <c r="G445">
        <f>MONTH(cleaned_personal_finance_data15[[#This Row],[date]])</f>
        <v>8</v>
      </c>
      <c r="H445">
        <f>YEAR(cleaned_personal_finance_data15[[#This Row],[date]])</f>
        <v>2024</v>
      </c>
      <c r="I445" t="s">
        <v>204</v>
      </c>
    </row>
    <row r="446" spans="1:9" hidden="1" x14ac:dyDescent="0.25">
      <c r="A446">
        <v>445</v>
      </c>
      <c r="B446" s="1">
        <v>45516</v>
      </c>
      <c r="C446" t="s">
        <v>210</v>
      </c>
      <c r="D446">
        <v>5000</v>
      </c>
      <c r="E446" t="s">
        <v>7</v>
      </c>
      <c r="F446" t="s">
        <v>8</v>
      </c>
      <c r="G446">
        <f>MONTH(cleaned_personal_finance_data15[[#This Row],[date]])</f>
        <v>8</v>
      </c>
      <c r="H446">
        <f>YEAR(cleaned_personal_finance_data15[[#This Row],[date]])</f>
        <v>2024</v>
      </c>
      <c r="I446" t="s">
        <v>210</v>
      </c>
    </row>
    <row r="447" spans="1:9" hidden="1" x14ac:dyDescent="0.25">
      <c r="A447">
        <v>446</v>
      </c>
      <c r="B447" s="1">
        <v>45516</v>
      </c>
      <c r="C447" t="s">
        <v>6</v>
      </c>
      <c r="D447">
        <v>12615</v>
      </c>
      <c r="E447" t="s">
        <v>7</v>
      </c>
      <c r="F447" t="s">
        <v>8</v>
      </c>
      <c r="G447">
        <f>MONTH(cleaned_personal_finance_data15[[#This Row],[date]])</f>
        <v>8</v>
      </c>
      <c r="H447">
        <f>YEAR(cleaned_personal_finance_data15[[#This Row],[date]])</f>
        <v>2024</v>
      </c>
      <c r="I447" t="s">
        <v>318</v>
      </c>
    </row>
    <row r="448" spans="1:9" hidden="1" x14ac:dyDescent="0.25">
      <c r="A448">
        <v>447</v>
      </c>
      <c r="B448" s="1">
        <v>45519</v>
      </c>
      <c r="C448" t="s">
        <v>28</v>
      </c>
      <c r="D448">
        <v>125</v>
      </c>
      <c r="E448" t="s">
        <v>15</v>
      </c>
      <c r="F448" t="s">
        <v>21</v>
      </c>
      <c r="G448">
        <f>MONTH(cleaned_personal_finance_data15[[#This Row],[date]])</f>
        <v>8</v>
      </c>
      <c r="H448">
        <f>YEAR(cleaned_personal_finance_data15[[#This Row],[date]])</f>
        <v>2024</v>
      </c>
      <c r="I448" t="s">
        <v>28</v>
      </c>
    </row>
    <row r="449" spans="1:9" hidden="1" x14ac:dyDescent="0.25">
      <c r="A449">
        <v>448</v>
      </c>
      <c r="B449" s="1">
        <v>45522</v>
      </c>
      <c r="C449" t="s">
        <v>32</v>
      </c>
      <c r="D449">
        <v>20</v>
      </c>
      <c r="E449" t="s">
        <v>15</v>
      </c>
      <c r="F449" t="s">
        <v>13</v>
      </c>
      <c r="G449">
        <f>MONTH(cleaned_personal_finance_data15[[#This Row],[date]])</f>
        <v>8</v>
      </c>
      <c r="H449">
        <f>YEAR(cleaned_personal_finance_data15[[#This Row],[date]])</f>
        <v>2024</v>
      </c>
      <c r="I449" t="s">
        <v>32</v>
      </c>
    </row>
    <row r="450" spans="1:9" hidden="1" x14ac:dyDescent="0.25">
      <c r="A450">
        <v>449</v>
      </c>
      <c r="B450" s="1">
        <v>45522</v>
      </c>
      <c r="C450" t="s">
        <v>201</v>
      </c>
      <c r="D450">
        <v>75</v>
      </c>
      <c r="E450" t="s">
        <v>15</v>
      </c>
      <c r="F450" t="s">
        <v>13</v>
      </c>
      <c r="G450">
        <f>MONTH(cleaned_personal_finance_data15[[#This Row],[date]])</f>
        <v>8</v>
      </c>
      <c r="H450">
        <f>YEAR(cleaned_personal_finance_data15[[#This Row],[date]])</f>
        <v>2024</v>
      </c>
      <c r="I450" t="s">
        <v>201</v>
      </c>
    </row>
    <row r="451" spans="1:9" hidden="1" x14ac:dyDescent="0.25">
      <c r="A451">
        <v>450</v>
      </c>
      <c r="B451" s="1">
        <v>45522</v>
      </c>
      <c r="C451" t="s">
        <v>211</v>
      </c>
      <c r="D451">
        <v>70</v>
      </c>
      <c r="E451" t="s">
        <v>15</v>
      </c>
      <c r="F451" t="s">
        <v>13</v>
      </c>
      <c r="G451">
        <f>MONTH(cleaned_personal_finance_data15[[#This Row],[date]])</f>
        <v>8</v>
      </c>
      <c r="H451">
        <f>YEAR(cleaned_personal_finance_data15[[#This Row],[date]])</f>
        <v>2024</v>
      </c>
      <c r="I451" t="s">
        <v>262</v>
      </c>
    </row>
    <row r="452" spans="1:9" hidden="1" x14ac:dyDescent="0.25">
      <c r="A452">
        <v>451</v>
      </c>
      <c r="B452" s="1">
        <v>45527</v>
      </c>
      <c r="C452" t="s">
        <v>103</v>
      </c>
      <c r="D452">
        <v>260</v>
      </c>
      <c r="E452" t="s">
        <v>15</v>
      </c>
      <c r="F452" t="s">
        <v>13</v>
      </c>
      <c r="G452">
        <f>MONTH(cleaned_personal_finance_data15[[#This Row],[date]])</f>
        <v>8</v>
      </c>
      <c r="H452">
        <f>YEAR(cleaned_personal_finance_data15[[#This Row],[date]])</f>
        <v>2024</v>
      </c>
      <c r="I452" t="s">
        <v>329</v>
      </c>
    </row>
    <row r="453" spans="1:9" hidden="1" x14ac:dyDescent="0.25">
      <c r="A453">
        <v>452</v>
      </c>
      <c r="B453" s="1">
        <v>45531</v>
      </c>
      <c r="C453" t="s">
        <v>212</v>
      </c>
      <c r="D453">
        <v>180</v>
      </c>
      <c r="E453" t="s">
        <v>15</v>
      </c>
      <c r="F453" t="s">
        <v>13</v>
      </c>
      <c r="G453">
        <f>MONTH(cleaned_personal_finance_data15[[#This Row],[date]])</f>
        <v>8</v>
      </c>
      <c r="H453">
        <f>YEAR(cleaned_personal_finance_data15[[#This Row],[date]])</f>
        <v>2024</v>
      </c>
      <c r="I453" t="s">
        <v>319</v>
      </c>
    </row>
    <row r="454" spans="1:9" hidden="1" x14ac:dyDescent="0.25">
      <c r="A454">
        <v>453</v>
      </c>
      <c r="B454" s="1">
        <v>45531</v>
      </c>
      <c r="C454" t="s">
        <v>213</v>
      </c>
      <c r="D454">
        <v>300</v>
      </c>
      <c r="E454" t="s">
        <v>15</v>
      </c>
      <c r="F454" t="s">
        <v>13</v>
      </c>
      <c r="G454">
        <f>MONTH(cleaned_personal_finance_data15[[#This Row],[date]])</f>
        <v>8</v>
      </c>
      <c r="H454">
        <f>YEAR(cleaned_personal_finance_data15[[#This Row],[date]])</f>
        <v>2024</v>
      </c>
      <c r="I454" t="s">
        <v>213</v>
      </c>
    </row>
    <row r="455" spans="1:9" hidden="1" x14ac:dyDescent="0.25">
      <c r="A455">
        <v>454</v>
      </c>
      <c r="B455" s="1">
        <v>45532</v>
      </c>
      <c r="C455" t="s">
        <v>37</v>
      </c>
      <c r="D455">
        <v>25</v>
      </c>
      <c r="E455" t="s">
        <v>15</v>
      </c>
      <c r="F455" t="s">
        <v>13</v>
      </c>
      <c r="G455">
        <f>MONTH(cleaned_personal_finance_data15[[#This Row],[date]])</f>
        <v>8</v>
      </c>
      <c r="H455">
        <f>YEAR(cleaned_personal_finance_data15[[#This Row],[date]])</f>
        <v>2024</v>
      </c>
      <c r="I455" t="s">
        <v>47</v>
      </c>
    </row>
    <row r="456" spans="1:9" hidden="1" x14ac:dyDescent="0.25">
      <c r="A456">
        <v>455</v>
      </c>
      <c r="B456" s="1">
        <v>45532</v>
      </c>
      <c r="C456" t="s">
        <v>214</v>
      </c>
      <c r="D456">
        <v>200</v>
      </c>
      <c r="E456" t="s">
        <v>15</v>
      </c>
      <c r="F456" t="s">
        <v>13</v>
      </c>
      <c r="G456">
        <f>MONTH(cleaned_personal_finance_data15[[#This Row],[date]])</f>
        <v>8</v>
      </c>
      <c r="H456">
        <f>YEAR(cleaned_personal_finance_data15[[#This Row],[date]])</f>
        <v>2024</v>
      </c>
      <c r="I456" t="s">
        <v>214</v>
      </c>
    </row>
    <row r="457" spans="1:9" hidden="1" x14ac:dyDescent="0.25">
      <c r="A457">
        <v>456</v>
      </c>
      <c r="B457" s="1">
        <v>45532</v>
      </c>
      <c r="C457" t="s">
        <v>215</v>
      </c>
      <c r="D457">
        <v>460</v>
      </c>
      <c r="E457" t="s">
        <v>15</v>
      </c>
      <c r="F457" t="s">
        <v>13</v>
      </c>
      <c r="G457">
        <f>MONTH(cleaned_personal_finance_data15[[#This Row],[date]])</f>
        <v>8</v>
      </c>
      <c r="H457">
        <f>YEAR(cleaned_personal_finance_data15[[#This Row],[date]])</f>
        <v>2024</v>
      </c>
      <c r="I457" t="s">
        <v>262</v>
      </c>
    </row>
    <row r="458" spans="1:9" hidden="1" x14ac:dyDescent="0.25">
      <c r="A458">
        <v>457</v>
      </c>
      <c r="B458" s="1">
        <v>45533</v>
      </c>
      <c r="C458" t="s">
        <v>216</v>
      </c>
      <c r="D458">
        <v>1000</v>
      </c>
      <c r="E458" t="s">
        <v>15</v>
      </c>
      <c r="F458" t="s">
        <v>21</v>
      </c>
      <c r="G458">
        <f>MONTH(cleaned_personal_finance_data15[[#This Row],[date]])</f>
        <v>8</v>
      </c>
      <c r="H458">
        <f>YEAR(cleaned_personal_finance_data15[[#This Row],[date]])</f>
        <v>2024</v>
      </c>
      <c r="I458" t="s">
        <v>216</v>
      </c>
    </row>
    <row r="459" spans="1:9" hidden="1" x14ac:dyDescent="0.25">
      <c r="A459">
        <v>458</v>
      </c>
      <c r="B459" s="1">
        <v>45534</v>
      </c>
      <c r="C459" t="s">
        <v>6</v>
      </c>
      <c r="D459">
        <v>12617</v>
      </c>
      <c r="E459" t="s">
        <v>7</v>
      </c>
      <c r="F459" t="s">
        <v>8</v>
      </c>
      <c r="G459">
        <f>MONTH(cleaned_personal_finance_data15[[#This Row],[date]])</f>
        <v>8</v>
      </c>
      <c r="H459">
        <f>YEAR(cleaned_personal_finance_data15[[#This Row],[date]])</f>
        <v>2024</v>
      </c>
      <c r="I459" t="s">
        <v>318</v>
      </c>
    </row>
    <row r="460" spans="1:9" hidden="1" x14ac:dyDescent="0.25">
      <c r="A460">
        <v>459</v>
      </c>
      <c r="B460" s="1">
        <v>45534</v>
      </c>
      <c r="C460" t="s">
        <v>217</v>
      </c>
      <c r="D460">
        <v>12400</v>
      </c>
      <c r="E460" t="s">
        <v>7</v>
      </c>
      <c r="F460" t="s">
        <v>8</v>
      </c>
      <c r="G460">
        <f>MONTH(cleaned_personal_finance_data15[[#This Row],[date]])</f>
        <v>8</v>
      </c>
      <c r="H460">
        <f>YEAR(cleaned_personal_finance_data15[[#This Row],[date]])</f>
        <v>2024</v>
      </c>
      <c r="I460" t="s">
        <v>325</v>
      </c>
    </row>
    <row r="461" spans="1:9" hidden="1" x14ac:dyDescent="0.25">
      <c r="A461">
        <v>460</v>
      </c>
      <c r="B461" s="1">
        <v>45535</v>
      </c>
      <c r="C461" t="s">
        <v>207</v>
      </c>
      <c r="D461">
        <v>200</v>
      </c>
      <c r="E461" t="s">
        <v>15</v>
      </c>
      <c r="F461" t="s">
        <v>13</v>
      </c>
      <c r="G461">
        <f>MONTH(cleaned_personal_finance_data15[[#This Row],[date]])</f>
        <v>8</v>
      </c>
      <c r="H461">
        <f>YEAR(cleaned_personal_finance_data15[[#This Row],[date]])</f>
        <v>2024</v>
      </c>
      <c r="I461" t="s">
        <v>207</v>
      </c>
    </row>
    <row r="462" spans="1:9" hidden="1" x14ac:dyDescent="0.25">
      <c r="A462">
        <v>461</v>
      </c>
      <c r="B462" s="1">
        <v>45537</v>
      </c>
      <c r="C462" t="s">
        <v>218</v>
      </c>
      <c r="D462">
        <v>40</v>
      </c>
      <c r="E462" t="s">
        <v>15</v>
      </c>
      <c r="F462" t="s">
        <v>13</v>
      </c>
      <c r="G462">
        <f>MONTH(cleaned_personal_finance_data15[[#This Row],[date]])</f>
        <v>9</v>
      </c>
      <c r="H462">
        <f>YEAR(cleaned_personal_finance_data15[[#This Row],[date]])</f>
        <v>2024</v>
      </c>
      <c r="I462" t="s">
        <v>218</v>
      </c>
    </row>
    <row r="463" spans="1:9" hidden="1" x14ac:dyDescent="0.25">
      <c r="A463">
        <v>462</v>
      </c>
      <c r="B463" s="1">
        <v>45539</v>
      </c>
      <c r="C463" t="s">
        <v>184</v>
      </c>
      <c r="D463">
        <v>125</v>
      </c>
      <c r="E463" t="s">
        <v>15</v>
      </c>
      <c r="F463" t="s">
        <v>21</v>
      </c>
      <c r="G463">
        <f>MONTH(cleaned_personal_finance_data15[[#This Row],[date]])</f>
        <v>9</v>
      </c>
      <c r="H463">
        <f>YEAR(cleaned_personal_finance_data15[[#This Row],[date]])</f>
        <v>2024</v>
      </c>
      <c r="I463" t="s">
        <v>28</v>
      </c>
    </row>
    <row r="464" spans="1:9" hidden="1" x14ac:dyDescent="0.25">
      <c r="A464">
        <v>463</v>
      </c>
      <c r="B464" s="1">
        <v>45540</v>
      </c>
      <c r="C464" t="s">
        <v>184</v>
      </c>
      <c r="D464">
        <v>50</v>
      </c>
      <c r="E464" t="s">
        <v>15</v>
      </c>
      <c r="F464" t="s">
        <v>21</v>
      </c>
      <c r="G464">
        <f>MONTH(cleaned_personal_finance_data15[[#This Row],[date]])</f>
        <v>9</v>
      </c>
      <c r="H464">
        <f>YEAR(cleaned_personal_finance_data15[[#This Row],[date]])</f>
        <v>2024</v>
      </c>
      <c r="I464" t="s">
        <v>28</v>
      </c>
    </row>
    <row r="465" spans="1:9" hidden="1" x14ac:dyDescent="0.25">
      <c r="A465">
        <v>464</v>
      </c>
      <c r="B465" s="1">
        <v>45540</v>
      </c>
      <c r="C465" t="s">
        <v>219</v>
      </c>
      <c r="D465">
        <v>15</v>
      </c>
      <c r="E465" t="s">
        <v>15</v>
      </c>
      <c r="F465" t="s">
        <v>21</v>
      </c>
      <c r="G465">
        <f>MONTH(cleaned_personal_finance_data15[[#This Row],[date]])</f>
        <v>9</v>
      </c>
      <c r="H465">
        <f>YEAR(cleaned_personal_finance_data15[[#This Row],[date]])</f>
        <v>2024</v>
      </c>
      <c r="I465" t="s">
        <v>219</v>
      </c>
    </row>
    <row r="466" spans="1:9" hidden="1" x14ac:dyDescent="0.25">
      <c r="A466">
        <v>465</v>
      </c>
      <c r="B466" s="1">
        <v>45540</v>
      </c>
      <c r="C466" t="s">
        <v>184</v>
      </c>
      <c r="D466">
        <v>25</v>
      </c>
      <c r="E466" t="s">
        <v>15</v>
      </c>
      <c r="F466" t="s">
        <v>21</v>
      </c>
      <c r="G466">
        <f>MONTH(cleaned_personal_finance_data15[[#This Row],[date]])</f>
        <v>9</v>
      </c>
      <c r="H466">
        <f>YEAR(cleaned_personal_finance_data15[[#This Row],[date]])</f>
        <v>2024</v>
      </c>
      <c r="I466" t="s">
        <v>28</v>
      </c>
    </row>
    <row r="467" spans="1:9" hidden="1" x14ac:dyDescent="0.25">
      <c r="A467">
        <v>466</v>
      </c>
      <c r="B467" s="1">
        <v>45540</v>
      </c>
      <c r="C467" t="s">
        <v>218</v>
      </c>
      <c r="D467">
        <v>40</v>
      </c>
      <c r="E467" t="s">
        <v>15</v>
      </c>
      <c r="F467" t="s">
        <v>13</v>
      </c>
      <c r="G467">
        <f>MONTH(cleaned_personal_finance_data15[[#This Row],[date]])</f>
        <v>9</v>
      </c>
      <c r="H467">
        <f>YEAR(cleaned_personal_finance_data15[[#This Row],[date]])</f>
        <v>2024</v>
      </c>
      <c r="I467" t="s">
        <v>218</v>
      </c>
    </row>
    <row r="468" spans="1:9" hidden="1" x14ac:dyDescent="0.25">
      <c r="A468">
        <v>467</v>
      </c>
      <c r="B468" s="1">
        <v>45541</v>
      </c>
      <c r="C468" t="s">
        <v>24</v>
      </c>
      <c r="D468">
        <v>239</v>
      </c>
      <c r="E468" t="s">
        <v>15</v>
      </c>
      <c r="F468" t="s">
        <v>21</v>
      </c>
      <c r="G468">
        <f>MONTH(cleaned_personal_finance_data15[[#This Row],[date]])</f>
        <v>9</v>
      </c>
      <c r="H468">
        <f>YEAR(cleaned_personal_finance_data15[[#This Row],[date]])</f>
        <v>2024</v>
      </c>
      <c r="I468" t="s">
        <v>24</v>
      </c>
    </row>
    <row r="469" spans="1:9" hidden="1" x14ac:dyDescent="0.25">
      <c r="A469">
        <v>468</v>
      </c>
      <c r="B469" s="1">
        <v>45542</v>
      </c>
      <c r="C469" t="s">
        <v>220</v>
      </c>
      <c r="D469">
        <v>22</v>
      </c>
      <c r="E469" t="s">
        <v>15</v>
      </c>
      <c r="F469" t="s">
        <v>13</v>
      </c>
      <c r="G469">
        <f>MONTH(cleaned_personal_finance_data15[[#This Row],[date]])</f>
        <v>9</v>
      </c>
      <c r="H469">
        <f>YEAR(cleaned_personal_finance_data15[[#This Row],[date]])</f>
        <v>2024</v>
      </c>
      <c r="I469" t="s">
        <v>220</v>
      </c>
    </row>
    <row r="470" spans="1:9" hidden="1" x14ac:dyDescent="0.25">
      <c r="A470">
        <v>469</v>
      </c>
      <c r="B470" s="1">
        <v>45546</v>
      </c>
      <c r="C470" t="s">
        <v>207</v>
      </c>
      <c r="D470">
        <v>100</v>
      </c>
      <c r="E470" t="s">
        <v>15</v>
      </c>
      <c r="F470" t="s">
        <v>13</v>
      </c>
      <c r="G470">
        <f>MONTH(cleaned_personal_finance_data15[[#This Row],[date]])</f>
        <v>9</v>
      </c>
      <c r="H470">
        <f>YEAR(cleaned_personal_finance_data15[[#This Row],[date]])</f>
        <v>2024</v>
      </c>
      <c r="I470" t="s">
        <v>207</v>
      </c>
    </row>
    <row r="471" spans="1:9" hidden="1" x14ac:dyDescent="0.25">
      <c r="A471">
        <v>470</v>
      </c>
      <c r="B471" s="1">
        <v>45547</v>
      </c>
      <c r="C471" t="s">
        <v>207</v>
      </c>
      <c r="D471">
        <v>150</v>
      </c>
      <c r="E471" t="s">
        <v>15</v>
      </c>
      <c r="F471" t="s">
        <v>13</v>
      </c>
      <c r="G471">
        <f>MONTH(cleaned_personal_finance_data15[[#This Row],[date]])</f>
        <v>9</v>
      </c>
      <c r="H471">
        <f>YEAR(cleaned_personal_finance_data15[[#This Row],[date]])</f>
        <v>2024</v>
      </c>
      <c r="I471" t="s">
        <v>207</v>
      </c>
    </row>
    <row r="472" spans="1:9" hidden="1" x14ac:dyDescent="0.25">
      <c r="A472">
        <v>471</v>
      </c>
      <c r="B472" s="1">
        <v>45547</v>
      </c>
      <c r="C472" t="s">
        <v>184</v>
      </c>
      <c r="D472">
        <v>125</v>
      </c>
      <c r="E472" t="s">
        <v>15</v>
      </c>
      <c r="F472" t="s">
        <v>21</v>
      </c>
      <c r="G472">
        <f>MONTH(cleaned_personal_finance_data15[[#This Row],[date]])</f>
        <v>9</v>
      </c>
      <c r="H472">
        <f>YEAR(cleaned_personal_finance_data15[[#This Row],[date]])</f>
        <v>2024</v>
      </c>
      <c r="I472" t="s">
        <v>28</v>
      </c>
    </row>
    <row r="473" spans="1:9" hidden="1" x14ac:dyDescent="0.25">
      <c r="A473">
        <v>472</v>
      </c>
      <c r="B473" s="1">
        <v>45548</v>
      </c>
      <c r="C473" t="s">
        <v>6</v>
      </c>
      <c r="D473">
        <v>25418</v>
      </c>
      <c r="E473" t="s">
        <v>7</v>
      </c>
      <c r="F473" t="s">
        <v>8</v>
      </c>
      <c r="G473">
        <f>MONTH(cleaned_personal_finance_data15[[#This Row],[date]])</f>
        <v>9</v>
      </c>
      <c r="H473">
        <f>YEAR(cleaned_personal_finance_data15[[#This Row],[date]])</f>
        <v>2024</v>
      </c>
      <c r="I473" t="s">
        <v>318</v>
      </c>
    </row>
    <row r="474" spans="1:9" hidden="1" x14ac:dyDescent="0.25">
      <c r="A474">
        <v>473</v>
      </c>
      <c r="B474" s="1">
        <v>45549</v>
      </c>
      <c r="C474" t="s">
        <v>145</v>
      </c>
      <c r="D474">
        <v>5000</v>
      </c>
      <c r="E474" t="s">
        <v>15</v>
      </c>
      <c r="F474" t="s">
        <v>13</v>
      </c>
      <c r="G474">
        <f>MONTH(cleaned_personal_finance_data15[[#This Row],[date]])</f>
        <v>9</v>
      </c>
      <c r="H474">
        <f>YEAR(cleaned_personal_finance_data15[[#This Row],[date]])</f>
        <v>2024</v>
      </c>
      <c r="I474" t="s">
        <v>145</v>
      </c>
    </row>
    <row r="475" spans="1:9" hidden="1" x14ac:dyDescent="0.25">
      <c r="A475">
        <v>474</v>
      </c>
      <c r="B475" s="1">
        <v>45549</v>
      </c>
      <c r="C475" t="s">
        <v>175</v>
      </c>
      <c r="D475">
        <v>2550</v>
      </c>
      <c r="E475" t="s">
        <v>15</v>
      </c>
      <c r="F475" t="s">
        <v>13</v>
      </c>
      <c r="G475">
        <f>MONTH(cleaned_personal_finance_data15[[#This Row],[date]])</f>
        <v>9</v>
      </c>
      <c r="H475">
        <f>YEAR(cleaned_personal_finance_data15[[#This Row],[date]])</f>
        <v>2024</v>
      </c>
      <c r="I475" t="s">
        <v>159</v>
      </c>
    </row>
    <row r="476" spans="1:9" hidden="1" x14ac:dyDescent="0.25">
      <c r="A476">
        <v>475</v>
      </c>
      <c r="B476" s="1">
        <v>45549</v>
      </c>
      <c r="C476" t="s">
        <v>20</v>
      </c>
      <c r="D476">
        <v>2150</v>
      </c>
      <c r="E476" t="s">
        <v>10</v>
      </c>
      <c r="F476" t="s">
        <v>13</v>
      </c>
      <c r="G476">
        <f>MONTH(cleaned_personal_finance_data15[[#This Row],[date]])</f>
        <v>9</v>
      </c>
      <c r="H476">
        <f>YEAR(cleaned_personal_finance_data15[[#This Row],[date]])</f>
        <v>2024</v>
      </c>
      <c r="I476" t="s">
        <v>20</v>
      </c>
    </row>
    <row r="477" spans="1:9" hidden="1" x14ac:dyDescent="0.25">
      <c r="A477">
        <v>476</v>
      </c>
      <c r="B477" s="1">
        <v>45549</v>
      </c>
      <c r="C477" t="s">
        <v>20</v>
      </c>
      <c r="D477">
        <v>2150</v>
      </c>
      <c r="E477" t="s">
        <v>12</v>
      </c>
      <c r="F477" t="s">
        <v>21</v>
      </c>
      <c r="G477">
        <f>MONTH(cleaned_personal_finance_data15[[#This Row],[date]])</f>
        <v>9</v>
      </c>
      <c r="H477">
        <f>YEAR(cleaned_personal_finance_data15[[#This Row],[date]])</f>
        <v>2024</v>
      </c>
      <c r="I477" t="s">
        <v>20</v>
      </c>
    </row>
    <row r="478" spans="1:9" hidden="1" x14ac:dyDescent="0.25">
      <c r="A478">
        <v>477</v>
      </c>
      <c r="B478" s="1">
        <v>45549</v>
      </c>
      <c r="C478" t="s">
        <v>221</v>
      </c>
      <c r="D478">
        <v>300</v>
      </c>
      <c r="E478" t="s">
        <v>15</v>
      </c>
      <c r="F478" t="s">
        <v>13</v>
      </c>
      <c r="G478">
        <f>MONTH(cleaned_personal_finance_data15[[#This Row],[date]])</f>
        <v>9</v>
      </c>
      <c r="H478">
        <f>YEAR(cleaned_personal_finance_data15[[#This Row],[date]])</f>
        <v>2024</v>
      </c>
      <c r="I478" t="s">
        <v>323</v>
      </c>
    </row>
    <row r="479" spans="1:9" hidden="1" x14ac:dyDescent="0.25">
      <c r="A479">
        <v>478</v>
      </c>
      <c r="B479" s="1">
        <v>45551</v>
      </c>
      <c r="C479" t="s">
        <v>222</v>
      </c>
      <c r="D479">
        <v>20</v>
      </c>
      <c r="E479" t="s">
        <v>15</v>
      </c>
      <c r="F479" t="s">
        <v>13</v>
      </c>
      <c r="G479">
        <f>MONTH(cleaned_personal_finance_data15[[#This Row],[date]])</f>
        <v>9</v>
      </c>
      <c r="H479">
        <f>YEAR(cleaned_personal_finance_data15[[#This Row],[date]])</f>
        <v>2024</v>
      </c>
      <c r="I479" t="s">
        <v>43</v>
      </c>
    </row>
    <row r="480" spans="1:9" hidden="1" x14ac:dyDescent="0.25">
      <c r="A480">
        <v>479</v>
      </c>
      <c r="B480" s="1">
        <v>45552</v>
      </c>
      <c r="C480" t="s">
        <v>222</v>
      </c>
      <c r="D480">
        <v>20</v>
      </c>
      <c r="E480" t="s">
        <v>15</v>
      </c>
      <c r="F480" t="s">
        <v>13</v>
      </c>
      <c r="G480">
        <f>MONTH(cleaned_personal_finance_data15[[#This Row],[date]])</f>
        <v>9</v>
      </c>
      <c r="H480">
        <f>YEAR(cleaned_personal_finance_data15[[#This Row],[date]])</f>
        <v>2024</v>
      </c>
      <c r="I480" t="s">
        <v>43</v>
      </c>
    </row>
    <row r="481" spans="1:9" hidden="1" x14ac:dyDescent="0.25">
      <c r="A481">
        <v>480</v>
      </c>
      <c r="B481" s="1">
        <v>45552</v>
      </c>
      <c r="C481" t="s">
        <v>223</v>
      </c>
      <c r="D481">
        <v>20</v>
      </c>
      <c r="E481" t="s">
        <v>15</v>
      </c>
      <c r="F481" t="s">
        <v>13</v>
      </c>
      <c r="G481">
        <f>MONTH(cleaned_personal_finance_data15[[#This Row],[date]])</f>
        <v>9</v>
      </c>
      <c r="H481">
        <f>YEAR(cleaned_personal_finance_data15[[#This Row],[date]])</f>
        <v>2024</v>
      </c>
      <c r="I481" t="s">
        <v>43</v>
      </c>
    </row>
    <row r="482" spans="1:9" hidden="1" x14ac:dyDescent="0.25">
      <c r="A482">
        <v>481</v>
      </c>
      <c r="B482" s="1">
        <v>45553</v>
      </c>
      <c r="C482" t="s">
        <v>222</v>
      </c>
      <c r="D482">
        <v>20</v>
      </c>
      <c r="E482" t="s">
        <v>15</v>
      </c>
      <c r="F482" t="s">
        <v>13</v>
      </c>
      <c r="G482">
        <f>MONTH(cleaned_personal_finance_data15[[#This Row],[date]])</f>
        <v>9</v>
      </c>
      <c r="H482">
        <f>YEAR(cleaned_personal_finance_data15[[#This Row],[date]])</f>
        <v>2024</v>
      </c>
      <c r="I482" t="s">
        <v>43</v>
      </c>
    </row>
    <row r="483" spans="1:9" hidden="1" x14ac:dyDescent="0.25">
      <c r="A483">
        <v>482</v>
      </c>
      <c r="B483" s="1">
        <v>45554</v>
      </c>
      <c r="C483" t="s">
        <v>224</v>
      </c>
      <c r="D483">
        <v>35</v>
      </c>
      <c r="E483" t="s">
        <v>15</v>
      </c>
      <c r="F483" t="s">
        <v>13</v>
      </c>
      <c r="G483">
        <f>MONTH(cleaned_personal_finance_data15[[#This Row],[date]])</f>
        <v>9</v>
      </c>
      <c r="H483">
        <f>YEAR(cleaned_personal_finance_data15[[#This Row],[date]])</f>
        <v>2024</v>
      </c>
      <c r="I483" t="s">
        <v>224</v>
      </c>
    </row>
    <row r="484" spans="1:9" hidden="1" x14ac:dyDescent="0.25">
      <c r="A484">
        <v>483</v>
      </c>
      <c r="B484" s="1">
        <v>45554</v>
      </c>
      <c r="C484" t="s">
        <v>32</v>
      </c>
      <c r="D484">
        <v>20</v>
      </c>
      <c r="E484" t="s">
        <v>15</v>
      </c>
      <c r="F484" t="s">
        <v>13</v>
      </c>
      <c r="G484">
        <f>MONTH(cleaned_personal_finance_data15[[#This Row],[date]])</f>
        <v>9</v>
      </c>
      <c r="H484">
        <f>YEAR(cleaned_personal_finance_data15[[#This Row],[date]])</f>
        <v>2024</v>
      </c>
      <c r="I484" t="s">
        <v>32</v>
      </c>
    </row>
    <row r="485" spans="1:9" hidden="1" x14ac:dyDescent="0.25">
      <c r="A485">
        <v>484</v>
      </c>
      <c r="B485" s="1">
        <v>45554</v>
      </c>
      <c r="C485" t="s">
        <v>106</v>
      </c>
      <c r="D485">
        <v>55</v>
      </c>
      <c r="E485" t="s">
        <v>15</v>
      </c>
      <c r="F485" t="s">
        <v>13</v>
      </c>
      <c r="G485">
        <f>MONTH(cleaned_personal_finance_data15[[#This Row],[date]])</f>
        <v>9</v>
      </c>
      <c r="H485">
        <f>YEAR(cleaned_personal_finance_data15[[#This Row],[date]])</f>
        <v>2024</v>
      </c>
      <c r="I485" t="s">
        <v>106</v>
      </c>
    </row>
    <row r="486" spans="1:9" hidden="1" x14ac:dyDescent="0.25">
      <c r="A486">
        <v>485</v>
      </c>
      <c r="B486" s="1">
        <v>45555</v>
      </c>
      <c r="C486" t="s">
        <v>50</v>
      </c>
      <c r="D486">
        <v>700</v>
      </c>
      <c r="E486" t="s">
        <v>15</v>
      </c>
      <c r="F486" t="s">
        <v>21</v>
      </c>
      <c r="G486">
        <f>MONTH(cleaned_personal_finance_data15[[#This Row],[date]])</f>
        <v>9</v>
      </c>
      <c r="H486">
        <f>YEAR(cleaned_personal_finance_data15[[#This Row],[date]])</f>
        <v>2024</v>
      </c>
      <c r="I486" t="s">
        <v>50</v>
      </c>
    </row>
    <row r="487" spans="1:9" hidden="1" x14ac:dyDescent="0.25">
      <c r="A487">
        <v>486</v>
      </c>
      <c r="B487" s="1">
        <v>45555</v>
      </c>
      <c r="C487" t="s">
        <v>64</v>
      </c>
      <c r="D487">
        <v>200</v>
      </c>
      <c r="E487" t="s">
        <v>15</v>
      </c>
      <c r="F487" t="s">
        <v>21</v>
      </c>
      <c r="G487">
        <f>MONTH(cleaned_personal_finance_data15[[#This Row],[date]])</f>
        <v>9</v>
      </c>
      <c r="H487">
        <f>YEAR(cleaned_personal_finance_data15[[#This Row],[date]])</f>
        <v>2024</v>
      </c>
      <c r="I487" t="s">
        <v>64</v>
      </c>
    </row>
    <row r="488" spans="1:9" hidden="1" x14ac:dyDescent="0.25">
      <c r="A488">
        <v>487</v>
      </c>
      <c r="B488" s="1">
        <v>45555</v>
      </c>
      <c r="C488" t="s">
        <v>225</v>
      </c>
      <c r="D488">
        <v>450</v>
      </c>
      <c r="E488" t="s">
        <v>15</v>
      </c>
      <c r="F488" t="s">
        <v>13</v>
      </c>
      <c r="G488">
        <f>MONTH(cleaned_personal_finance_data15[[#This Row],[date]])</f>
        <v>9</v>
      </c>
      <c r="H488">
        <f>YEAR(cleaned_personal_finance_data15[[#This Row],[date]])</f>
        <v>2024</v>
      </c>
      <c r="I488" t="s">
        <v>262</v>
      </c>
    </row>
    <row r="489" spans="1:9" hidden="1" x14ac:dyDescent="0.25">
      <c r="A489">
        <v>488</v>
      </c>
      <c r="B489" s="1">
        <v>45555</v>
      </c>
      <c r="C489" t="s">
        <v>214</v>
      </c>
      <c r="D489">
        <v>500</v>
      </c>
      <c r="E489" t="s">
        <v>15</v>
      </c>
      <c r="F489" t="s">
        <v>13</v>
      </c>
      <c r="G489">
        <f>MONTH(cleaned_personal_finance_data15[[#This Row],[date]])</f>
        <v>9</v>
      </c>
      <c r="H489">
        <f>YEAR(cleaned_personal_finance_data15[[#This Row],[date]])</f>
        <v>2024</v>
      </c>
      <c r="I489" t="s">
        <v>214</v>
      </c>
    </row>
    <row r="490" spans="1:9" hidden="1" x14ac:dyDescent="0.25">
      <c r="A490">
        <v>489</v>
      </c>
      <c r="B490" s="1">
        <v>45556</v>
      </c>
      <c r="C490" t="s">
        <v>226</v>
      </c>
      <c r="D490">
        <v>200</v>
      </c>
      <c r="E490" t="s">
        <v>15</v>
      </c>
      <c r="F490" t="s">
        <v>13</v>
      </c>
      <c r="G490">
        <f>MONTH(cleaned_personal_finance_data15[[#This Row],[date]])</f>
        <v>9</v>
      </c>
      <c r="H490">
        <f>YEAR(cleaned_personal_finance_data15[[#This Row],[date]])</f>
        <v>2024</v>
      </c>
      <c r="I490" t="s">
        <v>226</v>
      </c>
    </row>
    <row r="491" spans="1:9" hidden="1" x14ac:dyDescent="0.25">
      <c r="A491">
        <v>490</v>
      </c>
      <c r="B491" s="1">
        <v>45556</v>
      </c>
      <c r="C491" t="s">
        <v>103</v>
      </c>
      <c r="D491">
        <v>260</v>
      </c>
      <c r="E491" t="s">
        <v>15</v>
      </c>
      <c r="F491" t="s">
        <v>13</v>
      </c>
      <c r="G491">
        <f>MONTH(cleaned_personal_finance_data15[[#This Row],[date]])</f>
        <v>9</v>
      </c>
      <c r="H491">
        <f>YEAR(cleaned_personal_finance_data15[[#This Row],[date]])</f>
        <v>2024</v>
      </c>
      <c r="I491" t="s">
        <v>329</v>
      </c>
    </row>
    <row r="492" spans="1:9" hidden="1" x14ac:dyDescent="0.25">
      <c r="A492">
        <v>491</v>
      </c>
      <c r="B492" s="1">
        <v>45557</v>
      </c>
      <c r="C492" t="s">
        <v>34</v>
      </c>
      <c r="D492">
        <v>129</v>
      </c>
      <c r="E492" t="s">
        <v>15</v>
      </c>
      <c r="F492" t="s">
        <v>21</v>
      </c>
      <c r="G492">
        <f>MONTH(cleaned_personal_finance_data15[[#This Row],[date]])</f>
        <v>9</v>
      </c>
      <c r="H492">
        <f>YEAR(cleaned_personal_finance_data15[[#This Row],[date]])</f>
        <v>2024</v>
      </c>
      <c r="I492" t="s">
        <v>34</v>
      </c>
    </row>
    <row r="493" spans="1:9" hidden="1" x14ac:dyDescent="0.25">
      <c r="A493">
        <v>492</v>
      </c>
      <c r="B493" s="1">
        <v>45559</v>
      </c>
      <c r="C493" t="s">
        <v>207</v>
      </c>
      <c r="D493">
        <v>100</v>
      </c>
      <c r="E493" t="s">
        <v>15</v>
      </c>
      <c r="F493" t="s">
        <v>13</v>
      </c>
      <c r="G493">
        <f>MONTH(cleaned_personal_finance_data15[[#This Row],[date]])</f>
        <v>9</v>
      </c>
      <c r="H493">
        <f>YEAR(cleaned_personal_finance_data15[[#This Row],[date]])</f>
        <v>2024</v>
      </c>
      <c r="I493" t="s">
        <v>207</v>
      </c>
    </row>
    <row r="494" spans="1:9" hidden="1" x14ac:dyDescent="0.25">
      <c r="A494">
        <v>493</v>
      </c>
      <c r="B494" s="1">
        <v>45560</v>
      </c>
      <c r="C494" t="s">
        <v>218</v>
      </c>
      <c r="D494">
        <v>30</v>
      </c>
      <c r="E494" t="s">
        <v>15</v>
      </c>
      <c r="F494" t="s">
        <v>13</v>
      </c>
      <c r="G494">
        <f>MONTH(cleaned_personal_finance_data15[[#This Row],[date]])</f>
        <v>9</v>
      </c>
      <c r="H494">
        <f>YEAR(cleaned_personal_finance_data15[[#This Row],[date]])</f>
        <v>2024</v>
      </c>
      <c r="I494" t="s">
        <v>218</v>
      </c>
    </row>
    <row r="495" spans="1:9" hidden="1" x14ac:dyDescent="0.25">
      <c r="A495">
        <v>494</v>
      </c>
      <c r="B495" s="1">
        <v>45561</v>
      </c>
      <c r="C495" t="s">
        <v>6</v>
      </c>
      <c r="D495">
        <v>13202</v>
      </c>
      <c r="E495" t="s">
        <v>7</v>
      </c>
      <c r="F495" t="s">
        <v>13</v>
      </c>
      <c r="G495">
        <f>MONTH(cleaned_personal_finance_data15[[#This Row],[date]])</f>
        <v>9</v>
      </c>
      <c r="H495">
        <f>YEAR(cleaned_personal_finance_data15[[#This Row],[date]])</f>
        <v>2024</v>
      </c>
      <c r="I495" t="s">
        <v>318</v>
      </c>
    </row>
    <row r="496" spans="1:9" hidden="1" x14ac:dyDescent="0.25">
      <c r="A496">
        <v>495</v>
      </c>
      <c r="B496" s="1">
        <v>45562</v>
      </c>
      <c r="C496" t="s">
        <v>227</v>
      </c>
      <c r="D496">
        <v>500</v>
      </c>
      <c r="E496" t="s">
        <v>12</v>
      </c>
      <c r="F496" t="s">
        <v>21</v>
      </c>
      <c r="G496">
        <f>MONTH(cleaned_personal_finance_data15[[#This Row],[date]])</f>
        <v>9</v>
      </c>
      <c r="H496">
        <f>YEAR(cleaned_personal_finance_data15[[#This Row],[date]])</f>
        <v>2024</v>
      </c>
      <c r="I496" t="s">
        <v>319</v>
      </c>
    </row>
    <row r="497" spans="1:9" hidden="1" x14ac:dyDescent="0.25">
      <c r="A497">
        <v>496</v>
      </c>
      <c r="B497" s="1">
        <v>45563</v>
      </c>
      <c r="C497" t="s">
        <v>127</v>
      </c>
      <c r="D497">
        <v>80</v>
      </c>
      <c r="E497" t="s">
        <v>15</v>
      </c>
      <c r="F497" t="s">
        <v>13</v>
      </c>
      <c r="G497">
        <f>MONTH(cleaned_personal_finance_data15[[#This Row],[date]])</f>
        <v>9</v>
      </c>
      <c r="H497">
        <f>YEAR(cleaned_personal_finance_data15[[#This Row],[date]])</f>
        <v>2024</v>
      </c>
      <c r="I497" t="s">
        <v>262</v>
      </c>
    </row>
    <row r="498" spans="1:9" hidden="1" x14ac:dyDescent="0.25">
      <c r="A498">
        <v>497</v>
      </c>
      <c r="B498" s="1">
        <v>45565</v>
      </c>
      <c r="C498" t="s">
        <v>228</v>
      </c>
      <c r="D498">
        <v>100</v>
      </c>
      <c r="E498" t="s">
        <v>15</v>
      </c>
      <c r="F498" t="s">
        <v>13</v>
      </c>
      <c r="G498">
        <f>MONTH(cleaned_personal_finance_data15[[#This Row],[date]])</f>
        <v>9</v>
      </c>
      <c r="H498">
        <f>YEAR(cleaned_personal_finance_data15[[#This Row],[date]])</f>
        <v>2024</v>
      </c>
      <c r="I498" t="s">
        <v>228</v>
      </c>
    </row>
    <row r="499" spans="1:9" hidden="1" x14ac:dyDescent="0.25">
      <c r="A499">
        <v>498</v>
      </c>
      <c r="B499" s="1">
        <v>45569</v>
      </c>
      <c r="C499" t="s">
        <v>227</v>
      </c>
      <c r="D499">
        <v>1365</v>
      </c>
      <c r="E499" t="s">
        <v>15</v>
      </c>
      <c r="F499" t="s">
        <v>13</v>
      </c>
      <c r="G499">
        <f>MONTH(cleaned_personal_finance_data15[[#This Row],[date]])</f>
        <v>10</v>
      </c>
      <c r="H499">
        <f>YEAR(cleaned_personal_finance_data15[[#This Row],[date]])</f>
        <v>2024</v>
      </c>
      <c r="I499" t="s">
        <v>319</v>
      </c>
    </row>
    <row r="500" spans="1:9" hidden="1" x14ac:dyDescent="0.25">
      <c r="A500">
        <v>499</v>
      </c>
      <c r="B500" s="1">
        <v>45569</v>
      </c>
      <c r="C500" t="s">
        <v>51</v>
      </c>
      <c r="D500">
        <v>30</v>
      </c>
      <c r="E500" t="s">
        <v>15</v>
      </c>
      <c r="F500" t="s">
        <v>13</v>
      </c>
      <c r="G500">
        <f>MONTH(cleaned_personal_finance_data15[[#This Row],[date]])</f>
        <v>10</v>
      </c>
      <c r="H500">
        <f>YEAR(cleaned_personal_finance_data15[[#This Row],[date]])</f>
        <v>2024</v>
      </c>
      <c r="I500" t="s">
        <v>43</v>
      </c>
    </row>
    <row r="501" spans="1:9" hidden="1" x14ac:dyDescent="0.25">
      <c r="A501">
        <v>500</v>
      </c>
      <c r="B501" s="1">
        <v>45569</v>
      </c>
      <c r="C501" t="s">
        <v>67</v>
      </c>
      <c r="D501">
        <v>20</v>
      </c>
      <c r="E501" t="s">
        <v>15</v>
      </c>
      <c r="F501" t="s">
        <v>13</v>
      </c>
      <c r="G501">
        <f>MONTH(cleaned_personal_finance_data15[[#This Row],[date]])</f>
        <v>10</v>
      </c>
      <c r="H501">
        <f>YEAR(cleaned_personal_finance_data15[[#This Row],[date]])</f>
        <v>2024</v>
      </c>
      <c r="I501" t="s">
        <v>67</v>
      </c>
    </row>
    <row r="502" spans="1:9" hidden="1" x14ac:dyDescent="0.25">
      <c r="A502">
        <v>501</v>
      </c>
      <c r="B502" s="1">
        <v>45569</v>
      </c>
      <c r="C502" t="s">
        <v>66</v>
      </c>
      <c r="D502">
        <v>10</v>
      </c>
      <c r="E502" t="s">
        <v>15</v>
      </c>
      <c r="F502" t="s">
        <v>13</v>
      </c>
      <c r="G502">
        <f>MONTH(cleaned_personal_finance_data15[[#This Row],[date]])</f>
        <v>10</v>
      </c>
      <c r="H502">
        <f>YEAR(cleaned_personal_finance_data15[[#This Row],[date]])</f>
        <v>2024</v>
      </c>
      <c r="I502" t="s">
        <v>66</v>
      </c>
    </row>
    <row r="503" spans="1:9" hidden="1" x14ac:dyDescent="0.25">
      <c r="A503">
        <v>502</v>
      </c>
      <c r="B503" s="1">
        <v>45569</v>
      </c>
      <c r="C503" t="s">
        <v>80</v>
      </c>
      <c r="D503">
        <v>120</v>
      </c>
      <c r="E503" t="s">
        <v>15</v>
      </c>
      <c r="F503" t="s">
        <v>13</v>
      </c>
      <c r="G503">
        <f>MONTH(cleaned_personal_finance_data15[[#This Row],[date]])</f>
        <v>10</v>
      </c>
      <c r="H503">
        <f>YEAR(cleaned_personal_finance_data15[[#This Row],[date]])</f>
        <v>2024</v>
      </c>
      <c r="I503" t="s">
        <v>43</v>
      </c>
    </row>
    <row r="504" spans="1:9" hidden="1" x14ac:dyDescent="0.25">
      <c r="A504">
        <v>503</v>
      </c>
      <c r="B504" s="1">
        <v>45569</v>
      </c>
      <c r="C504" t="s">
        <v>54</v>
      </c>
      <c r="D504">
        <v>218</v>
      </c>
      <c r="E504" t="s">
        <v>15</v>
      </c>
      <c r="F504" t="s">
        <v>13</v>
      </c>
      <c r="G504">
        <f>MONTH(cleaned_personal_finance_data15[[#This Row],[date]])</f>
        <v>10</v>
      </c>
      <c r="H504">
        <f>YEAR(cleaned_personal_finance_data15[[#This Row],[date]])</f>
        <v>2024</v>
      </c>
      <c r="I504" t="s">
        <v>54</v>
      </c>
    </row>
    <row r="505" spans="1:9" hidden="1" x14ac:dyDescent="0.25">
      <c r="A505">
        <v>504</v>
      </c>
      <c r="B505" s="1">
        <v>45569</v>
      </c>
      <c r="C505" t="s">
        <v>227</v>
      </c>
      <c r="D505">
        <v>855</v>
      </c>
      <c r="E505" t="s">
        <v>12</v>
      </c>
      <c r="F505" t="s">
        <v>21</v>
      </c>
      <c r="G505">
        <f>MONTH(cleaned_personal_finance_data15[[#This Row],[date]])</f>
        <v>10</v>
      </c>
      <c r="H505">
        <f>YEAR(cleaned_personal_finance_data15[[#This Row],[date]])</f>
        <v>2024</v>
      </c>
      <c r="I505" t="s">
        <v>319</v>
      </c>
    </row>
    <row r="506" spans="1:9" hidden="1" x14ac:dyDescent="0.25">
      <c r="A506">
        <v>505</v>
      </c>
      <c r="B506" s="1">
        <v>45570</v>
      </c>
      <c r="C506" t="s">
        <v>229</v>
      </c>
      <c r="D506">
        <v>45</v>
      </c>
      <c r="E506" t="s">
        <v>15</v>
      </c>
      <c r="F506" t="s">
        <v>13</v>
      </c>
      <c r="G506">
        <f>MONTH(cleaned_personal_finance_data15[[#This Row],[date]])</f>
        <v>10</v>
      </c>
      <c r="H506">
        <f>YEAR(cleaned_personal_finance_data15[[#This Row],[date]])</f>
        <v>2024</v>
      </c>
      <c r="I506" t="s">
        <v>229</v>
      </c>
    </row>
    <row r="507" spans="1:9" hidden="1" x14ac:dyDescent="0.25">
      <c r="A507">
        <v>506</v>
      </c>
      <c r="B507" s="1">
        <v>45570</v>
      </c>
      <c r="C507" t="s">
        <v>129</v>
      </c>
      <c r="D507">
        <v>13</v>
      </c>
      <c r="E507" t="s">
        <v>15</v>
      </c>
      <c r="F507" t="s">
        <v>13</v>
      </c>
      <c r="G507">
        <f>MONTH(cleaned_personal_finance_data15[[#This Row],[date]])</f>
        <v>10</v>
      </c>
      <c r="H507">
        <f>YEAR(cleaned_personal_finance_data15[[#This Row],[date]])</f>
        <v>2024</v>
      </c>
      <c r="I507" t="s">
        <v>43</v>
      </c>
    </row>
    <row r="508" spans="1:9" hidden="1" x14ac:dyDescent="0.25">
      <c r="A508">
        <v>507</v>
      </c>
      <c r="B508" s="1">
        <v>45570</v>
      </c>
      <c r="C508" t="s">
        <v>85</v>
      </c>
      <c r="D508">
        <v>290</v>
      </c>
      <c r="E508" t="s">
        <v>15</v>
      </c>
      <c r="F508" t="s">
        <v>13</v>
      </c>
      <c r="G508">
        <f>MONTH(cleaned_personal_finance_data15[[#This Row],[date]])</f>
        <v>10</v>
      </c>
      <c r="H508">
        <f>YEAR(cleaned_personal_finance_data15[[#This Row],[date]])</f>
        <v>2024</v>
      </c>
      <c r="I508" t="s">
        <v>85</v>
      </c>
    </row>
    <row r="509" spans="1:9" hidden="1" x14ac:dyDescent="0.25">
      <c r="A509">
        <v>508</v>
      </c>
      <c r="B509" s="1">
        <v>45570</v>
      </c>
      <c r="C509" t="s">
        <v>61</v>
      </c>
      <c r="D509">
        <v>120</v>
      </c>
      <c r="E509" t="s">
        <v>15</v>
      </c>
      <c r="F509" t="s">
        <v>13</v>
      </c>
      <c r="G509">
        <f>MONTH(cleaned_personal_finance_data15[[#This Row],[date]])</f>
        <v>10</v>
      </c>
      <c r="H509">
        <f>YEAR(cleaned_personal_finance_data15[[#This Row],[date]])</f>
        <v>2024</v>
      </c>
      <c r="I509" t="s">
        <v>43</v>
      </c>
    </row>
    <row r="510" spans="1:9" hidden="1" x14ac:dyDescent="0.25">
      <c r="A510">
        <v>509</v>
      </c>
      <c r="B510" s="1">
        <v>45570</v>
      </c>
      <c r="C510" t="s">
        <v>76</v>
      </c>
      <c r="D510">
        <v>50</v>
      </c>
      <c r="E510" t="s">
        <v>15</v>
      </c>
      <c r="F510" t="s">
        <v>13</v>
      </c>
      <c r="G510">
        <f>MONTH(cleaned_personal_finance_data15[[#This Row],[date]])</f>
        <v>10</v>
      </c>
      <c r="H510">
        <f>YEAR(cleaned_personal_finance_data15[[#This Row],[date]])</f>
        <v>2024</v>
      </c>
      <c r="I510" t="s">
        <v>43</v>
      </c>
    </row>
    <row r="511" spans="1:9" hidden="1" x14ac:dyDescent="0.25">
      <c r="A511">
        <v>510</v>
      </c>
      <c r="B511" s="1">
        <v>45570</v>
      </c>
      <c r="C511" t="s">
        <v>184</v>
      </c>
      <c r="D511">
        <v>125</v>
      </c>
      <c r="E511" t="s">
        <v>15</v>
      </c>
      <c r="F511" t="s">
        <v>21</v>
      </c>
      <c r="G511">
        <f>MONTH(cleaned_personal_finance_data15[[#This Row],[date]])</f>
        <v>10</v>
      </c>
      <c r="H511">
        <f>YEAR(cleaned_personal_finance_data15[[#This Row],[date]])</f>
        <v>2024</v>
      </c>
      <c r="I511" t="s">
        <v>28</v>
      </c>
    </row>
    <row r="512" spans="1:9" hidden="1" x14ac:dyDescent="0.25">
      <c r="A512">
        <v>511</v>
      </c>
      <c r="B512" s="1">
        <v>45570</v>
      </c>
      <c r="C512" t="s">
        <v>28</v>
      </c>
      <c r="D512">
        <v>50</v>
      </c>
      <c r="E512" t="s">
        <v>15</v>
      </c>
      <c r="F512" t="s">
        <v>21</v>
      </c>
      <c r="G512">
        <f>MONTH(cleaned_personal_finance_data15[[#This Row],[date]])</f>
        <v>10</v>
      </c>
      <c r="H512">
        <f>YEAR(cleaned_personal_finance_data15[[#This Row],[date]])</f>
        <v>2024</v>
      </c>
      <c r="I512" t="s">
        <v>28</v>
      </c>
    </row>
    <row r="513" spans="1:9" hidden="1" x14ac:dyDescent="0.25">
      <c r="A513">
        <v>512</v>
      </c>
      <c r="B513" s="1">
        <v>45571</v>
      </c>
      <c r="C513" t="s">
        <v>24</v>
      </c>
      <c r="D513">
        <v>239</v>
      </c>
      <c r="E513" t="s">
        <v>15</v>
      </c>
      <c r="F513" t="s">
        <v>21</v>
      </c>
      <c r="G513">
        <f>MONTH(cleaned_personal_finance_data15[[#This Row],[date]])</f>
        <v>10</v>
      </c>
      <c r="H513">
        <f>YEAR(cleaned_personal_finance_data15[[#This Row],[date]])</f>
        <v>2024</v>
      </c>
      <c r="I513" t="s">
        <v>24</v>
      </c>
    </row>
    <row r="514" spans="1:9" hidden="1" x14ac:dyDescent="0.25">
      <c r="A514">
        <v>513</v>
      </c>
      <c r="B514" s="1">
        <v>45573</v>
      </c>
      <c r="C514" t="s">
        <v>230</v>
      </c>
      <c r="D514">
        <v>500</v>
      </c>
      <c r="E514" t="s">
        <v>15</v>
      </c>
      <c r="F514" t="s">
        <v>13</v>
      </c>
      <c r="G514">
        <f>MONTH(cleaned_personal_finance_data15[[#This Row],[date]])</f>
        <v>10</v>
      </c>
      <c r="H514">
        <f>YEAR(cleaned_personal_finance_data15[[#This Row],[date]])</f>
        <v>2024</v>
      </c>
      <c r="I514" t="s">
        <v>230</v>
      </c>
    </row>
    <row r="515" spans="1:9" hidden="1" x14ac:dyDescent="0.25">
      <c r="A515">
        <v>514</v>
      </c>
      <c r="B515" s="1">
        <v>45575</v>
      </c>
      <c r="C515" t="s">
        <v>218</v>
      </c>
      <c r="D515">
        <v>35</v>
      </c>
      <c r="E515" t="s">
        <v>15</v>
      </c>
      <c r="F515" t="s">
        <v>13</v>
      </c>
      <c r="G515">
        <f>MONTH(cleaned_personal_finance_data15[[#This Row],[date]])</f>
        <v>10</v>
      </c>
      <c r="H515">
        <f>YEAR(cleaned_personal_finance_data15[[#This Row],[date]])</f>
        <v>2024</v>
      </c>
      <c r="I515" t="s">
        <v>218</v>
      </c>
    </row>
    <row r="516" spans="1:9" hidden="1" x14ac:dyDescent="0.25">
      <c r="A516">
        <v>515</v>
      </c>
      <c r="B516" s="1">
        <v>45575</v>
      </c>
      <c r="C516" t="s">
        <v>64</v>
      </c>
      <c r="D516">
        <v>199</v>
      </c>
      <c r="E516" t="s">
        <v>15</v>
      </c>
      <c r="F516" t="s">
        <v>21</v>
      </c>
      <c r="G516">
        <f>MONTH(cleaned_personal_finance_data15[[#This Row],[date]])</f>
        <v>10</v>
      </c>
      <c r="H516">
        <f>YEAR(cleaned_personal_finance_data15[[#This Row],[date]])</f>
        <v>2024</v>
      </c>
      <c r="I516" t="s">
        <v>64</v>
      </c>
    </row>
    <row r="517" spans="1:9" hidden="1" x14ac:dyDescent="0.25">
      <c r="A517">
        <v>516</v>
      </c>
      <c r="B517" s="1">
        <v>45578</v>
      </c>
      <c r="C517" t="s">
        <v>231</v>
      </c>
      <c r="D517">
        <v>1021</v>
      </c>
      <c r="E517" t="s">
        <v>7</v>
      </c>
      <c r="F517" t="s">
        <v>8</v>
      </c>
      <c r="G517">
        <f>MONTH(cleaned_personal_finance_data15[[#This Row],[date]])</f>
        <v>10</v>
      </c>
      <c r="H517">
        <f>YEAR(cleaned_personal_finance_data15[[#This Row],[date]])</f>
        <v>2024</v>
      </c>
      <c r="I517" t="s">
        <v>231</v>
      </c>
    </row>
    <row r="518" spans="1:9" hidden="1" x14ac:dyDescent="0.25">
      <c r="A518">
        <v>517</v>
      </c>
      <c r="B518" s="1">
        <v>45578</v>
      </c>
      <c r="C518" t="s">
        <v>232</v>
      </c>
      <c r="D518">
        <v>3150</v>
      </c>
      <c r="E518" t="s">
        <v>15</v>
      </c>
      <c r="F518" t="s">
        <v>13</v>
      </c>
      <c r="G518">
        <f>MONTH(cleaned_personal_finance_data15[[#This Row],[date]])</f>
        <v>10</v>
      </c>
      <c r="H518">
        <f>YEAR(cleaned_personal_finance_data15[[#This Row],[date]])</f>
        <v>2024</v>
      </c>
      <c r="I518" t="s">
        <v>159</v>
      </c>
    </row>
    <row r="519" spans="1:9" hidden="1" x14ac:dyDescent="0.25">
      <c r="A519">
        <v>518</v>
      </c>
      <c r="B519" s="1">
        <v>45578</v>
      </c>
      <c r="C519" t="s">
        <v>233</v>
      </c>
      <c r="D519">
        <v>5000</v>
      </c>
      <c r="E519" t="s">
        <v>15</v>
      </c>
      <c r="F519" t="s">
        <v>13</v>
      </c>
      <c r="G519">
        <f>MONTH(cleaned_personal_finance_data15[[#This Row],[date]])</f>
        <v>10</v>
      </c>
      <c r="H519">
        <f>YEAR(cleaned_personal_finance_data15[[#This Row],[date]])</f>
        <v>2024</v>
      </c>
      <c r="I519" t="s">
        <v>145</v>
      </c>
    </row>
    <row r="520" spans="1:9" hidden="1" x14ac:dyDescent="0.25">
      <c r="A520">
        <v>519</v>
      </c>
      <c r="B520" s="1">
        <v>45578</v>
      </c>
      <c r="C520" t="s">
        <v>234</v>
      </c>
      <c r="D520">
        <v>1750</v>
      </c>
      <c r="E520" t="s">
        <v>15</v>
      </c>
      <c r="F520" t="s">
        <v>13</v>
      </c>
      <c r="G520">
        <f>MONTH(cleaned_personal_finance_data15[[#This Row],[date]])</f>
        <v>10</v>
      </c>
      <c r="H520">
        <f>YEAR(cleaned_personal_finance_data15[[#This Row],[date]])</f>
        <v>2024</v>
      </c>
      <c r="I520" t="s">
        <v>323</v>
      </c>
    </row>
    <row r="521" spans="1:9" hidden="1" x14ac:dyDescent="0.25">
      <c r="A521">
        <v>520</v>
      </c>
      <c r="B521" s="1">
        <v>45579</v>
      </c>
      <c r="C521" t="s">
        <v>235</v>
      </c>
      <c r="D521">
        <v>20</v>
      </c>
      <c r="E521" t="s">
        <v>15</v>
      </c>
      <c r="F521" t="s">
        <v>13</v>
      </c>
      <c r="G521">
        <f>MONTH(cleaned_personal_finance_data15[[#This Row],[date]])</f>
        <v>10</v>
      </c>
      <c r="H521">
        <f>YEAR(cleaned_personal_finance_data15[[#This Row],[date]])</f>
        <v>2024</v>
      </c>
      <c r="I521" t="s">
        <v>43</v>
      </c>
    </row>
    <row r="522" spans="1:9" hidden="1" x14ac:dyDescent="0.25">
      <c r="A522">
        <v>521</v>
      </c>
      <c r="B522" s="1">
        <v>45579</v>
      </c>
      <c r="C522" t="s">
        <v>218</v>
      </c>
      <c r="D522">
        <v>15</v>
      </c>
      <c r="E522" t="s">
        <v>15</v>
      </c>
      <c r="F522" t="s">
        <v>13</v>
      </c>
      <c r="G522">
        <f>MONTH(cleaned_personal_finance_data15[[#This Row],[date]])</f>
        <v>10</v>
      </c>
      <c r="H522">
        <f>YEAR(cleaned_personal_finance_data15[[#This Row],[date]])</f>
        <v>2024</v>
      </c>
      <c r="I522" t="s">
        <v>218</v>
      </c>
    </row>
    <row r="523" spans="1:9" hidden="1" x14ac:dyDescent="0.25">
      <c r="A523">
        <v>522</v>
      </c>
      <c r="B523" s="1">
        <v>45579</v>
      </c>
      <c r="C523" t="s">
        <v>6</v>
      </c>
      <c r="D523">
        <v>13240</v>
      </c>
      <c r="E523" t="s">
        <v>7</v>
      </c>
      <c r="F523" t="s">
        <v>8</v>
      </c>
      <c r="G523">
        <f>MONTH(cleaned_personal_finance_data15[[#This Row],[date]])</f>
        <v>10</v>
      </c>
      <c r="H523">
        <f>YEAR(cleaned_personal_finance_data15[[#This Row],[date]])</f>
        <v>2024</v>
      </c>
      <c r="I523" t="s">
        <v>318</v>
      </c>
    </row>
    <row r="524" spans="1:9" hidden="1" x14ac:dyDescent="0.25">
      <c r="A524">
        <v>523</v>
      </c>
      <c r="B524" s="1">
        <v>45581</v>
      </c>
      <c r="C524" t="s">
        <v>218</v>
      </c>
      <c r="D524">
        <v>45</v>
      </c>
      <c r="E524" t="s">
        <v>15</v>
      </c>
      <c r="F524" t="s">
        <v>13</v>
      </c>
      <c r="G524">
        <f>MONTH(cleaned_personal_finance_data15[[#This Row],[date]])</f>
        <v>10</v>
      </c>
      <c r="H524">
        <f>YEAR(cleaned_personal_finance_data15[[#This Row],[date]])</f>
        <v>2024</v>
      </c>
      <c r="I524" t="s">
        <v>218</v>
      </c>
    </row>
    <row r="525" spans="1:9" hidden="1" x14ac:dyDescent="0.25">
      <c r="A525">
        <v>524</v>
      </c>
      <c r="B525" s="1">
        <v>45581</v>
      </c>
      <c r="C525" t="s">
        <v>236</v>
      </c>
      <c r="D525">
        <v>50</v>
      </c>
      <c r="E525" t="s">
        <v>15</v>
      </c>
      <c r="F525" t="s">
        <v>13</v>
      </c>
      <c r="G525">
        <f>MONTH(cleaned_personal_finance_data15[[#This Row],[date]])</f>
        <v>10</v>
      </c>
      <c r="H525">
        <f>YEAR(cleaned_personal_finance_data15[[#This Row],[date]])</f>
        <v>2024</v>
      </c>
      <c r="I525" t="s">
        <v>236</v>
      </c>
    </row>
    <row r="526" spans="1:9" hidden="1" x14ac:dyDescent="0.25">
      <c r="A526">
        <v>525</v>
      </c>
      <c r="B526" s="1">
        <v>45581</v>
      </c>
      <c r="C526" t="s">
        <v>184</v>
      </c>
      <c r="D526">
        <v>125</v>
      </c>
      <c r="E526" t="s">
        <v>15</v>
      </c>
      <c r="F526" t="s">
        <v>21</v>
      </c>
      <c r="G526">
        <f>MONTH(cleaned_personal_finance_data15[[#This Row],[date]])</f>
        <v>10</v>
      </c>
      <c r="H526">
        <f>YEAR(cleaned_personal_finance_data15[[#This Row],[date]])</f>
        <v>2024</v>
      </c>
      <c r="I526" t="s">
        <v>28</v>
      </c>
    </row>
    <row r="527" spans="1:9" hidden="1" x14ac:dyDescent="0.25">
      <c r="A527">
        <v>526</v>
      </c>
      <c r="B527" s="1">
        <v>45583</v>
      </c>
      <c r="C527" t="s">
        <v>64</v>
      </c>
      <c r="D527">
        <v>199</v>
      </c>
      <c r="E527" t="s">
        <v>15</v>
      </c>
      <c r="F527" t="s">
        <v>21</v>
      </c>
      <c r="G527">
        <f>MONTH(cleaned_personal_finance_data15[[#This Row],[date]])</f>
        <v>10</v>
      </c>
      <c r="H527">
        <f>YEAR(cleaned_personal_finance_data15[[#This Row],[date]])</f>
        <v>2024</v>
      </c>
      <c r="I527" t="s">
        <v>64</v>
      </c>
    </row>
    <row r="528" spans="1:9" hidden="1" x14ac:dyDescent="0.25">
      <c r="A528">
        <v>527</v>
      </c>
      <c r="B528" s="1">
        <v>45584</v>
      </c>
      <c r="C528" t="s">
        <v>28</v>
      </c>
      <c r="D528">
        <v>125</v>
      </c>
      <c r="E528" t="s">
        <v>15</v>
      </c>
      <c r="F528" t="s">
        <v>21</v>
      </c>
      <c r="G528">
        <f>MONTH(cleaned_personal_finance_data15[[#This Row],[date]])</f>
        <v>10</v>
      </c>
      <c r="H528">
        <f>YEAR(cleaned_personal_finance_data15[[#This Row],[date]])</f>
        <v>2024</v>
      </c>
      <c r="I528" t="s">
        <v>28</v>
      </c>
    </row>
    <row r="529" spans="1:9" hidden="1" x14ac:dyDescent="0.25">
      <c r="A529">
        <v>528</v>
      </c>
      <c r="B529" s="1">
        <v>45587</v>
      </c>
      <c r="C529" t="s">
        <v>103</v>
      </c>
      <c r="D529">
        <v>260</v>
      </c>
      <c r="E529" t="s">
        <v>15</v>
      </c>
      <c r="F529" t="s">
        <v>13</v>
      </c>
      <c r="G529">
        <f>MONTH(cleaned_personal_finance_data15[[#This Row],[date]])</f>
        <v>10</v>
      </c>
      <c r="H529">
        <f>YEAR(cleaned_personal_finance_data15[[#This Row],[date]])</f>
        <v>2024</v>
      </c>
      <c r="I529" t="s">
        <v>329</v>
      </c>
    </row>
    <row r="530" spans="1:9" hidden="1" x14ac:dyDescent="0.25">
      <c r="A530">
        <v>529</v>
      </c>
      <c r="B530" s="1">
        <v>45587</v>
      </c>
      <c r="C530" t="s">
        <v>34</v>
      </c>
      <c r="D530">
        <v>129</v>
      </c>
      <c r="E530" t="s">
        <v>15</v>
      </c>
      <c r="F530" t="s">
        <v>21</v>
      </c>
      <c r="G530">
        <f>MONTH(cleaned_personal_finance_data15[[#This Row],[date]])</f>
        <v>10</v>
      </c>
      <c r="H530">
        <f>YEAR(cleaned_personal_finance_data15[[#This Row],[date]])</f>
        <v>2024</v>
      </c>
      <c r="I530" t="s">
        <v>34</v>
      </c>
    </row>
    <row r="531" spans="1:9" hidden="1" x14ac:dyDescent="0.25">
      <c r="A531">
        <v>530</v>
      </c>
      <c r="B531" s="1">
        <v>45588</v>
      </c>
      <c r="C531" t="s">
        <v>237</v>
      </c>
      <c r="D531">
        <v>8</v>
      </c>
      <c r="E531" t="s">
        <v>15</v>
      </c>
      <c r="F531" t="s">
        <v>13</v>
      </c>
      <c r="G531">
        <f>MONTH(cleaned_personal_finance_data15[[#This Row],[date]])</f>
        <v>10</v>
      </c>
      <c r="H531">
        <f>YEAR(cleaned_personal_finance_data15[[#This Row],[date]])</f>
        <v>2024</v>
      </c>
      <c r="I531" t="s">
        <v>237</v>
      </c>
    </row>
    <row r="532" spans="1:9" hidden="1" x14ac:dyDescent="0.25">
      <c r="A532">
        <v>531</v>
      </c>
      <c r="B532" s="1">
        <v>45588</v>
      </c>
      <c r="C532" t="s">
        <v>28</v>
      </c>
      <c r="D532">
        <v>125</v>
      </c>
      <c r="E532" t="s">
        <v>15</v>
      </c>
      <c r="F532" t="s">
        <v>21</v>
      </c>
      <c r="G532">
        <f>MONTH(cleaned_personal_finance_data15[[#This Row],[date]])</f>
        <v>10</v>
      </c>
      <c r="H532">
        <f>YEAR(cleaned_personal_finance_data15[[#This Row],[date]])</f>
        <v>2024</v>
      </c>
      <c r="I532" t="s">
        <v>28</v>
      </c>
    </row>
    <row r="533" spans="1:9" hidden="1" x14ac:dyDescent="0.25">
      <c r="A533">
        <v>532</v>
      </c>
      <c r="B533" s="1">
        <v>45589</v>
      </c>
      <c r="C533" t="s">
        <v>28</v>
      </c>
      <c r="D533">
        <v>125</v>
      </c>
      <c r="E533" t="s">
        <v>15</v>
      </c>
      <c r="F533" t="s">
        <v>21</v>
      </c>
      <c r="G533">
        <f>MONTH(cleaned_personal_finance_data15[[#This Row],[date]])</f>
        <v>10</v>
      </c>
      <c r="H533">
        <f>YEAR(cleaned_personal_finance_data15[[#This Row],[date]])</f>
        <v>2024</v>
      </c>
      <c r="I533" t="s">
        <v>28</v>
      </c>
    </row>
    <row r="534" spans="1:9" hidden="1" x14ac:dyDescent="0.25">
      <c r="A534">
        <v>533</v>
      </c>
      <c r="B534" s="1">
        <v>45590</v>
      </c>
      <c r="C534" t="s">
        <v>238</v>
      </c>
      <c r="D534">
        <v>10000</v>
      </c>
      <c r="E534" t="s">
        <v>15</v>
      </c>
      <c r="F534" t="s">
        <v>13</v>
      </c>
      <c r="G534">
        <f>MONTH(cleaned_personal_finance_data15[[#This Row],[date]])</f>
        <v>10</v>
      </c>
      <c r="H534">
        <f>YEAR(cleaned_personal_finance_data15[[#This Row],[date]])</f>
        <v>2024</v>
      </c>
      <c r="I534" t="s">
        <v>238</v>
      </c>
    </row>
    <row r="535" spans="1:9" hidden="1" x14ac:dyDescent="0.25">
      <c r="A535">
        <v>534</v>
      </c>
      <c r="B535" s="1">
        <v>45590</v>
      </c>
      <c r="C535" t="s">
        <v>28</v>
      </c>
      <c r="D535">
        <v>25</v>
      </c>
      <c r="E535" t="s">
        <v>15</v>
      </c>
      <c r="F535" t="s">
        <v>21</v>
      </c>
      <c r="G535">
        <f>MONTH(cleaned_personal_finance_data15[[#This Row],[date]])</f>
        <v>10</v>
      </c>
      <c r="H535">
        <f>YEAR(cleaned_personal_finance_data15[[#This Row],[date]])</f>
        <v>2024</v>
      </c>
      <c r="I535" t="s">
        <v>28</v>
      </c>
    </row>
    <row r="536" spans="1:9" hidden="1" x14ac:dyDescent="0.25">
      <c r="A536">
        <v>535</v>
      </c>
      <c r="B536" s="1">
        <v>45591</v>
      </c>
      <c r="C536" t="s">
        <v>78</v>
      </c>
      <c r="D536">
        <v>200</v>
      </c>
      <c r="E536" t="s">
        <v>15</v>
      </c>
      <c r="F536" t="s">
        <v>13</v>
      </c>
      <c r="G536">
        <f>MONTH(cleaned_personal_finance_data15[[#This Row],[date]])</f>
        <v>10</v>
      </c>
      <c r="H536">
        <f>YEAR(cleaned_personal_finance_data15[[#This Row],[date]])</f>
        <v>2024</v>
      </c>
      <c r="I536" t="s">
        <v>78</v>
      </c>
    </row>
    <row r="537" spans="1:9" hidden="1" x14ac:dyDescent="0.25">
      <c r="A537">
        <v>536</v>
      </c>
      <c r="B537" s="1">
        <v>45591</v>
      </c>
      <c r="C537" t="s">
        <v>64</v>
      </c>
      <c r="D537">
        <v>199</v>
      </c>
      <c r="E537" t="s">
        <v>15</v>
      </c>
      <c r="F537" t="s">
        <v>21</v>
      </c>
      <c r="G537">
        <f>MONTH(cleaned_personal_finance_data15[[#This Row],[date]])</f>
        <v>10</v>
      </c>
      <c r="H537">
        <f>YEAR(cleaned_personal_finance_data15[[#This Row],[date]])</f>
        <v>2024</v>
      </c>
      <c r="I537" t="s">
        <v>64</v>
      </c>
    </row>
    <row r="538" spans="1:9" hidden="1" x14ac:dyDescent="0.25">
      <c r="A538">
        <v>537</v>
      </c>
      <c r="B538" s="1">
        <v>45595</v>
      </c>
      <c r="C538" t="s">
        <v>218</v>
      </c>
      <c r="D538">
        <v>15</v>
      </c>
      <c r="E538" t="s">
        <v>15</v>
      </c>
      <c r="F538" t="s">
        <v>13</v>
      </c>
      <c r="G538">
        <f>MONTH(cleaned_personal_finance_data15[[#This Row],[date]])</f>
        <v>10</v>
      </c>
      <c r="H538">
        <f>YEAR(cleaned_personal_finance_data15[[#This Row],[date]])</f>
        <v>2024</v>
      </c>
      <c r="I538" t="s">
        <v>218</v>
      </c>
    </row>
    <row r="539" spans="1:9" hidden="1" x14ac:dyDescent="0.25">
      <c r="A539">
        <v>538</v>
      </c>
      <c r="B539" s="1">
        <v>45595</v>
      </c>
      <c r="C539" t="s">
        <v>239</v>
      </c>
      <c r="D539">
        <v>92</v>
      </c>
      <c r="E539" t="s">
        <v>15</v>
      </c>
      <c r="F539" t="s">
        <v>21</v>
      </c>
      <c r="G539">
        <f>MONTH(cleaned_personal_finance_data15[[#This Row],[date]])</f>
        <v>10</v>
      </c>
      <c r="H539">
        <f>YEAR(cleaned_personal_finance_data15[[#This Row],[date]])</f>
        <v>2024</v>
      </c>
      <c r="I539" t="s">
        <v>324</v>
      </c>
    </row>
    <row r="540" spans="1:9" hidden="1" x14ac:dyDescent="0.25">
      <c r="A540">
        <v>539</v>
      </c>
      <c r="B540" s="1">
        <v>45596</v>
      </c>
      <c r="C540" t="s">
        <v>78</v>
      </c>
      <c r="D540">
        <v>150</v>
      </c>
      <c r="E540" t="s">
        <v>15</v>
      </c>
      <c r="F540" t="s">
        <v>13</v>
      </c>
      <c r="G540">
        <f>MONTH(cleaned_personal_finance_data15[[#This Row],[date]])</f>
        <v>10</v>
      </c>
      <c r="H540">
        <f>YEAR(cleaned_personal_finance_data15[[#This Row],[date]])</f>
        <v>2024</v>
      </c>
      <c r="I540" t="s">
        <v>78</v>
      </c>
    </row>
    <row r="541" spans="1:9" hidden="1" x14ac:dyDescent="0.25">
      <c r="A541">
        <v>540</v>
      </c>
      <c r="B541" s="1">
        <v>45596</v>
      </c>
      <c r="C541" t="s">
        <v>6</v>
      </c>
      <c r="D541">
        <v>13241</v>
      </c>
      <c r="E541" t="s">
        <v>7</v>
      </c>
      <c r="F541" t="s">
        <v>8</v>
      </c>
      <c r="G541">
        <f>MONTH(cleaned_personal_finance_data15[[#This Row],[date]])</f>
        <v>10</v>
      </c>
      <c r="H541">
        <f>YEAR(cleaned_personal_finance_data15[[#This Row],[date]])</f>
        <v>2024</v>
      </c>
      <c r="I541" t="s">
        <v>318</v>
      </c>
    </row>
    <row r="542" spans="1:9" x14ac:dyDescent="0.25">
      <c r="A542">
        <v>541</v>
      </c>
      <c r="B542" s="1">
        <v>45598</v>
      </c>
      <c r="C542" t="s">
        <v>240</v>
      </c>
      <c r="D542">
        <v>35</v>
      </c>
      <c r="E542" t="s">
        <v>15</v>
      </c>
      <c r="F542" t="s">
        <v>13</v>
      </c>
      <c r="G542">
        <f>MONTH(cleaned_personal_finance_data15[[#This Row],[date]])</f>
        <v>11</v>
      </c>
      <c r="H542">
        <f>YEAR(cleaned_personal_finance_data15[[#This Row],[date]])</f>
        <v>2024</v>
      </c>
      <c r="I542" t="s">
        <v>240</v>
      </c>
    </row>
    <row r="543" spans="1:9" x14ac:dyDescent="0.25">
      <c r="A543">
        <v>542</v>
      </c>
      <c r="B543" s="1">
        <v>45599</v>
      </c>
      <c r="C543" t="s">
        <v>64</v>
      </c>
      <c r="D543">
        <v>199</v>
      </c>
      <c r="E543" t="s">
        <v>15</v>
      </c>
      <c r="F543" t="s">
        <v>21</v>
      </c>
      <c r="G543">
        <f>MONTH(cleaned_personal_finance_data15[[#This Row],[date]])</f>
        <v>11</v>
      </c>
      <c r="H543">
        <f>YEAR(cleaned_personal_finance_data15[[#This Row],[date]])</f>
        <v>2024</v>
      </c>
      <c r="I543" t="s">
        <v>64</v>
      </c>
    </row>
    <row r="544" spans="1:9" x14ac:dyDescent="0.25">
      <c r="A544">
        <v>543</v>
      </c>
      <c r="B544" s="1">
        <v>45601</v>
      </c>
      <c r="C544" t="s">
        <v>241</v>
      </c>
      <c r="D544">
        <v>30</v>
      </c>
      <c r="E544" t="s">
        <v>15</v>
      </c>
      <c r="F544" t="s">
        <v>13</v>
      </c>
      <c r="G544">
        <f>MONTH(cleaned_personal_finance_data15[[#This Row],[date]])</f>
        <v>11</v>
      </c>
      <c r="H544">
        <f>YEAR(cleaned_personal_finance_data15[[#This Row],[date]])</f>
        <v>2024</v>
      </c>
      <c r="I544" t="s">
        <v>241</v>
      </c>
    </row>
    <row r="545" spans="1:9" x14ac:dyDescent="0.25">
      <c r="A545">
        <v>544</v>
      </c>
      <c r="B545" s="1">
        <v>45601</v>
      </c>
      <c r="C545" t="s">
        <v>242</v>
      </c>
      <c r="D545">
        <v>15</v>
      </c>
      <c r="E545" t="s">
        <v>15</v>
      </c>
      <c r="F545" t="s">
        <v>13</v>
      </c>
      <c r="G545">
        <f>MONTH(cleaned_personal_finance_data15[[#This Row],[date]])</f>
        <v>11</v>
      </c>
      <c r="H545">
        <f>YEAR(cleaned_personal_finance_data15[[#This Row],[date]])</f>
        <v>2024</v>
      </c>
      <c r="I545" t="s">
        <v>242</v>
      </c>
    </row>
    <row r="546" spans="1:9" x14ac:dyDescent="0.25">
      <c r="A546">
        <v>545</v>
      </c>
      <c r="B546" s="1">
        <v>45602</v>
      </c>
      <c r="C546" t="s">
        <v>242</v>
      </c>
      <c r="D546">
        <v>15</v>
      </c>
      <c r="E546" t="s">
        <v>15</v>
      </c>
      <c r="F546" t="s">
        <v>13</v>
      </c>
      <c r="G546">
        <f>MONTH(cleaned_personal_finance_data15[[#This Row],[date]])</f>
        <v>11</v>
      </c>
      <c r="H546">
        <f>YEAR(cleaned_personal_finance_data15[[#This Row],[date]])</f>
        <v>2024</v>
      </c>
      <c r="I546" t="s">
        <v>242</v>
      </c>
    </row>
    <row r="547" spans="1:9" x14ac:dyDescent="0.25">
      <c r="A547">
        <v>546</v>
      </c>
      <c r="B547" s="1">
        <v>45603</v>
      </c>
      <c r="C547" t="s">
        <v>242</v>
      </c>
      <c r="D547">
        <v>15</v>
      </c>
      <c r="E547" t="s">
        <v>15</v>
      </c>
      <c r="F547" t="s">
        <v>13</v>
      </c>
      <c r="G547">
        <f>MONTH(cleaned_personal_finance_data15[[#This Row],[date]])</f>
        <v>11</v>
      </c>
      <c r="H547">
        <f>YEAR(cleaned_personal_finance_data15[[#This Row],[date]])</f>
        <v>2024</v>
      </c>
      <c r="I547" t="s">
        <v>242</v>
      </c>
    </row>
    <row r="548" spans="1:9" x14ac:dyDescent="0.25">
      <c r="A548">
        <v>547</v>
      </c>
      <c r="B548" s="1">
        <v>45603</v>
      </c>
      <c r="C548" t="s">
        <v>243</v>
      </c>
      <c r="D548">
        <v>20</v>
      </c>
      <c r="E548" t="s">
        <v>15</v>
      </c>
      <c r="F548" t="s">
        <v>13</v>
      </c>
      <c r="G548">
        <f>MONTH(cleaned_personal_finance_data15[[#This Row],[date]])</f>
        <v>11</v>
      </c>
      <c r="H548">
        <f>YEAR(cleaned_personal_finance_data15[[#This Row],[date]])</f>
        <v>2024</v>
      </c>
      <c r="I548" t="s">
        <v>243</v>
      </c>
    </row>
    <row r="549" spans="1:9" x14ac:dyDescent="0.25">
      <c r="A549">
        <v>548</v>
      </c>
      <c r="B549" s="1">
        <v>45607</v>
      </c>
      <c r="C549" t="s">
        <v>244</v>
      </c>
      <c r="D549">
        <v>500</v>
      </c>
      <c r="E549" t="s">
        <v>15</v>
      </c>
      <c r="F549" t="s">
        <v>13</v>
      </c>
      <c r="G549">
        <f>MONTH(cleaned_personal_finance_data15[[#This Row],[date]])</f>
        <v>11</v>
      </c>
      <c r="H549">
        <f>YEAR(cleaned_personal_finance_data15[[#This Row],[date]])</f>
        <v>2024</v>
      </c>
      <c r="I549" t="s">
        <v>244</v>
      </c>
    </row>
    <row r="550" spans="1:9" x14ac:dyDescent="0.25">
      <c r="A550">
        <v>549</v>
      </c>
      <c r="B550" s="1">
        <v>45607</v>
      </c>
      <c r="C550" t="s">
        <v>245</v>
      </c>
      <c r="D550">
        <v>200</v>
      </c>
      <c r="E550" t="s">
        <v>15</v>
      </c>
      <c r="F550" t="s">
        <v>13</v>
      </c>
      <c r="G550">
        <f>MONTH(cleaned_personal_finance_data15[[#This Row],[date]])</f>
        <v>11</v>
      </c>
      <c r="H550">
        <f>YEAR(cleaned_personal_finance_data15[[#This Row],[date]])</f>
        <v>2024</v>
      </c>
      <c r="I550" t="s">
        <v>245</v>
      </c>
    </row>
    <row r="551" spans="1:9" x14ac:dyDescent="0.25">
      <c r="A551">
        <v>550</v>
      </c>
      <c r="B551" s="1">
        <v>45607</v>
      </c>
      <c r="C551" t="s">
        <v>67</v>
      </c>
      <c r="D551">
        <v>50</v>
      </c>
      <c r="E551" t="s">
        <v>15</v>
      </c>
      <c r="F551" t="s">
        <v>13</v>
      </c>
      <c r="G551">
        <f>MONTH(cleaned_personal_finance_data15[[#This Row],[date]])</f>
        <v>11</v>
      </c>
      <c r="H551">
        <f>YEAR(cleaned_personal_finance_data15[[#This Row],[date]])</f>
        <v>2024</v>
      </c>
      <c r="I551" t="s">
        <v>67</v>
      </c>
    </row>
    <row r="552" spans="1:9" x14ac:dyDescent="0.25">
      <c r="A552">
        <v>551</v>
      </c>
      <c r="B552" s="1">
        <v>45607</v>
      </c>
      <c r="C552" t="s">
        <v>246</v>
      </c>
      <c r="D552">
        <v>20</v>
      </c>
      <c r="E552" t="s">
        <v>15</v>
      </c>
      <c r="F552" t="s">
        <v>13</v>
      </c>
      <c r="G552">
        <f>MONTH(cleaned_personal_finance_data15[[#This Row],[date]])</f>
        <v>11</v>
      </c>
      <c r="H552">
        <f>YEAR(cleaned_personal_finance_data15[[#This Row],[date]])</f>
        <v>2024</v>
      </c>
      <c r="I552" t="s">
        <v>246</v>
      </c>
    </row>
    <row r="553" spans="1:9" x14ac:dyDescent="0.25">
      <c r="A553">
        <v>552</v>
      </c>
      <c r="B553" s="1">
        <v>45607</v>
      </c>
      <c r="C553" t="s">
        <v>247</v>
      </c>
      <c r="D553">
        <v>40</v>
      </c>
      <c r="E553" t="s">
        <v>15</v>
      </c>
      <c r="F553" t="s">
        <v>13</v>
      </c>
      <c r="G553">
        <f>MONTH(cleaned_personal_finance_data15[[#This Row],[date]])</f>
        <v>11</v>
      </c>
      <c r="H553">
        <f>YEAR(cleaned_personal_finance_data15[[#This Row],[date]])</f>
        <v>2024</v>
      </c>
      <c r="I553" t="s">
        <v>247</v>
      </c>
    </row>
    <row r="554" spans="1:9" x14ac:dyDescent="0.25">
      <c r="A554">
        <v>553</v>
      </c>
      <c r="B554" s="1">
        <v>45608</v>
      </c>
      <c r="C554" t="s">
        <v>218</v>
      </c>
      <c r="D554">
        <v>45</v>
      </c>
      <c r="E554" t="s">
        <v>15</v>
      </c>
      <c r="F554" t="s">
        <v>13</v>
      </c>
      <c r="G554">
        <f>MONTH(cleaned_personal_finance_data15[[#This Row],[date]])</f>
        <v>11</v>
      </c>
      <c r="H554">
        <f>YEAR(cleaned_personal_finance_data15[[#This Row],[date]])</f>
        <v>2024</v>
      </c>
      <c r="I554" t="s">
        <v>218</v>
      </c>
    </row>
    <row r="555" spans="1:9" x14ac:dyDescent="0.25">
      <c r="A555">
        <v>554</v>
      </c>
      <c r="B555" s="1">
        <v>45608</v>
      </c>
      <c r="C555" t="s">
        <v>103</v>
      </c>
      <c r="D555">
        <v>265</v>
      </c>
      <c r="E555" t="s">
        <v>15</v>
      </c>
      <c r="F555" t="s">
        <v>13</v>
      </c>
      <c r="G555">
        <f>MONTH(cleaned_personal_finance_data15[[#This Row],[date]])</f>
        <v>11</v>
      </c>
      <c r="H555">
        <f>YEAR(cleaned_personal_finance_data15[[#This Row],[date]])</f>
        <v>2024</v>
      </c>
      <c r="I555" t="s">
        <v>329</v>
      </c>
    </row>
    <row r="556" spans="1:9" x14ac:dyDescent="0.25">
      <c r="A556">
        <v>555</v>
      </c>
      <c r="B556" s="1">
        <v>45608</v>
      </c>
      <c r="C556" t="s">
        <v>248</v>
      </c>
      <c r="D556">
        <v>27000</v>
      </c>
      <c r="E556" t="s">
        <v>7</v>
      </c>
      <c r="F556" t="s">
        <v>8</v>
      </c>
      <c r="G556">
        <f>MONTH(cleaned_personal_finance_data15[[#This Row],[date]])</f>
        <v>11</v>
      </c>
      <c r="H556">
        <f>YEAR(cleaned_personal_finance_data15[[#This Row],[date]])</f>
        <v>2024</v>
      </c>
      <c r="I556" t="s">
        <v>327</v>
      </c>
    </row>
    <row r="557" spans="1:9" x14ac:dyDescent="0.25">
      <c r="A557">
        <v>556</v>
      </c>
      <c r="B557" s="1">
        <v>45608</v>
      </c>
      <c r="C557" t="s">
        <v>249</v>
      </c>
      <c r="D557">
        <v>5000</v>
      </c>
      <c r="E557" t="s">
        <v>7</v>
      </c>
      <c r="F557" t="s">
        <v>8</v>
      </c>
      <c r="G557">
        <f>MONTH(cleaned_personal_finance_data15[[#This Row],[date]])</f>
        <v>11</v>
      </c>
      <c r="H557">
        <f>YEAR(cleaned_personal_finance_data15[[#This Row],[date]])</f>
        <v>2024</v>
      </c>
      <c r="I557" t="s">
        <v>249</v>
      </c>
    </row>
    <row r="558" spans="1:9" x14ac:dyDescent="0.25">
      <c r="A558">
        <v>557</v>
      </c>
      <c r="B558" s="1">
        <v>45608</v>
      </c>
      <c r="C558" t="s">
        <v>6</v>
      </c>
      <c r="D558">
        <v>14752</v>
      </c>
      <c r="E558" t="s">
        <v>7</v>
      </c>
      <c r="F558" t="s">
        <v>8</v>
      </c>
      <c r="G558">
        <f>MONTH(cleaned_personal_finance_data15[[#This Row],[date]])</f>
        <v>11</v>
      </c>
      <c r="H558">
        <f>YEAR(cleaned_personal_finance_data15[[#This Row],[date]])</f>
        <v>2024</v>
      </c>
      <c r="I558" t="s">
        <v>318</v>
      </c>
    </row>
    <row r="559" spans="1:9" x14ac:dyDescent="0.25">
      <c r="A559">
        <v>558</v>
      </c>
      <c r="B559" s="1">
        <v>45609</v>
      </c>
      <c r="C559" t="s">
        <v>218</v>
      </c>
      <c r="D559">
        <v>30</v>
      </c>
      <c r="E559" t="s">
        <v>15</v>
      </c>
      <c r="F559" t="s">
        <v>13</v>
      </c>
      <c r="G559">
        <f>MONTH(cleaned_personal_finance_data15[[#This Row],[date]])</f>
        <v>11</v>
      </c>
      <c r="H559">
        <f>YEAR(cleaned_personal_finance_data15[[#This Row],[date]])</f>
        <v>2024</v>
      </c>
      <c r="I559" t="s">
        <v>218</v>
      </c>
    </row>
    <row r="560" spans="1:9" x14ac:dyDescent="0.25">
      <c r="A560">
        <v>559</v>
      </c>
      <c r="B560" s="1">
        <v>45609</v>
      </c>
      <c r="C560" t="s">
        <v>250</v>
      </c>
      <c r="D560">
        <v>2325</v>
      </c>
      <c r="E560" t="s">
        <v>15</v>
      </c>
      <c r="F560" t="s">
        <v>13</v>
      </c>
      <c r="G560">
        <f>MONTH(cleaned_personal_finance_data15[[#This Row],[date]])</f>
        <v>11</v>
      </c>
      <c r="H560">
        <f>YEAR(cleaned_personal_finance_data15[[#This Row],[date]])</f>
        <v>2024</v>
      </c>
      <c r="I560" t="s">
        <v>159</v>
      </c>
    </row>
    <row r="561" spans="1:9" x14ac:dyDescent="0.25">
      <c r="A561">
        <v>560</v>
      </c>
      <c r="B561" s="1">
        <v>45609</v>
      </c>
      <c r="C561" t="s">
        <v>145</v>
      </c>
      <c r="D561">
        <v>5000</v>
      </c>
      <c r="E561" t="s">
        <v>15</v>
      </c>
      <c r="F561" t="s">
        <v>13</v>
      </c>
      <c r="G561">
        <f>MONTH(cleaned_personal_finance_data15[[#This Row],[date]])</f>
        <v>11</v>
      </c>
      <c r="H561">
        <f>YEAR(cleaned_personal_finance_data15[[#This Row],[date]])</f>
        <v>2024</v>
      </c>
      <c r="I561" t="s">
        <v>145</v>
      </c>
    </row>
    <row r="562" spans="1:9" x14ac:dyDescent="0.25">
      <c r="A562">
        <v>561</v>
      </c>
      <c r="B562" s="1">
        <v>45609</v>
      </c>
      <c r="C562" t="s">
        <v>251</v>
      </c>
      <c r="D562">
        <v>300</v>
      </c>
      <c r="E562" t="s">
        <v>15</v>
      </c>
      <c r="F562" t="s">
        <v>13</v>
      </c>
      <c r="G562">
        <f>MONTH(cleaned_personal_finance_data15[[#This Row],[date]])</f>
        <v>11</v>
      </c>
      <c r="H562">
        <f>YEAR(cleaned_personal_finance_data15[[#This Row],[date]])</f>
        <v>2024</v>
      </c>
      <c r="I562" t="s">
        <v>251</v>
      </c>
    </row>
    <row r="563" spans="1:9" x14ac:dyDescent="0.25">
      <c r="A563">
        <v>562</v>
      </c>
      <c r="B563" s="1">
        <v>45611</v>
      </c>
      <c r="C563" t="s">
        <v>226</v>
      </c>
      <c r="D563">
        <v>100</v>
      </c>
      <c r="E563" t="s">
        <v>15</v>
      </c>
      <c r="F563" t="s">
        <v>13</v>
      </c>
      <c r="G563">
        <f>MONTH(cleaned_personal_finance_data15[[#This Row],[date]])</f>
        <v>11</v>
      </c>
      <c r="H563">
        <f>YEAR(cleaned_personal_finance_data15[[#This Row],[date]])</f>
        <v>2024</v>
      </c>
      <c r="I563" t="s">
        <v>226</v>
      </c>
    </row>
    <row r="564" spans="1:9" x14ac:dyDescent="0.25">
      <c r="A564">
        <v>563</v>
      </c>
      <c r="B564" s="1">
        <v>45614</v>
      </c>
      <c r="C564" t="s">
        <v>252</v>
      </c>
      <c r="D564">
        <v>100</v>
      </c>
      <c r="E564" t="s">
        <v>15</v>
      </c>
      <c r="F564" t="s">
        <v>13</v>
      </c>
      <c r="G564">
        <f>MONTH(cleaned_personal_finance_data15[[#This Row],[date]])</f>
        <v>11</v>
      </c>
      <c r="H564">
        <f>YEAR(cleaned_personal_finance_data15[[#This Row],[date]])</f>
        <v>2024</v>
      </c>
      <c r="I564" t="s">
        <v>198</v>
      </c>
    </row>
    <row r="565" spans="1:9" x14ac:dyDescent="0.25">
      <c r="A565">
        <v>564</v>
      </c>
      <c r="B565" s="1">
        <v>45614</v>
      </c>
      <c r="C565" t="s">
        <v>218</v>
      </c>
      <c r="D565">
        <v>15</v>
      </c>
      <c r="E565" t="s">
        <v>15</v>
      </c>
      <c r="F565" t="s">
        <v>13</v>
      </c>
      <c r="G565">
        <f>MONTH(cleaned_personal_finance_data15[[#This Row],[date]])</f>
        <v>11</v>
      </c>
      <c r="H565">
        <f>YEAR(cleaned_personal_finance_data15[[#This Row],[date]])</f>
        <v>2024</v>
      </c>
      <c r="I565" t="s">
        <v>218</v>
      </c>
    </row>
    <row r="566" spans="1:9" x14ac:dyDescent="0.25">
      <c r="A566">
        <v>565</v>
      </c>
      <c r="B566" s="1">
        <v>45615</v>
      </c>
      <c r="C566" t="s">
        <v>218</v>
      </c>
      <c r="D566">
        <v>15</v>
      </c>
      <c r="E566" t="s">
        <v>15</v>
      </c>
      <c r="F566" t="s">
        <v>13</v>
      </c>
      <c r="G566">
        <f>MONTH(cleaned_personal_finance_data15[[#This Row],[date]])</f>
        <v>11</v>
      </c>
      <c r="H566">
        <f>YEAR(cleaned_personal_finance_data15[[#This Row],[date]])</f>
        <v>2024</v>
      </c>
      <c r="I566" t="s">
        <v>218</v>
      </c>
    </row>
    <row r="567" spans="1:9" x14ac:dyDescent="0.25">
      <c r="A567">
        <v>566</v>
      </c>
      <c r="B567" s="1">
        <v>45615</v>
      </c>
      <c r="C567" t="s">
        <v>253</v>
      </c>
      <c r="D567">
        <v>100</v>
      </c>
      <c r="E567" t="s">
        <v>15</v>
      </c>
      <c r="F567" t="s">
        <v>13</v>
      </c>
      <c r="G567">
        <f>MONTH(cleaned_personal_finance_data15[[#This Row],[date]])</f>
        <v>11</v>
      </c>
      <c r="H567">
        <f>YEAR(cleaned_personal_finance_data15[[#This Row],[date]])</f>
        <v>2024</v>
      </c>
      <c r="I567" t="s">
        <v>198</v>
      </c>
    </row>
    <row r="568" spans="1:9" x14ac:dyDescent="0.25">
      <c r="A568">
        <v>567</v>
      </c>
      <c r="B568" s="1">
        <v>45616</v>
      </c>
      <c r="C568" t="s">
        <v>254</v>
      </c>
      <c r="D568">
        <v>100</v>
      </c>
      <c r="E568" t="s">
        <v>15</v>
      </c>
      <c r="F568" t="s">
        <v>13</v>
      </c>
      <c r="G568">
        <f>MONTH(cleaned_personal_finance_data15[[#This Row],[date]])</f>
        <v>11</v>
      </c>
      <c r="H568">
        <f>YEAR(cleaned_personal_finance_data15[[#This Row],[date]])</f>
        <v>2024</v>
      </c>
      <c r="I568" t="s">
        <v>198</v>
      </c>
    </row>
    <row r="569" spans="1:9" x14ac:dyDescent="0.25">
      <c r="A569">
        <v>568</v>
      </c>
      <c r="B569" s="1">
        <v>45618</v>
      </c>
      <c r="C569" t="s">
        <v>255</v>
      </c>
      <c r="D569">
        <v>100</v>
      </c>
      <c r="E569" t="s">
        <v>15</v>
      </c>
      <c r="F569" t="s">
        <v>13</v>
      </c>
      <c r="G569">
        <f>MONTH(cleaned_personal_finance_data15[[#This Row],[date]])</f>
        <v>11</v>
      </c>
      <c r="H569">
        <f>YEAR(cleaned_personal_finance_data15[[#This Row],[date]])</f>
        <v>2024</v>
      </c>
      <c r="I569" t="s">
        <v>198</v>
      </c>
    </row>
    <row r="570" spans="1:9" x14ac:dyDescent="0.25">
      <c r="A570">
        <v>569</v>
      </c>
      <c r="B570" s="1">
        <v>45618</v>
      </c>
      <c r="C570" t="s">
        <v>218</v>
      </c>
      <c r="D570">
        <v>45</v>
      </c>
      <c r="E570" t="s">
        <v>15</v>
      </c>
      <c r="F570" t="s">
        <v>13</v>
      </c>
      <c r="G570">
        <f>MONTH(cleaned_personal_finance_data15[[#This Row],[date]])</f>
        <v>11</v>
      </c>
      <c r="H570">
        <f>YEAR(cleaned_personal_finance_data15[[#This Row],[date]])</f>
        <v>2024</v>
      </c>
      <c r="I570" t="s">
        <v>218</v>
      </c>
    </row>
    <row r="571" spans="1:9" x14ac:dyDescent="0.25">
      <c r="A571">
        <v>570</v>
      </c>
      <c r="B571" s="1">
        <v>45625</v>
      </c>
      <c r="C571" t="s">
        <v>256</v>
      </c>
      <c r="D571">
        <v>12</v>
      </c>
      <c r="E571" t="s">
        <v>15</v>
      </c>
      <c r="F571" t="s">
        <v>13</v>
      </c>
      <c r="G571">
        <f>MONTH(cleaned_personal_finance_data15[[#This Row],[date]])</f>
        <v>11</v>
      </c>
      <c r="H571">
        <f>YEAR(cleaned_personal_finance_data15[[#This Row],[date]])</f>
        <v>2024</v>
      </c>
      <c r="I571" t="s">
        <v>256</v>
      </c>
    </row>
    <row r="572" spans="1:9" x14ac:dyDescent="0.25">
      <c r="A572">
        <v>571</v>
      </c>
      <c r="B572" s="1">
        <v>45625</v>
      </c>
      <c r="C572" t="s">
        <v>240</v>
      </c>
      <c r="D572">
        <v>30</v>
      </c>
      <c r="E572" t="s">
        <v>15</v>
      </c>
      <c r="F572" t="s">
        <v>13</v>
      </c>
      <c r="G572">
        <f>MONTH(cleaned_personal_finance_data15[[#This Row],[date]])</f>
        <v>11</v>
      </c>
      <c r="H572">
        <f>YEAR(cleaned_personal_finance_data15[[#This Row],[date]])</f>
        <v>2024</v>
      </c>
      <c r="I572" t="s">
        <v>240</v>
      </c>
    </row>
    <row r="573" spans="1:9" x14ac:dyDescent="0.25">
      <c r="A573">
        <v>572</v>
      </c>
      <c r="B573" s="1">
        <v>45626</v>
      </c>
      <c r="C573" t="s">
        <v>6</v>
      </c>
      <c r="D573">
        <v>13240</v>
      </c>
      <c r="E573" t="s">
        <v>7</v>
      </c>
      <c r="F573" t="s">
        <v>13</v>
      </c>
      <c r="G573">
        <f>MONTH(cleaned_personal_finance_data15[[#This Row],[date]])</f>
        <v>11</v>
      </c>
      <c r="H573">
        <f>YEAR(cleaned_personal_finance_data15[[#This Row],[date]])</f>
        <v>2024</v>
      </c>
      <c r="I573" t="s">
        <v>318</v>
      </c>
    </row>
    <row r="574" spans="1:9" x14ac:dyDescent="0.25">
      <c r="A574">
        <v>573</v>
      </c>
      <c r="B574" s="1">
        <v>45630</v>
      </c>
      <c r="C574" t="s">
        <v>242</v>
      </c>
      <c r="D574">
        <v>15</v>
      </c>
      <c r="E574" t="s">
        <v>15</v>
      </c>
      <c r="F574" t="s">
        <v>13</v>
      </c>
      <c r="G574">
        <f>MONTH(cleaned_personal_finance_data15[[#This Row],[date]])</f>
        <v>12</v>
      </c>
      <c r="H574">
        <f>YEAR(cleaned_personal_finance_data15[[#This Row],[date]])</f>
        <v>2024</v>
      </c>
      <c r="I574" t="s">
        <v>242</v>
      </c>
    </row>
    <row r="575" spans="1:9" x14ac:dyDescent="0.25">
      <c r="A575">
        <v>574</v>
      </c>
      <c r="B575" s="1">
        <v>45632</v>
      </c>
      <c r="C575" t="s">
        <v>218</v>
      </c>
      <c r="D575">
        <v>45</v>
      </c>
      <c r="E575" t="s">
        <v>15</v>
      </c>
      <c r="F575" t="s">
        <v>13</v>
      </c>
      <c r="G575">
        <f>MONTH(cleaned_personal_finance_data15[[#This Row],[date]])</f>
        <v>12</v>
      </c>
      <c r="H575">
        <f>YEAR(cleaned_personal_finance_data15[[#This Row],[date]])</f>
        <v>2024</v>
      </c>
      <c r="I575" t="s">
        <v>218</v>
      </c>
    </row>
    <row r="576" spans="1:9" x14ac:dyDescent="0.25">
      <c r="A576">
        <v>575</v>
      </c>
      <c r="B576" s="1">
        <v>45634</v>
      </c>
      <c r="C576" t="s">
        <v>257</v>
      </c>
      <c r="D576">
        <v>135</v>
      </c>
      <c r="E576" t="s">
        <v>15</v>
      </c>
      <c r="F576" t="s">
        <v>13</v>
      </c>
      <c r="G576">
        <f>MONTH(cleaned_personal_finance_data15[[#This Row],[date]])</f>
        <v>12</v>
      </c>
      <c r="H576">
        <f>YEAR(cleaned_personal_finance_data15[[#This Row],[date]])</f>
        <v>2024</v>
      </c>
      <c r="I576" t="s">
        <v>329</v>
      </c>
    </row>
    <row r="577" spans="1:9" x14ac:dyDescent="0.25">
      <c r="A577">
        <v>576</v>
      </c>
      <c r="B577" s="1">
        <v>45634</v>
      </c>
      <c r="C577" t="s">
        <v>139</v>
      </c>
      <c r="D577">
        <v>35</v>
      </c>
      <c r="E577" t="s">
        <v>15</v>
      </c>
      <c r="F577" t="s">
        <v>13</v>
      </c>
      <c r="G577">
        <f>MONTH(cleaned_personal_finance_data15[[#This Row],[date]])</f>
        <v>12</v>
      </c>
      <c r="H577">
        <f>YEAR(cleaned_personal_finance_data15[[#This Row],[date]])</f>
        <v>2024</v>
      </c>
      <c r="I577" t="s">
        <v>139</v>
      </c>
    </row>
    <row r="578" spans="1:9" x14ac:dyDescent="0.25">
      <c r="A578">
        <v>577</v>
      </c>
      <c r="B578" s="1">
        <v>45636</v>
      </c>
      <c r="C578" t="s">
        <v>242</v>
      </c>
      <c r="D578">
        <v>15</v>
      </c>
      <c r="E578" t="s">
        <v>15</v>
      </c>
      <c r="F578" t="s">
        <v>13</v>
      </c>
      <c r="G578">
        <f>MONTH(cleaned_personal_finance_data15[[#This Row],[date]])</f>
        <v>12</v>
      </c>
      <c r="H578">
        <f>YEAR(cleaned_personal_finance_data15[[#This Row],[date]])</f>
        <v>2024</v>
      </c>
      <c r="I578" t="s">
        <v>242</v>
      </c>
    </row>
    <row r="579" spans="1:9" x14ac:dyDescent="0.25">
      <c r="A579">
        <v>578</v>
      </c>
      <c r="B579" s="1">
        <v>45637</v>
      </c>
      <c r="C579" t="s">
        <v>218</v>
      </c>
      <c r="D579">
        <v>45</v>
      </c>
      <c r="E579" t="s">
        <v>15</v>
      </c>
      <c r="F579" t="s">
        <v>13</v>
      </c>
      <c r="G579">
        <f>MONTH(cleaned_personal_finance_data15[[#This Row],[date]])</f>
        <v>12</v>
      </c>
      <c r="H579">
        <f>YEAR(cleaned_personal_finance_data15[[#This Row],[date]])</f>
        <v>2024</v>
      </c>
      <c r="I579" t="s">
        <v>218</v>
      </c>
    </row>
    <row r="580" spans="1:9" x14ac:dyDescent="0.25">
      <c r="A580">
        <v>579</v>
      </c>
      <c r="B580" s="1">
        <v>45639</v>
      </c>
      <c r="C580" t="s">
        <v>218</v>
      </c>
      <c r="D580">
        <v>45</v>
      </c>
      <c r="E580" t="s">
        <v>15</v>
      </c>
      <c r="F580" t="s">
        <v>13</v>
      </c>
      <c r="G580">
        <f>MONTH(cleaned_personal_finance_data15[[#This Row],[date]])</f>
        <v>12</v>
      </c>
      <c r="H580">
        <f>YEAR(cleaned_personal_finance_data15[[#This Row],[date]])</f>
        <v>2024</v>
      </c>
      <c r="I580" t="s">
        <v>218</v>
      </c>
    </row>
    <row r="581" spans="1:9" x14ac:dyDescent="0.25">
      <c r="A581">
        <v>580</v>
      </c>
      <c r="B581" s="1">
        <v>45640</v>
      </c>
      <c r="C581" t="s">
        <v>258</v>
      </c>
      <c r="D581">
        <v>225</v>
      </c>
      <c r="E581" t="s">
        <v>15</v>
      </c>
      <c r="F581" t="s">
        <v>13</v>
      </c>
      <c r="G581">
        <f>MONTH(cleaned_personal_finance_data15[[#This Row],[date]])</f>
        <v>12</v>
      </c>
      <c r="H581">
        <f>YEAR(cleaned_personal_finance_data15[[#This Row],[date]])</f>
        <v>2024</v>
      </c>
      <c r="I581" t="s">
        <v>258</v>
      </c>
    </row>
    <row r="582" spans="1:9" x14ac:dyDescent="0.25">
      <c r="A582">
        <v>581</v>
      </c>
      <c r="B582" s="1">
        <v>45645</v>
      </c>
      <c r="C582" t="s">
        <v>259</v>
      </c>
      <c r="D582">
        <v>200</v>
      </c>
      <c r="E582" t="s">
        <v>15</v>
      </c>
      <c r="F582" t="s">
        <v>13</v>
      </c>
      <c r="G582">
        <f>MONTH(cleaned_personal_finance_data15[[#This Row],[date]])</f>
        <v>12</v>
      </c>
      <c r="H582">
        <f>YEAR(cleaned_personal_finance_data15[[#This Row],[date]])</f>
        <v>2024</v>
      </c>
      <c r="I582" t="s">
        <v>259</v>
      </c>
    </row>
    <row r="583" spans="1:9" x14ac:dyDescent="0.25">
      <c r="A583">
        <v>582</v>
      </c>
      <c r="B583" s="1">
        <v>45645</v>
      </c>
      <c r="C583" t="s">
        <v>260</v>
      </c>
      <c r="D583">
        <v>365</v>
      </c>
      <c r="E583" t="s">
        <v>15</v>
      </c>
      <c r="F583" t="s">
        <v>13</v>
      </c>
      <c r="G583">
        <f>MONTH(cleaned_personal_finance_data15[[#This Row],[date]])</f>
        <v>12</v>
      </c>
      <c r="H583">
        <f>YEAR(cleaned_personal_finance_data15[[#This Row],[date]])</f>
        <v>2024</v>
      </c>
      <c r="I583" t="s">
        <v>260</v>
      </c>
    </row>
    <row r="584" spans="1:9" x14ac:dyDescent="0.25">
      <c r="A584">
        <v>583</v>
      </c>
      <c r="B584" s="1">
        <v>45645</v>
      </c>
      <c r="C584" t="s">
        <v>261</v>
      </c>
      <c r="D584">
        <v>180</v>
      </c>
      <c r="E584" t="s">
        <v>15</v>
      </c>
      <c r="F584" t="s">
        <v>13</v>
      </c>
      <c r="G584">
        <f>MONTH(cleaned_personal_finance_data15[[#This Row],[date]])</f>
        <v>12</v>
      </c>
      <c r="H584">
        <f>YEAR(cleaned_personal_finance_data15[[#This Row],[date]])</f>
        <v>2024</v>
      </c>
      <c r="I584" t="s">
        <v>261</v>
      </c>
    </row>
    <row r="585" spans="1:9" x14ac:dyDescent="0.25">
      <c r="A585">
        <v>584</v>
      </c>
      <c r="B585" s="1">
        <v>45645</v>
      </c>
      <c r="C585" t="s">
        <v>262</v>
      </c>
      <c r="D585">
        <v>350</v>
      </c>
      <c r="E585" t="s">
        <v>15</v>
      </c>
      <c r="F585" t="s">
        <v>13</v>
      </c>
      <c r="G585">
        <f>MONTH(cleaned_personal_finance_data15[[#This Row],[date]])</f>
        <v>12</v>
      </c>
      <c r="H585">
        <f>YEAR(cleaned_personal_finance_data15[[#This Row],[date]])</f>
        <v>2024</v>
      </c>
      <c r="I585" t="s">
        <v>262</v>
      </c>
    </row>
    <row r="586" spans="1:9" x14ac:dyDescent="0.25">
      <c r="A586">
        <v>585</v>
      </c>
      <c r="B586" s="1">
        <v>45645</v>
      </c>
      <c r="C586" t="s">
        <v>263</v>
      </c>
      <c r="D586">
        <v>175</v>
      </c>
      <c r="E586" t="s">
        <v>15</v>
      </c>
      <c r="F586" t="s">
        <v>13</v>
      </c>
      <c r="G586">
        <f>MONTH(cleaned_personal_finance_data15[[#This Row],[date]])</f>
        <v>12</v>
      </c>
      <c r="H586">
        <f>YEAR(cleaned_personal_finance_data15[[#This Row],[date]])</f>
        <v>2024</v>
      </c>
      <c r="I586" t="s">
        <v>263</v>
      </c>
    </row>
    <row r="587" spans="1:9" x14ac:dyDescent="0.25">
      <c r="A587">
        <v>586</v>
      </c>
      <c r="B587" s="1">
        <v>45647</v>
      </c>
      <c r="C587" t="s">
        <v>6</v>
      </c>
      <c r="D587">
        <v>13240</v>
      </c>
      <c r="E587" t="s">
        <v>7</v>
      </c>
      <c r="F587" t="s">
        <v>8</v>
      </c>
      <c r="G587">
        <f>MONTH(cleaned_personal_finance_data15[[#This Row],[date]])</f>
        <v>12</v>
      </c>
      <c r="H587">
        <f>YEAR(cleaned_personal_finance_data15[[#This Row],[date]])</f>
        <v>2024</v>
      </c>
      <c r="I587" t="s">
        <v>318</v>
      </c>
    </row>
    <row r="588" spans="1:9" x14ac:dyDescent="0.25">
      <c r="A588">
        <v>587</v>
      </c>
      <c r="B588" s="1">
        <v>45647</v>
      </c>
      <c r="C588" t="s">
        <v>264</v>
      </c>
      <c r="D588">
        <v>25000</v>
      </c>
      <c r="E588" t="s">
        <v>7</v>
      </c>
      <c r="F588" t="s">
        <v>8</v>
      </c>
      <c r="G588">
        <f>MONTH(cleaned_personal_finance_data15[[#This Row],[date]])</f>
        <v>12</v>
      </c>
      <c r="H588">
        <f>YEAR(cleaned_personal_finance_data15[[#This Row],[date]])</f>
        <v>2024</v>
      </c>
      <c r="I588" t="s">
        <v>326</v>
      </c>
    </row>
    <row r="589" spans="1:9" x14ac:dyDescent="0.25">
      <c r="A589">
        <v>588</v>
      </c>
      <c r="B589" s="1">
        <v>45647</v>
      </c>
      <c r="C589" t="s">
        <v>175</v>
      </c>
      <c r="D589">
        <v>3000</v>
      </c>
      <c r="E589" t="s">
        <v>15</v>
      </c>
      <c r="F589" t="s">
        <v>13</v>
      </c>
      <c r="G589">
        <f>MONTH(cleaned_personal_finance_data15[[#This Row],[date]])</f>
        <v>12</v>
      </c>
      <c r="H589">
        <f>YEAR(cleaned_personal_finance_data15[[#This Row],[date]])</f>
        <v>2024</v>
      </c>
      <c r="I589" t="s">
        <v>159</v>
      </c>
    </row>
    <row r="590" spans="1:9" x14ac:dyDescent="0.25">
      <c r="A590">
        <v>589</v>
      </c>
      <c r="B590" s="1">
        <v>45647</v>
      </c>
      <c r="C590" t="s">
        <v>145</v>
      </c>
      <c r="D590">
        <v>6000</v>
      </c>
      <c r="E590" t="s">
        <v>15</v>
      </c>
      <c r="F590" t="s">
        <v>13</v>
      </c>
      <c r="G590">
        <f>MONTH(cleaned_personal_finance_data15[[#This Row],[date]])</f>
        <v>12</v>
      </c>
      <c r="H590">
        <f>YEAR(cleaned_personal_finance_data15[[#This Row],[date]])</f>
        <v>2024</v>
      </c>
      <c r="I590" t="s">
        <v>145</v>
      </c>
    </row>
    <row r="591" spans="1:9" x14ac:dyDescent="0.25">
      <c r="A591">
        <v>590</v>
      </c>
      <c r="B591" s="1">
        <v>45647</v>
      </c>
      <c r="C591" t="s">
        <v>265</v>
      </c>
      <c r="D591">
        <v>1050</v>
      </c>
      <c r="E591" t="s">
        <v>15</v>
      </c>
      <c r="F591" t="s">
        <v>13</v>
      </c>
      <c r="G591">
        <f>MONTH(cleaned_personal_finance_data15[[#This Row],[date]])</f>
        <v>12</v>
      </c>
      <c r="H591">
        <f>YEAR(cleaned_personal_finance_data15[[#This Row],[date]])</f>
        <v>2024</v>
      </c>
      <c r="I591" t="s">
        <v>265</v>
      </c>
    </row>
    <row r="592" spans="1:9" x14ac:dyDescent="0.25">
      <c r="A592">
        <v>591</v>
      </c>
      <c r="B592" s="1">
        <v>45647</v>
      </c>
      <c r="C592" t="s">
        <v>266</v>
      </c>
      <c r="D592">
        <v>100</v>
      </c>
      <c r="E592" t="s">
        <v>15</v>
      </c>
      <c r="F592" t="s">
        <v>13</v>
      </c>
      <c r="G592">
        <f>MONTH(cleaned_personal_finance_data15[[#This Row],[date]])</f>
        <v>12</v>
      </c>
      <c r="H592">
        <f>YEAR(cleaned_personal_finance_data15[[#This Row],[date]])</f>
        <v>2024</v>
      </c>
      <c r="I592" t="s">
        <v>266</v>
      </c>
    </row>
    <row r="593" spans="1:9" x14ac:dyDescent="0.25">
      <c r="A593">
        <v>592</v>
      </c>
      <c r="B593" s="1">
        <v>45647</v>
      </c>
      <c r="C593" t="s">
        <v>267</v>
      </c>
      <c r="D593">
        <v>210</v>
      </c>
      <c r="E593" t="s">
        <v>15</v>
      </c>
      <c r="F593" t="s">
        <v>13</v>
      </c>
      <c r="G593">
        <f>MONTH(cleaned_personal_finance_data15[[#This Row],[date]])</f>
        <v>12</v>
      </c>
      <c r="H593">
        <f>YEAR(cleaned_personal_finance_data15[[#This Row],[date]])</f>
        <v>2024</v>
      </c>
      <c r="I593" t="s">
        <v>267</v>
      </c>
    </row>
    <row r="594" spans="1:9" x14ac:dyDescent="0.25">
      <c r="A594">
        <v>593</v>
      </c>
      <c r="B594" s="1">
        <v>45649</v>
      </c>
      <c r="C594" t="s">
        <v>108</v>
      </c>
      <c r="D594">
        <v>25</v>
      </c>
      <c r="E594" t="s">
        <v>15</v>
      </c>
      <c r="F594" t="s">
        <v>13</v>
      </c>
      <c r="G594">
        <f>MONTH(cleaned_personal_finance_data15[[#This Row],[date]])</f>
        <v>12</v>
      </c>
      <c r="H594">
        <f>YEAR(cleaned_personal_finance_data15[[#This Row],[date]])</f>
        <v>2024</v>
      </c>
      <c r="I594" t="s">
        <v>43</v>
      </c>
    </row>
    <row r="595" spans="1:9" x14ac:dyDescent="0.25">
      <c r="A595">
        <v>594</v>
      </c>
      <c r="B595" s="1">
        <v>45649</v>
      </c>
      <c r="C595" t="s">
        <v>66</v>
      </c>
      <c r="D595">
        <v>10</v>
      </c>
      <c r="E595" t="s">
        <v>15</v>
      </c>
      <c r="F595" t="s">
        <v>13</v>
      </c>
      <c r="G595">
        <f>MONTH(cleaned_personal_finance_data15[[#This Row],[date]])</f>
        <v>12</v>
      </c>
      <c r="H595">
        <f>YEAR(cleaned_personal_finance_data15[[#This Row],[date]])</f>
        <v>2024</v>
      </c>
      <c r="I595" t="s">
        <v>66</v>
      </c>
    </row>
    <row r="596" spans="1:9" x14ac:dyDescent="0.25">
      <c r="A596">
        <v>595</v>
      </c>
      <c r="B596" s="1">
        <v>45649</v>
      </c>
      <c r="C596" t="s">
        <v>67</v>
      </c>
      <c r="D596">
        <v>15</v>
      </c>
      <c r="E596" t="s">
        <v>15</v>
      </c>
      <c r="F596" t="s">
        <v>13</v>
      </c>
      <c r="G596">
        <f>MONTH(cleaned_personal_finance_data15[[#This Row],[date]])</f>
        <v>12</v>
      </c>
      <c r="H596">
        <f>YEAR(cleaned_personal_finance_data15[[#This Row],[date]])</f>
        <v>2024</v>
      </c>
      <c r="I596" t="s">
        <v>67</v>
      </c>
    </row>
    <row r="597" spans="1:9" x14ac:dyDescent="0.25">
      <c r="A597">
        <v>596</v>
      </c>
      <c r="B597" s="1">
        <v>45649</v>
      </c>
      <c r="C597" t="s">
        <v>54</v>
      </c>
      <c r="D597">
        <v>160</v>
      </c>
      <c r="E597" t="s">
        <v>15</v>
      </c>
      <c r="F597" t="s">
        <v>13</v>
      </c>
      <c r="G597">
        <f>MONTH(cleaned_personal_finance_data15[[#This Row],[date]])</f>
        <v>12</v>
      </c>
      <c r="H597">
        <f>YEAR(cleaned_personal_finance_data15[[#This Row],[date]])</f>
        <v>2024</v>
      </c>
      <c r="I597" t="s">
        <v>54</v>
      </c>
    </row>
    <row r="598" spans="1:9" x14ac:dyDescent="0.25">
      <c r="A598">
        <v>597</v>
      </c>
      <c r="B598" s="1">
        <v>45649</v>
      </c>
      <c r="C598" t="s">
        <v>106</v>
      </c>
      <c r="D598">
        <v>185</v>
      </c>
      <c r="E598" t="s">
        <v>15</v>
      </c>
      <c r="F598" t="s">
        <v>13</v>
      </c>
      <c r="G598">
        <f>MONTH(cleaned_personal_finance_data15[[#This Row],[date]])</f>
        <v>12</v>
      </c>
      <c r="H598">
        <f>YEAR(cleaned_personal_finance_data15[[#This Row],[date]])</f>
        <v>2024</v>
      </c>
      <c r="I598" t="s">
        <v>106</v>
      </c>
    </row>
    <row r="599" spans="1:9" x14ac:dyDescent="0.25">
      <c r="A599">
        <v>598</v>
      </c>
      <c r="B599" s="1">
        <v>45649</v>
      </c>
      <c r="C599" t="s">
        <v>268</v>
      </c>
      <c r="D599">
        <v>190</v>
      </c>
      <c r="E599" t="s">
        <v>15</v>
      </c>
      <c r="F599" t="s">
        <v>13</v>
      </c>
      <c r="G599">
        <f>MONTH(cleaned_personal_finance_data15[[#This Row],[date]])</f>
        <v>12</v>
      </c>
      <c r="H599">
        <f>YEAR(cleaned_personal_finance_data15[[#This Row],[date]])</f>
        <v>2024</v>
      </c>
      <c r="I599" t="s">
        <v>268</v>
      </c>
    </row>
    <row r="600" spans="1:9" x14ac:dyDescent="0.25">
      <c r="A600">
        <v>599</v>
      </c>
      <c r="B600" s="1">
        <v>45649</v>
      </c>
      <c r="C600" t="s">
        <v>6</v>
      </c>
      <c r="D600">
        <v>13241</v>
      </c>
      <c r="E600" t="s">
        <v>7</v>
      </c>
      <c r="F600" t="s">
        <v>8</v>
      </c>
      <c r="G600">
        <f>MONTH(cleaned_personal_finance_data15[[#This Row],[date]])</f>
        <v>12</v>
      </c>
      <c r="H600">
        <f>YEAR(cleaned_personal_finance_data15[[#This Row],[date]])</f>
        <v>2024</v>
      </c>
      <c r="I600" t="s">
        <v>318</v>
      </c>
    </row>
    <row r="601" spans="1:9" x14ac:dyDescent="0.25">
      <c r="A601">
        <v>600</v>
      </c>
      <c r="B601" s="1">
        <v>45649</v>
      </c>
      <c r="C601" t="s">
        <v>162</v>
      </c>
      <c r="D601">
        <v>10000</v>
      </c>
      <c r="E601" t="s">
        <v>10</v>
      </c>
      <c r="F601" t="s">
        <v>8</v>
      </c>
      <c r="G601">
        <f>MONTH(cleaned_personal_finance_data15[[#This Row],[date]])</f>
        <v>12</v>
      </c>
      <c r="H601">
        <f>YEAR(cleaned_personal_finance_data15[[#This Row],[date]])</f>
        <v>2024</v>
      </c>
      <c r="I601" t="s">
        <v>162</v>
      </c>
    </row>
    <row r="602" spans="1:9" x14ac:dyDescent="0.25">
      <c r="A602">
        <v>601</v>
      </c>
      <c r="B602" s="1">
        <v>45650</v>
      </c>
      <c r="C602" t="s">
        <v>170</v>
      </c>
      <c r="D602">
        <v>320</v>
      </c>
      <c r="E602" t="s">
        <v>15</v>
      </c>
      <c r="F602" t="s">
        <v>13</v>
      </c>
      <c r="G602">
        <f>MONTH(cleaned_personal_finance_data15[[#This Row],[date]])</f>
        <v>12</v>
      </c>
      <c r="H602">
        <f>YEAR(cleaned_personal_finance_data15[[#This Row],[date]])</f>
        <v>2024</v>
      </c>
      <c r="I602" t="s">
        <v>170</v>
      </c>
    </row>
    <row r="603" spans="1:9" x14ac:dyDescent="0.25">
      <c r="A603">
        <v>602</v>
      </c>
      <c r="B603" s="1">
        <v>45650</v>
      </c>
      <c r="C603" t="s">
        <v>269</v>
      </c>
      <c r="D603">
        <v>798</v>
      </c>
      <c r="E603" t="s">
        <v>15</v>
      </c>
      <c r="F603" t="s">
        <v>13</v>
      </c>
      <c r="G603">
        <f>MONTH(cleaned_personal_finance_data15[[#This Row],[date]])</f>
        <v>12</v>
      </c>
      <c r="H603">
        <f>YEAR(cleaned_personal_finance_data15[[#This Row],[date]])</f>
        <v>2024</v>
      </c>
      <c r="I603" t="s">
        <v>269</v>
      </c>
    </row>
    <row r="604" spans="1:9" x14ac:dyDescent="0.25">
      <c r="A604">
        <v>603</v>
      </c>
      <c r="B604" s="1">
        <v>45650</v>
      </c>
      <c r="C604" t="s">
        <v>270</v>
      </c>
      <c r="D604">
        <v>180</v>
      </c>
      <c r="E604" t="s">
        <v>15</v>
      </c>
      <c r="F604" t="s">
        <v>13</v>
      </c>
      <c r="G604">
        <f>MONTH(cleaned_personal_finance_data15[[#This Row],[date]])</f>
        <v>12</v>
      </c>
      <c r="H604">
        <f>YEAR(cleaned_personal_finance_data15[[#This Row],[date]])</f>
        <v>2024</v>
      </c>
      <c r="I604" t="s">
        <v>270</v>
      </c>
    </row>
    <row r="605" spans="1:9" x14ac:dyDescent="0.25">
      <c r="A605">
        <v>604</v>
      </c>
      <c r="B605" s="1">
        <v>45650</v>
      </c>
      <c r="C605" t="s">
        <v>179</v>
      </c>
      <c r="D605">
        <v>28</v>
      </c>
      <c r="E605" t="s">
        <v>15</v>
      </c>
      <c r="F605" t="s">
        <v>13</v>
      </c>
      <c r="G605">
        <f>MONTH(cleaned_personal_finance_data15[[#This Row],[date]])</f>
        <v>12</v>
      </c>
      <c r="H605">
        <f>YEAR(cleaned_personal_finance_data15[[#This Row],[date]])</f>
        <v>2024</v>
      </c>
      <c r="I605" t="s">
        <v>179</v>
      </c>
    </row>
    <row r="606" spans="1:9" x14ac:dyDescent="0.25">
      <c r="A606">
        <v>605</v>
      </c>
      <c r="B606" s="1">
        <v>45650</v>
      </c>
      <c r="C606" t="s">
        <v>108</v>
      </c>
      <c r="D606">
        <v>140</v>
      </c>
      <c r="E606" t="s">
        <v>15</v>
      </c>
      <c r="F606" t="s">
        <v>13</v>
      </c>
      <c r="G606">
        <f>MONTH(cleaned_personal_finance_data15[[#This Row],[date]])</f>
        <v>12</v>
      </c>
      <c r="H606">
        <f>YEAR(cleaned_personal_finance_data15[[#This Row],[date]])</f>
        <v>2024</v>
      </c>
      <c r="I606" t="s">
        <v>43</v>
      </c>
    </row>
    <row r="607" spans="1:9" x14ac:dyDescent="0.25">
      <c r="A607">
        <v>606</v>
      </c>
      <c r="B607" s="1">
        <v>45650</v>
      </c>
      <c r="C607" t="s">
        <v>271</v>
      </c>
      <c r="D607">
        <v>200</v>
      </c>
      <c r="E607" t="s">
        <v>15</v>
      </c>
      <c r="F607" t="s">
        <v>13</v>
      </c>
      <c r="G607">
        <f>MONTH(cleaned_personal_finance_data15[[#This Row],[date]])</f>
        <v>12</v>
      </c>
      <c r="H607">
        <f>YEAR(cleaned_personal_finance_data15[[#This Row],[date]])</f>
        <v>2024</v>
      </c>
      <c r="I607" t="s">
        <v>271</v>
      </c>
    </row>
    <row r="608" spans="1:9" x14ac:dyDescent="0.25">
      <c r="A608">
        <v>607</v>
      </c>
      <c r="B608" s="1">
        <v>45650</v>
      </c>
      <c r="C608" t="s">
        <v>272</v>
      </c>
      <c r="D608">
        <v>720</v>
      </c>
      <c r="E608" t="s">
        <v>15</v>
      </c>
      <c r="F608" t="s">
        <v>13</v>
      </c>
      <c r="G608">
        <f>MONTH(cleaned_personal_finance_data15[[#This Row],[date]])</f>
        <v>12</v>
      </c>
      <c r="H608">
        <f>YEAR(cleaned_personal_finance_data15[[#This Row],[date]])</f>
        <v>2024</v>
      </c>
      <c r="I608" t="s">
        <v>322</v>
      </c>
    </row>
    <row r="609" spans="1:9" x14ac:dyDescent="0.25">
      <c r="A609">
        <v>608</v>
      </c>
      <c r="B609" s="1">
        <v>45651</v>
      </c>
      <c r="C609" t="s">
        <v>273</v>
      </c>
      <c r="D609">
        <v>1150</v>
      </c>
      <c r="E609" t="s">
        <v>15</v>
      </c>
      <c r="F609" t="s">
        <v>13</v>
      </c>
      <c r="G609">
        <f>MONTH(cleaned_personal_finance_data15[[#This Row],[date]])</f>
        <v>12</v>
      </c>
      <c r="H609">
        <f>YEAR(cleaned_personal_finance_data15[[#This Row],[date]])</f>
        <v>2024</v>
      </c>
      <c r="I609" t="s">
        <v>273</v>
      </c>
    </row>
    <row r="610" spans="1:9" x14ac:dyDescent="0.25">
      <c r="A610">
        <v>609</v>
      </c>
      <c r="B610" s="1">
        <v>45652</v>
      </c>
      <c r="C610" t="s">
        <v>78</v>
      </c>
      <c r="D610">
        <v>350</v>
      </c>
      <c r="E610" t="s">
        <v>15</v>
      </c>
      <c r="F610" t="s">
        <v>13</v>
      </c>
      <c r="G610">
        <f>MONTH(cleaned_personal_finance_data15[[#This Row],[date]])</f>
        <v>12</v>
      </c>
      <c r="H610">
        <f>YEAR(cleaned_personal_finance_data15[[#This Row],[date]])</f>
        <v>2024</v>
      </c>
      <c r="I610" t="s">
        <v>78</v>
      </c>
    </row>
    <row r="611" spans="1:9" x14ac:dyDescent="0.25">
      <c r="A611">
        <v>610</v>
      </c>
      <c r="B611" s="1">
        <v>45655</v>
      </c>
      <c r="C611" t="s">
        <v>66</v>
      </c>
      <c r="D611">
        <v>20</v>
      </c>
      <c r="E611" t="s">
        <v>15</v>
      </c>
      <c r="F611" t="s">
        <v>13</v>
      </c>
      <c r="G611">
        <f>MONTH(cleaned_personal_finance_data15[[#This Row],[date]])</f>
        <v>12</v>
      </c>
      <c r="H611">
        <f>YEAR(cleaned_personal_finance_data15[[#This Row],[date]])</f>
        <v>2024</v>
      </c>
      <c r="I611" t="s">
        <v>66</v>
      </c>
    </row>
    <row r="612" spans="1:9" x14ac:dyDescent="0.25">
      <c r="A612">
        <v>611</v>
      </c>
      <c r="B612" s="1">
        <v>45655</v>
      </c>
      <c r="C612" t="s">
        <v>67</v>
      </c>
      <c r="D612">
        <v>15</v>
      </c>
      <c r="E612" t="s">
        <v>15</v>
      </c>
      <c r="F612" t="s">
        <v>13</v>
      </c>
      <c r="G612">
        <f>MONTH(cleaned_personal_finance_data15[[#This Row],[date]])</f>
        <v>12</v>
      </c>
      <c r="H612">
        <f>YEAR(cleaned_personal_finance_data15[[#This Row],[date]])</f>
        <v>2024</v>
      </c>
      <c r="I612" t="s">
        <v>67</v>
      </c>
    </row>
    <row r="613" spans="1:9" x14ac:dyDescent="0.25">
      <c r="A613">
        <v>612</v>
      </c>
      <c r="B613" s="1">
        <v>45655</v>
      </c>
      <c r="C613" t="s">
        <v>54</v>
      </c>
      <c r="D613">
        <v>281</v>
      </c>
      <c r="E613" t="s">
        <v>15</v>
      </c>
      <c r="F613" t="s">
        <v>13</v>
      </c>
      <c r="G613">
        <f>MONTH(cleaned_personal_finance_data15[[#This Row],[date]])</f>
        <v>12</v>
      </c>
      <c r="H613">
        <f>YEAR(cleaned_personal_finance_data15[[#This Row],[date]])</f>
        <v>2024</v>
      </c>
      <c r="I613" t="s">
        <v>54</v>
      </c>
    </row>
    <row r="614" spans="1:9" x14ac:dyDescent="0.25">
      <c r="A614">
        <v>613</v>
      </c>
      <c r="B614" s="1">
        <v>45655</v>
      </c>
      <c r="C614" t="s">
        <v>162</v>
      </c>
      <c r="D614">
        <v>9972</v>
      </c>
      <c r="E614" t="s">
        <v>10</v>
      </c>
      <c r="F614" t="s">
        <v>8</v>
      </c>
      <c r="G614">
        <f>MONTH(cleaned_personal_finance_data15[[#This Row],[date]])</f>
        <v>12</v>
      </c>
      <c r="H614">
        <f>YEAR(cleaned_personal_finance_data15[[#This Row],[date]])</f>
        <v>2024</v>
      </c>
      <c r="I614" t="s">
        <v>162</v>
      </c>
    </row>
    <row r="615" spans="1:9" x14ac:dyDescent="0.25">
      <c r="A615">
        <v>614</v>
      </c>
      <c r="B615" s="1">
        <v>45655</v>
      </c>
      <c r="C615" t="s">
        <v>179</v>
      </c>
      <c r="D615">
        <v>26</v>
      </c>
      <c r="E615" t="s">
        <v>15</v>
      </c>
      <c r="F615" t="s">
        <v>13</v>
      </c>
      <c r="G615">
        <f>MONTH(cleaned_personal_finance_data15[[#This Row],[date]])</f>
        <v>12</v>
      </c>
      <c r="H615">
        <f>YEAR(cleaned_personal_finance_data15[[#This Row],[date]])</f>
        <v>2024</v>
      </c>
      <c r="I615" t="s">
        <v>179</v>
      </c>
    </row>
    <row r="616" spans="1:9" x14ac:dyDescent="0.25">
      <c r="A616">
        <v>615</v>
      </c>
      <c r="B616" s="1">
        <v>45655</v>
      </c>
      <c r="C616" t="s">
        <v>274</v>
      </c>
      <c r="D616">
        <v>69</v>
      </c>
      <c r="E616" t="s">
        <v>15</v>
      </c>
      <c r="F616" t="s">
        <v>13</v>
      </c>
      <c r="G616">
        <f>MONTH(cleaned_personal_finance_data15[[#This Row],[date]])</f>
        <v>12</v>
      </c>
      <c r="H616">
        <f>YEAR(cleaned_personal_finance_data15[[#This Row],[date]])</f>
        <v>2024</v>
      </c>
      <c r="I616" t="s">
        <v>274</v>
      </c>
    </row>
    <row r="617" spans="1:9" x14ac:dyDescent="0.25">
      <c r="A617">
        <v>616</v>
      </c>
      <c r="B617" s="1">
        <v>45655</v>
      </c>
      <c r="C617" t="s">
        <v>275</v>
      </c>
      <c r="D617">
        <v>269</v>
      </c>
      <c r="E617" t="s">
        <v>15</v>
      </c>
      <c r="F617" t="s">
        <v>13</v>
      </c>
      <c r="G617">
        <f>MONTH(cleaned_personal_finance_data15[[#This Row],[date]])</f>
        <v>12</v>
      </c>
      <c r="H617">
        <f>YEAR(cleaned_personal_finance_data15[[#This Row],[date]])</f>
        <v>2024</v>
      </c>
      <c r="I617" t="s">
        <v>275</v>
      </c>
    </row>
    <row r="618" spans="1:9" x14ac:dyDescent="0.25">
      <c r="A618">
        <v>617</v>
      </c>
      <c r="B618" s="1">
        <v>45655</v>
      </c>
      <c r="C618" t="s">
        <v>276</v>
      </c>
      <c r="D618">
        <v>263</v>
      </c>
      <c r="E618" t="s">
        <v>15</v>
      </c>
      <c r="F618" t="s">
        <v>13</v>
      </c>
      <c r="G618">
        <f>MONTH(cleaned_personal_finance_data15[[#This Row],[date]])</f>
        <v>12</v>
      </c>
      <c r="H618">
        <f>YEAR(cleaned_personal_finance_data15[[#This Row],[date]])</f>
        <v>2024</v>
      </c>
      <c r="I618" t="s">
        <v>276</v>
      </c>
    </row>
    <row r="619" spans="1:9" x14ac:dyDescent="0.25">
      <c r="A619">
        <v>618</v>
      </c>
      <c r="B619" s="1">
        <v>45655</v>
      </c>
      <c r="C619" t="s">
        <v>277</v>
      </c>
      <c r="D619">
        <v>279</v>
      </c>
      <c r="E619" t="s">
        <v>15</v>
      </c>
      <c r="F619" t="s">
        <v>13</v>
      </c>
      <c r="G619">
        <f>MONTH(cleaned_personal_finance_data15[[#This Row],[date]])</f>
        <v>12</v>
      </c>
      <c r="H619">
        <f>YEAR(cleaned_personal_finance_data15[[#This Row],[date]])</f>
        <v>2024</v>
      </c>
      <c r="I619" t="s">
        <v>277</v>
      </c>
    </row>
    <row r="620" spans="1:9" x14ac:dyDescent="0.25">
      <c r="A620">
        <v>619</v>
      </c>
      <c r="B620" s="1">
        <v>45655</v>
      </c>
      <c r="C620" t="s">
        <v>82</v>
      </c>
      <c r="D620">
        <v>250</v>
      </c>
      <c r="E620" t="s">
        <v>15</v>
      </c>
      <c r="F620" t="s">
        <v>13</v>
      </c>
      <c r="G620">
        <f>MONTH(cleaned_personal_finance_data15[[#This Row],[date]])</f>
        <v>12</v>
      </c>
      <c r="H620">
        <f>YEAR(cleaned_personal_finance_data15[[#This Row],[date]])</f>
        <v>2024</v>
      </c>
      <c r="I620" t="s">
        <v>82</v>
      </c>
    </row>
    <row r="621" spans="1:9" x14ac:dyDescent="0.25">
      <c r="A621">
        <v>620</v>
      </c>
      <c r="B621" s="1">
        <v>45655</v>
      </c>
      <c r="C621" t="s">
        <v>278</v>
      </c>
      <c r="D621">
        <v>87</v>
      </c>
      <c r="E621" t="s">
        <v>15</v>
      </c>
      <c r="F621" t="s">
        <v>13</v>
      </c>
      <c r="G621">
        <f>MONTH(cleaned_personal_finance_data15[[#This Row],[date]])</f>
        <v>12</v>
      </c>
      <c r="H621">
        <f>YEAR(cleaned_personal_finance_data15[[#This Row],[date]])</f>
        <v>2024</v>
      </c>
      <c r="I621" t="s">
        <v>278</v>
      </c>
    </row>
    <row r="622" spans="1:9" x14ac:dyDescent="0.25">
      <c r="A622">
        <v>621</v>
      </c>
      <c r="B622" s="1">
        <v>45656</v>
      </c>
      <c r="C622" t="s">
        <v>279</v>
      </c>
      <c r="D622">
        <v>1289</v>
      </c>
      <c r="E622" t="s">
        <v>15</v>
      </c>
      <c r="F622" t="s">
        <v>13</v>
      </c>
      <c r="G622">
        <f>MONTH(cleaned_personal_finance_data15[[#This Row],[date]])</f>
        <v>12</v>
      </c>
      <c r="H622">
        <f>YEAR(cleaned_personal_finance_data15[[#This Row],[date]])</f>
        <v>2024</v>
      </c>
      <c r="I622" t="s">
        <v>279</v>
      </c>
    </row>
    <row r="623" spans="1:9" x14ac:dyDescent="0.25">
      <c r="A623">
        <v>622</v>
      </c>
      <c r="B623" s="1">
        <v>45656</v>
      </c>
      <c r="C623" t="s">
        <v>103</v>
      </c>
      <c r="D623">
        <v>270</v>
      </c>
      <c r="E623" t="s">
        <v>15</v>
      </c>
      <c r="F623" t="s">
        <v>13</v>
      </c>
      <c r="G623">
        <f>MONTH(cleaned_personal_finance_data15[[#This Row],[date]])</f>
        <v>12</v>
      </c>
      <c r="H623">
        <f>YEAR(cleaned_personal_finance_data15[[#This Row],[date]])</f>
        <v>2024</v>
      </c>
      <c r="I623" t="s">
        <v>329</v>
      </c>
    </row>
    <row r="624" spans="1:9" x14ac:dyDescent="0.25">
      <c r="A624">
        <v>623</v>
      </c>
      <c r="B624" s="1">
        <v>45657</v>
      </c>
      <c r="C624" t="s">
        <v>280</v>
      </c>
      <c r="D624">
        <v>720</v>
      </c>
      <c r="E624" t="s">
        <v>15</v>
      </c>
      <c r="F624" t="s">
        <v>13</v>
      </c>
      <c r="G624">
        <f>MONTH(cleaned_personal_finance_data15[[#This Row],[date]])</f>
        <v>12</v>
      </c>
      <c r="H624">
        <f>YEAR(cleaned_personal_finance_data15[[#This Row],[date]])</f>
        <v>2024</v>
      </c>
      <c r="I624" t="s">
        <v>280</v>
      </c>
    </row>
    <row r="625" spans="1:9" hidden="1" x14ac:dyDescent="0.25">
      <c r="A625">
        <v>624</v>
      </c>
      <c r="B625" s="1">
        <v>45658</v>
      </c>
      <c r="C625" t="s">
        <v>36</v>
      </c>
      <c r="D625">
        <v>5</v>
      </c>
      <c r="E625" t="s">
        <v>15</v>
      </c>
      <c r="F625" t="s">
        <v>13</v>
      </c>
      <c r="G625">
        <f>MONTH(cleaned_personal_finance_data15[[#This Row],[date]])</f>
        <v>1</v>
      </c>
      <c r="H625">
        <f>YEAR(cleaned_personal_finance_data15[[#This Row],[date]])</f>
        <v>2025</v>
      </c>
      <c r="I625" t="s">
        <v>329</v>
      </c>
    </row>
    <row r="626" spans="1:9" hidden="1" x14ac:dyDescent="0.25">
      <c r="A626">
        <v>625</v>
      </c>
      <c r="B626" s="1">
        <v>45659</v>
      </c>
      <c r="C626" t="s">
        <v>67</v>
      </c>
      <c r="D626">
        <v>25</v>
      </c>
      <c r="E626" t="s">
        <v>15</v>
      </c>
      <c r="F626" t="s">
        <v>13</v>
      </c>
      <c r="G626">
        <f>MONTH(cleaned_personal_finance_data15[[#This Row],[date]])</f>
        <v>1</v>
      </c>
      <c r="H626">
        <f>YEAR(cleaned_personal_finance_data15[[#This Row],[date]])</f>
        <v>2025</v>
      </c>
      <c r="I626" t="s">
        <v>67</v>
      </c>
    </row>
    <row r="627" spans="1:9" hidden="1" x14ac:dyDescent="0.25">
      <c r="A627">
        <v>626</v>
      </c>
      <c r="B627" s="1">
        <v>45661</v>
      </c>
      <c r="C627" t="s">
        <v>175</v>
      </c>
      <c r="D627">
        <v>2100</v>
      </c>
      <c r="E627" t="s">
        <v>15</v>
      </c>
      <c r="F627" t="s">
        <v>13</v>
      </c>
      <c r="G627">
        <f>MONTH(cleaned_personal_finance_data15[[#This Row],[date]])</f>
        <v>1</v>
      </c>
      <c r="H627">
        <f>YEAR(cleaned_personal_finance_data15[[#This Row],[date]])</f>
        <v>2025</v>
      </c>
      <c r="I627" t="s">
        <v>159</v>
      </c>
    </row>
    <row r="628" spans="1:9" hidden="1" x14ac:dyDescent="0.25">
      <c r="A628">
        <v>627</v>
      </c>
      <c r="B628" s="1">
        <v>45661</v>
      </c>
      <c r="C628" t="s">
        <v>145</v>
      </c>
      <c r="D628">
        <v>7000</v>
      </c>
      <c r="E628" t="s">
        <v>15</v>
      </c>
      <c r="F628" t="s">
        <v>13</v>
      </c>
      <c r="G628">
        <f>MONTH(cleaned_personal_finance_data15[[#This Row],[date]])</f>
        <v>1</v>
      </c>
      <c r="H628">
        <f>YEAR(cleaned_personal_finance_data15[[#This Row],[date]])</f>
        <v>2025</v>
      </c>
      <c r="I628" t="s">
        <v>145</v>
      </c>
    </row>
    <row r="629" spans="1:9" hidden="1" x14ac:dyDescent="0.25">
      <c r="A629">
        <v>628</v>
      </c>
      <c r="B629" s="1">
        <v>45667</v>
      </c>
      <c r="C629" t="s">
        <v>281</v>
      </c>
      <c r="D629">
        <v>150</v>
      </c>
      <c r="E629" t="s">
        <v>15</v>
      </c>
      <c r="F629" t="s">
        <v>13</v>
      </c>
      <c r="G629">
        <f>MONTH(cleaned_personal_finance_data15[[#This Row],[date]])</f>
        <v>1</v>
      </c>
      <c r="H629">
        <f>YEAR(cleaned_personal_finance_data15[[#This Row],[date]])</f>
        <v>2025</v>
      </c>
      <c r="I629" t="s">
        <v>43</v>
      </c>
    </row>
    <row r="630" spans="1:9" hidden="1" x14ac:dyDescent="0.25">
      <c r="A630">
        <v>629</v>
      </c>
      <c r="B630" s="1">
        <v>45667</v>
      </c>
      <c r="C630" t="s">
        <v>180</v>
      </c>
      <c r="D630">
        <v>30</v>
      </c>
      <c r="E630" t="s">
        <v>15</v>
      </c>
      <c r="F630" t="s">
        <v>13</v>
      </c>
      <c r="G630">
        <f>MONTH(cleaned_personal_finance_data15[[#This Row],[date]])</f>
        <v>1</v>
      </c>
      <c r="H630">
        <f>YEAR(cleaned_personal_finance_data15[[#This Row],[date]])</f>
        <v>2025</v>
      </c>
      <c r="I630" t="s">
        <v>43</v>
      </c>
    </row>
    <row r="631" spans="1:9" hidden="1" x14ac:dyDescent="0.25">
      <c r="A631">
        <v>630</v>
      </c>
      <c r="B631" s="1">
        <v>45667</v>
      </c>
      <c r="C631" t="s">
        <v>107</v>
      </c>
      <c r="D631">
        <v>40</v>
      </c>
      <c r="E631" t="s">
        <v>15</v>
      </c>
      <c r="F631" t="s">
        <v>13</v>
      </c>
      <c r="G631">
        <f>MONTH(cleaned_personal_finance_data15[[#This Row],[date]])</f>
        <v>1</v>
      </c>
      <c r="H631">
        <f>YEAR(cleaned_personal_finance_data15[[#This Row],[date]])</f>
        <v>2025</v>
      </c>
      <c r="I631" t="s">
        <v>107</v>
      </c>
    </row>
    <row r="632" spans="1:9" hidden="1" x14ac:dyDescent="0.25">
      <c r="A632">
        <v>631</v>
      </c>
      <c r="B632" s="1">
        <v>45667</v>
      </c>
      <c r="C632" t="s">
        <v>106</v>
      </c>
      <c r="D632">
        <v>83</v>
      </c>
      <c r="E632" t="s">
        <v>15</v>
      </c>
      <c r="F632" t="s">
        <v>13</v>
      </c>
      <c r="G632">
        <f>MONTH(cleaned_personal_finance_data15[[#This Row],[date]])</f>
        <v>1</v>
      </c>
      <c r="H632">
        <f>YEAR(cleaned_personal_finance_data15[[#This Row],[date]])</f>
        <v>2025</v>
      </c>
      <c r="I632" t="s">
        <v>106</v>
      </c>
    </row>
    <row r="633" spans="1:9" hidden="1" x14ac:dyDescent="0.25">
      <c r="A633">
        <v>632</v>
      </c>
      <c r="B633" s="1">
        <v>45667</v>
      </c>
      <c r="C633" t="s">
        <v>282</v>
      </c>
      <c r="D633">
        <v>230</v>
      </c>
      <c r="E633" t="s">
        <v>15</v>
      </c>
      <c r="F633" t="s">
        <v>13</v>
      </c>
      <c r="G633">
        <f>MONTH(cleaned_personal_finance_data15[[#This Row],[date]])</f>
        <v>1</v>
      </c>
      <c r="H633">
        <f>YEAR(cleaned_personal_finance_data15[[#This Row],[date]])</f>
        <v>2025</v>
      </c>
      <c r="I633" t="s">
        <v>282</v>
      </c>
    </row>
    <row r="634" spans="1:9" hidden="1" x14ac:dyDescent="0.25">
      <c r="A634">
        <v>633</v>
      </c>
      <c r="B634" s="1">
        <v>45667</v>
      </c>
      <c r="C634" t="s">
        <v>283</v>
      </c>
      <c r="D634">
        <v>130</v>
      </c>
      <c r="E634" t="s">
        <v>15</v>
      </c>
      <c r="F634" t="s">
        <v>13</v>
      </c>
      <c r="G634">
        <f>MONTH(cleaned_personal_finance_data15[[#This Row],[date]])</f>
        <v>1</v>
      </c>
      <c r="H634">
        <f>YEAR(cleaned_personal_finance_data15[[#This Row],[date]])</f>
        <v>2025</v>
      </c>
      <c r="I634" t="s">
        <v>43</v>
      </c>
    </row>
    <row r="635" spans="1:9" hidden="1" x14ac:dyDescent="0.25">
      <c r="A635">
        <v>634</v>
      </c>
      <c r="B635" s="1">
        <v>45667</v>
      </c>
      <c r="C635" t="s">
        <v>284</v>
      </c>
      <c r="D635">
        <v>200</v>
      </c>
      <c r="E635" t="s">
        <v>15</v>
      </c>
      <c r="F635" t="s">
        <v>13</v>
      </c>
      <c r="G635">
        <f>MONTH(cleaned_personal_finance_data15[[#This Row],[date]])</f>
        <v>1</v>
      </c>
      <c r="H635">
        <f>YEAR(cleaned_personal_finance_data15[[#This Row],[date]])</f>
        <v>2025</v>
      </c>
      <c r="I635" t="s">
        <v>43</v>
      </c>
    </row>
    <row r="636" spans="1:9" hidden="1" x14ac:dyDescent="0.25">
      <c r="A636">
        <v>635</v>
      </c>
      <c r="B636" s="1">
        <v>45670</v>
      </c>
      <c r="C636" t="s">
        <v>281</v>
      </c>
      <c r="D636">
        <v>150</v>
      </c>
      <c r="E636" t="s">
        <v>15</v>
      </c>
      <c r="F636" t="s">
        <v>13</v>
      </c>
      <c r="G636">
        <f>MONTH(cleaned_personal_finance_data15[[#This Row],[date]])</f>
        <v>1</v>
      </c>
      <c r="H636">
        <f>YEAR(cleaned_personal_finance_data15[[#This Row],[date]])</f>
        <v>2025</v>
      </c>
      <c r="I636" t="s">
        <v>43</v>
      </c>
    </row>
    <row r="637" spans="1:9" hidden="1" x14ac:dyDescent="0.25">
      <c r="A637">
        <v>636</v>
      </c>
      <c r="B637" s="1">
        <v>45670</v>
      </c>
      <c r="C637" t="s">
        <v>54</v>
      </c>
      <c r="D637">
        <v>89</v>
      </c>
      <c r="E637" t="s">
        <v>15</v>
      </c>
      <c r="F637" t="s">
        <v>13</v>
      </c>
      <c r="G637">
        <f>MONTH(cleaned_personal_finance_data15[[#This Row],[date]])</f>
        <v>1</v>
      </c>
      <c r="H637">
        <f>YEAR(cleaned_personal_finance_data15[[#This Row],[date]])</f>
        <v>2025</v>
      </c>
      <c r="I637" t="s">
        <v>54</v>
      </c>
    </row>
    <row r="638" spans="1:9" hidden="1" x14ac:dyDescent="0.25">
      <c r="A638">
        <v>637</v>
      </c>
      <c r="B638" s="1">
        <v>45670</v>
      </c>
      <c r="C638" t="s">
        <v>108</v>
      </c>
      <c r="D638">
        <v>60</v>
      </c>
      <c r="E638" t="s">
        <v>15</v>
      </c>
      <c r="F638" t="s">
        <v>13</v>
      </c>
      <c r="G638">
        <f>MONTH(cleaned_personal_finance_data15[[#This Row],[date]])</f>
        <v>1</v>
      </c>
      <c r="H638">
        <f>YEAR(cleaned_personal_finance_data15[[#This Row],[date]])</f>
        <v>2025</v>
      </c>
      <c r="I638" t="s">
        <v>43</v>
      </c>
    </row>
    <row r="639" spans="1:9" hidden="1" x14ac:dyDescent="0.25">
      <c r="A639">
        <v>638</v>
      </c>
      <c r="B639" s="1">
        <v>45670</v>
      </c>
      <c r="C639" t="s">
        <v>162</v>
      </c>
      <c r="D639">
        <v>20000</v>
      </c>
      <c r="E639" t="s">
        <v>10</v>
      </c>
      <c r="F639" t="s">
        <v>8</v>
      </c>
      <c r="G639">
        <f>MONTH(cleaned_personal_finance_data15[[#This Row],[date]])</f>
        <v>1</v>
      </c>
      <c r="H639">
        <f>YEAR(cleaned_personal_finance_data15[[#This Row],[date]])</f>
        <v>2025</v>
      </c>
      <c r="I639" t="s">
        <v>162</v>
      </c>
    </row>
    <row r="640" spans="1:9" hidden="1" x14ac:dyDescent="0.25">
      <c r="A640">
        <v>639</v>
      </c>
      <c r="B640" s="1">
        <v>45670</v>
      </c>
      <c r="C640" t="s">
        <v>285</v>
      </c>
      <c r="D640">
        <v>5490</v>
      </c>
      <c r="E640" t="s">
        <v>15</v>
      </c>
      <c r="F640" t="s">
        <v>13</v>
      </c>
      <c r="G640">
        <f>MONTH(cleaned_personal_finance_data15[[#This Row],[date]])</f>
        <v>1</v>
      </c>
      <c r="H640">
        <f>YEAR(cleaned_personal_finance_data15[[#This Row],[date]])</f>
        <v>2025</v>
      </c>
      <c r="I640" t="s">
        <v>285</v>
      </c>
    </row>
    <row r="641" spans="1:9" hidden="1" x14ac:dyDescent="0.25">
      <c r="A641">
        <v>640</v>
      </c>
      <c r="B641" s="1">
        <v>45670</v>
      </c>
      <c r="C641" t="s">
        <v>180</v>
      </c>
      <c r="D641">
        <v>10</v>
      </c>
      <c r="E641" t="s">
        <v>15</v>
      </c>
      <c r="F641" t="s">
        <v>13</v>
      </c>
      <c r="G641">
        <f>MONTH(cleaned_personal_finance_data15[[#This Row],[date]])</f>
        <v>1</v>
      </c>
      <c r="H641">
        <f>YEAR(cleaned_personal_finance_data15[[#This Row],[date]])</f>
        <v>2025</v>
      </c>
      <c r="I641" t="s">
        <v>43</v>
      </c>
    </row>
    <row r="642" spans="1:9" hidden="1" x14ac:dyDescent="0.25">
      <c r="A642">
        <v>641</v>
      </c>
      <c r="B642" s="1">
        <v>45670</v>
      </c>
      <c r="C642" t="s">
        <v>286</v>
      </c>
      <c r="D642">
        <v>150</v>
      </c>
      <c r="E642" t="s">
        <v>15</v>
      </c>
      <c r="F642" t="s">
        <v>13</v>
      </c>
      <c r="G642">
        <f>MONTH(cleaned_personal_finance_data15[[#This Row],[date]])</f>
        <v>1</v>
      </c>
      <c r="H642">
        <f>YEAR(cleaned_personal_finance_data15[[#This Row],[date]])</f>
        <v>2025</v>
      </c>
      <c r="I642" t="s">
        <v>43</v>
      </c>
    </row>
    <row r="643" spans="1:9" hidden="1" x14ac:dyDescent="0.25">
      <c r="A643">
        <v>642</v>
      </c>
      <c r="B643" s="1">
        <v>45672</v>
      </c>
      <c r="C643" t="s">
        <v>287</v>
      </c>
      <c r="D643">
        <v>30</v>
      </c>
      <c r="E643" t="s">
        <v>15</v>
      </c>
      <c r="F643" t="s">
        <v>13</v>
      </c>
      <c r="G643">
        <f>MONTH(cleaned_personal_finance_data15[[#This Row],[date]])</f>
        <v>1</v>
      </c>
      <c r="H643">
        <f>YEAR(cleaned_personal_finance_data15[[#This Row],[date]])</f>
        <v>2025</v>
      </c>
      <c r="I643" t="s">
        <v>43</v>
      </c>
    </row>
    <row r="644" spans="1:9" hidden="1" x14ac:dyDescent="0.25">
      <c r="A644">
        <v>643</v>
      </c>
      <c r="B644" s="1">
        <v>45672</v>
      </c>
      <c r="C644" t="s">
        <v>160</v>
      </c>
      <c r="D644">
        <v>120</v>
      </c>
      <c r="E644" t="s">
        <v>15</v>
      </c>
      <c r="F644" t="s">
        <v>13</v>
      </c>
      <c r="G644">
        <f>MONTH(cleaned_personal_finance_data15[[#This Row],[date]])</f>
        <v>1</v>
      </c>
      <c r="H644">
        <f>YEAR(cleaned_personal_finance_data15[[#This Row],[date]])</f>
        <v>2025</v>
      </c>
      <c r="I644" t="s">
        <v>43</v>
      </c>
    </row>
    <row r="645" spans="1:9" hidden="1" x14ac:dyDescent="0.25">
      <c r="A645">
        <v>644</v>
      </c>
      <c r="B645" s="1">
        <v>45672</v>
      </c>
      <c r="C645" t="s">
        <v>54</v>
      </c>
      <c r="D645">
        <v>184</v>
      </c>
      <c r="E645" t="s">
        <v>15</v>
      </c>
      <c r="F645" t="s">
        <v>13</v>
      </c>
      <c r="G645">
        <f>MONTH(cleaned_personal_finance_data15[[#This Row],[date]])</f>
        <v>1</v>
      </c>
      <c r="H645">
        <f>YEAR(cleaned_personal_finance_data15[[#This Row],[date]])</f>
        <v>2025</v>
      </c>
      <c r="I645" t="s">
        <v>54</v>
      </c>
    </row>
    <row r="646" spans="1:9" hidden="1" x14ac:dyDescent="0.25">
      <c r="A646">
        <v>645</v>
      </c>
      <c r="B646" s="1">
        <v>45672</v>
      </c>
      <c r="C646" t="s">
        <v>128</v>
      </c>
      <c r="D646">
        <v>13</v>
      </c>
      <c r="E646" t="s">
        <v>15</v>
      </c>
      <c r="F646" t="s">
        <v>13</v>
      </c>
      <c r="G646">
        <f>MONTH(cleaned_personal_finance_data15[[#This Row],[date]])</f>
        <v>1</v>
      </c>
      <c r="H646">
        <f>YEAR(cleaned_personal_finance_data15[[#This Row],[date]])</f>
        <v>2025</v>
      </c>
      <c r="I646" t="s">
        <v>43</v>
      </c>
    </row>
    <row r="647" spans="1:9" hidden="1" x14ac:dyDescent="0.25">
      <c r="A647">
        <v>646</v>
      </c>
      <c r="B647" s="1">
        <v>45672</v>
      </c>
      <c r="C647" t="s">
        <v>108</v>
      </c>
      <c r="D647">
        <v>40</v>
      </c>
      <c r="E647" t="s">
        <v>15</v>
      </c>
      <c r="F647" t="s">
        <v>13</v>
      </c>
      <c r="G647">
        <f>MONTH(cleaned_personal_finance_data15[[#This Row],[date]])</f>
        <v>1</v>
      </c>
      <c r="H647">
        <f>YEAR(cleaned_personal_finance_data15[[#This Row],[date]])</f>
        <v>2025</v>
      </c>
      <c r="I647" t="s">
        <v>43</v>
      </c>
    </row>
    <row r="648" spans="1:9" hidden="1" x14ac:dyDescent="0.25">
      <c r="A648">
        <v>647</v>
      </c>
      <c r="B648" s="1">
        <v>45672</v>
      </c>
      <c r="C648" t="s">
        <v>277</v>
      </c>
      <c r="D648">
        <v>638</v>
      </c>
      <c r="E648" t="s">
        <v>15</v>
      </c>
      <c r="F648" t="s">
        <v>13</v>
      </c>
      <c r="G648">
        <f>MONTH(cleaned_personal_finance_data15[[#This Row],[date]])</f>
        <v>1</v>
      </c>
      <c r="H648">
        <f>YEAR(cleaned_personal_finance_data15[[#This Row],[date]])</f>
        <v>2025</v>
      </c>
      <c r="I648" t="s">
        <v>277</v>
      </c>
    </row>
    <row r="649" spans="1:9" hidden="1" x14ac:dyDescent="0.25">
      <c r="A649">
        <v>648</v>
      </c>
      <c r="B649" s="1">
        <v>45672</v>
      </c>
      <c r="C649" t="s">
        <v>269</v>
      </c>
      <c r="D649">
        <v>599</v>
      </c>
      <c r="E649" t="s">
        <v>15</v>
      </c>
      <c r="F649" t="s">
        <v>13</v>
      </c>
      <c r="G649">
        <f>MONTH(cleaned_personal_finance_data15[[#This Row],[date]])</f>
        <v>1</v>
      </c>
      <c r="H649">
        <f>YEAR(cleaned_personal_finance_data15[[#This Row],[date]])</f>
        <v>2025</v>
      </c>
      <c r="I649" t="s">
        <v>269</v>
      </c>
    </row>
    <row r="650" spans="1:9" hidden="1" x14ac:dyDescent="0.25">
      <c r="A650">
        <v>649</v>
      </c>
      <c r="B650" s="1">
        <v>45672</v>
      </c>
      <c r="C650" t="s">
        <v>229</v>
      </c>
      <c r="D650">
        <v>42</v>
      </c>
      <c r="E650" t="s">
        <v>15</v>
      </c>
      <c r="F650" t="s">
        <v>13</v>
      </c>
      <c r="G650">
        <f>MONTH(cleaned_personal_finance_data15[[#This Row],[date]])</f>
        <v>1</v>
      </c>
      <c r="H650">
        <f>YEAR(cleaned_personal_finance_data15[[#This Row],[date]])</f>
        <v>2025</v>
      </c>
      <c r="I650" t="s">
        <v>229</v>
      </c>
    </row>
    <row r="651" spans="1:9" hidden="1" x14ac:dyDescent="0.25">
      <c r="A651">
        <v>650</v>
      </c>
      <c r="B651" s="1">
        <v>45672</v>
      </c>
      <c r="C651" t="s">
        <v>61</v>
      </c>
      <c r="D651">
        <v>120</v>
      </c>
      <c r="E651" t="s">
        <v>15</v>
      </c>
      <c r="F651" t="s">
        <v>13</v>
      </c>
      <c r="G651">
        <f>MONTH(cleaned_personal_finance_data15[[#This Row],[date]])</f>
        <v>1</v>
      </c>
      <c r="H651">
        <f>YEAR(cleaned_personal_finance_data15[[#This Row],[date]])</f>
        <v>2025</v>
      </c>
      <c r="I651" t="s">
        <v>43</v>
      </c>
    </row>
    <row r="652" spans="1:9" hidden="1" x14ac:dyDescent="0.25">
      <c r="A652">
        <v>651</v>
      </c>
      <c r="B652" s="1">
        <v>45672</v>
      </c>
      <c r="C652" t="s">
        <v>76</v>
      </c>
      <c r="D652">
        <v>20</v>
      </c>
      <c r="E652" t="s">
        <v>15</v>
      </c>
      <c r="F652" t="s">
        <v>13</v>
      </c>
      <c r="G652">
        <f>MONTH(cleaned_personal_finance_data15[[#This Row],[date]])</f>
        <v>1</v>
      </c>
      <c r="H652">
        <f>YEAR(cleaned_personal_finance_data15[[#This Row],[date]])</f>
        <v>2025</v>
      </c>
      <c r="I652" t="s">
        <v>43</v>
      </c>
    </row>
    <row r="653" spans="1:9" hidden="1" x14ac:dyDescent="0.25">
      <c r="A653">
        <v>652</v>
      </c>
      <c r="B653" s="1">
        <v>45672</v>
      </c>
      <c r="C653" t="s">
        <v>85</v>
      </c>
      <c r="D653">
        <v>300</v>
      </c>
      <c r="E653" t="s">
        <v>15</v>
      </c>
      <c r="F653" t="s">
        <v>13</v>
      </c>
      <c r="G653">
        <f>MONTH(cleaned_personal_finance_data15[[#This Row],[date]])</f>
        <v>1</v>
      </c>
      <c r="H653">
        <f>YEAR(cleaned_personal_finance_data15[[#This Row],[date]])</f>
        <v>2025</v>
      </c>
      <c r="I653" t="s">
        <v>85</v>
      </c>
    </row>
    <row r="654" spans="1:9" hidden="1" x14ac:dyDescent="0.25">
      <c r="A654">
        <v>653</v>
      </c>
      <c r="B654" s="1">
        <v>45673</v>
      </c>
      <c r="C654" t="s">
        <v>6</v>
      </c>
      <c r="D654">
        <v>13201</v>
      </c>
      <c r="E654" t="s">
        <v>7</v>
      </c>
      <c r="F654" t="s">
        <v>8</v>
      </c>
      <c r="G654">
        <f>MONTH(cleaned_personal_finance_data15[[#This Row],[date]])</f>
        <v>1</v>
      </c>
      <c r="H654">
        <f>YEAR(cleaned_personal_finance_data15[[#This Row],[date]])</f>
        <v>2025</v>
      </c>
      <c r="I654" t="s">
        <v>318</v>
      </c>
    </row>
    <row r="655" spans="1:9" hidden="1" x14ac:dyDescent="0.25">
      <c r="A655">
        <v>654</v>
      </c>
      <c r="B655" s="1">
        <v>45674</v>
      </c>
      <c r="C655" t="s">
        <v>287</v>
      </c>
      <c r="D655">
        <v>50</v>
      </c>
      <c r="E655" t="s">
        <v>15</v>
      </c>
      <c r="F655" t="s">
        <v>13</v>
      </c>
      <c r="G655">
        <f>MONTH(cleaned_personal_finance_data15[[#This Row],[date]])</f>
        <v>1</v>
      </c>
      <c r="H655">
        <f>YEAR(cleaned_personal_finance_data15[[#This Row],[date]])</f>
        <v>2025</v>
      </c>
      <c r="I655" t="s">
        <v>43</v>
      </c>
    </row>
    <row r="656" spans="1:9" hidden="1" x14ac:dyDescent="0.25">
      <c r="A656">
        <v>655</v>
      </c>
      <c r="B656" s="1">
        <v>45674</v>
      </c>
      <c r="C656" t="s">
        <v>59</v>
      </c>
      <c r="D656">
        <v>20</v>
      </c>
      <c r="E656" t="s">
        <v>15</v>
      </c>
      <c r="F656" t="s">
        <v>13</v>
      </c>
      <c r="G656">
        <f>MONTH(cleaned_personal_finance_data15[[#This Row],[date]])</f>
        <v>1</v>
      </c>
      <c r="H656">
        <f>YEAR(cleaned_personal_finance_data15[[#This Row],[date]])</f>
        <v>2025</v>
      </c>
      <c r="I656" t="s">
        <v>59</v>
      </c>
    </row>
    <row r="657" spans="1:9" hidden="1" x14ac:dyDescent="0.25">
      <c r="A657">
        <v>656</v>
      </c>
      <c r="B657" s="1">
        <v>45674</v>
      </c>
      <c r="C657" t="s">
        <v>67</v>
      </c>
      <c r="D657">
        <v>20</v>
      </c>
      <c r="E657" t="s">
        <v>15</v>
      </c>
      <c r="F657" t="s">
        <v>13</v>
      </c>
      <c r="G657">
        <f>MONTH(cleaned_personal_finance_data15[[#This Row],[date]])</f>
        <v>1</v>
      </c>
      <c r="H657">
        <f>YEAR(cleaned_personal_finance_data15[[#This Row],[date]])</f>
        <v>2025</v>
      </c>
      <c r="I657" t="s">
        <v>67</v>
      </c>
    </row>
    <row r="658" spans="1:9" hidden="1" x14ac:dyDescent="0.25">
      <c r="A658">
        <v>657</v>
      </c>
      <c r="B658" s="1">
        <v>45674</v>
      </c>
      <c r="C658" t="s">
        <v>110</v>
      </c>
      <c r="D658">
        <v>120</v>
      </c>
      <c r="E658" t="s">
        <v>15</v>
      </c>
      <c r="F658" t="s">
        <v>13</v>
      </c>
      <c r="G658">
        <f>MONTH(cleaned_personal_finance_data15[[#This Row],[date]])</f>
        <v>1</v>
      </c>
      <c r="H658">
        <f>YEAR(cleaned_personal_finance_data15[[#This Row],[date]])</f>
        <v>2025</v>
      </c>
      <c r="I658" t="s">
        <v>43</v>
      </c>
    </row>
    <row r="659" spans="1:9" hidden="1" x14ac:dyDescent="0.25">
      <c r="A659">
        <v>658</v>
      </c>
      <c r="B659" s="1">
        <v>45674</v>
      </c>
      <c r="C659" t="s">
        <v>54</v>
      </c>
      <c r="D659">
        <v>120</v>
      </c>
      <c r="E659" t="s">
        <v>15</v>
      </c>
      <c r="F659" t="s">
        <v>13</v>
      </c>
      <c r="G659">
        <f>MONTH(cleaned_personal_finance_data15[[#This Row],[date]])</f>
        <v>1</v>
      </c>
      <c r="H659">
        <f>YEAR(cleaned_personal_finance_data15[[#This Row],[date]])</f>
        <v>2025</v>
      </c>
      <c r="I659" t="s">
        <v>54</v>
      </c>
    </row>
    <row r="660" spans="1:9" hidden="1" x14ac:dyDescent="0.25">
      <c r="A660">
        <v>659</v>
      </c>
      <c r="B660" s="1">
        <v>45674</v>
      </c>
      <c r="C660" t="s">
        <v>108</v>
      </c>
      <c r="D660">
        <v>60</v>
      </c>
      <c r="E660" t="s">
        <v>15</v>
      </c>
      <c r="F660" t="s">
        <v>13</v>
      </c>
      <c r="G660">
        <f>MONTH(cleaned_personal_finance_data15[[#This Row],[date]])</f>
        <v>1</v>
      </c>
      <c r="H660">
        <f>YEAR(cleaned_personal_finance_data15[[#This Row],[date]])</f>
        <v>2025</v>
      </c>
      <c r="I660" t="s">
        <v>43</v>
      </c>
    </row>
    <row r="661" spans="1:9" hidden="1" x14ac:dyDescent="0.25">
      <c r="A661">
        <v>660</v>
      </c>
      <c r="B661" s="1">
        <v>45674</v>
      </c>
      <c r="C661" t="s">
        <v>288</v>
      </c>
      <c r="D661">
        <v>135</v>
      </c>
      <c r="E661" t="s">
        <v>15</v>
      </c>
      <c r="F661" t="s">
        <v>13</v>
      </c>
      <c r="G661">
        <f>MONTH(cleaned_personal_finance_data15[[#This Row],[date]])</f>
        <v>1</v>
      </c>
      <c r="H661">
        <f>YEAR(cleaned_personal_finance_data15[[#This Row],[date]])</f>
        <v>2025</v>
      </c>
      <c r="I661" t="s">
        <v>288</v>
      </c>
    </row>
    <row r="662" spans="1:9" hidden="1" x14ac:dyDescent="0.25">
      <c r="A662">
        <v>661</v>
      </c>
      <c r="B662" s="1">
        <v>45674</v>
      </c>
      <c r="C662" t="s">
        <v>179</v>
      </c>
      <c r="D662">
        <v>20</v>
      </c>
      <c r="E662" t="s">
        <v>15</v>
      </c>
      <c r="F662" t="s">
        <v>13</v>
      </c>
      <c r="G662">
        <f>MONTH(cleaned_personal_finance_data15[[#This Row],[date]])</f>
        <v>1</v>
      </c>
      <c r="H662">
        <f>YEAR(cleaned_personal_finance_data15[[#This Row],[date]])</f>
        <v>2025</v>
      </c>
      <c r="I662" t="s">
        <v>179</v>
      </c>
    </row>
    <row r="663" spans="1:9" hidden="1" x14ac:dyDescent="0.25">
      <c r="A663">
        <v>662</v>
      </c>
      <c r="B663" s="1">
        <v>45674</v>
      </c>
      <c r="C663" t="s">
        <v>180</v>
      </c>
      <c r="D663">
        <v>10</v>
      </c>
      <c r="E663" t="s">
        <v>15</v>
      </c>
      <c r="F663" t="s">
        <v>13</v>
      </c>
      <c r="G663">
        <f>MONTH(cleaned_personal_finance_data15[[#This Row],[date]])</f>
        <v>1</v>
      </c>
      <c r="H663">
        <f>YEAR(cleaned_personal_finance_data15[[#This Row],[date]])</f>
        <v>2025</v>
      </c>
      <c r="I663" t="s">
        <v>43</v>
      </c>
    </row>
    <row r="664" spans="1:9" hidden="1" x14ac:dyDescent="0.25">
      <c r="A664">
        <v>663</v>
      </c>
      <c r="B664" s="1">
        <v>45674</v>
      </c>
      <c r="C664" t="s">
        <v>67</v>
      </c>
      <c r="D664">
        <v>25</v>
      </c>
      <c r="E664" t="s">
        <v>15</v>
      </c>
      <c r="F664" t="s">
        <v>13</v>
      </c>
      <c r="G664">
        <f>MONTH(cleaned_personal_finance_data15[[#This Row],[date]])</f>
        <v>1</v>
      </c>
      <c r="H664">
        <f>YEAR(cleaned_personal_finance_data15[[#This Row],[date]])</f>
        <v>2025</v>
      </c>
      <c r="I664" t="s">
        <v>67</v>
      </c>
    </row>
    <row r="665" spans="1:9" hidden="1" x14ac:dyDescent="0.25">
      <c r="A665">
        <v>664</v>
      </c>
      <c r="B665" s="1">
        <v>45674</v>
      </c>
      <c r="C665" t="s">
        <v>181</v>
      </c>
      <c r="D665">
        <v>120</v>
      </c>
      <c r="E665" t="s">
        <v>15</v>
      </c>
      <c r="F665" t="s">
        <v>13</v>
      </c>
      <c r="G665">
        <f>MONTH(cleaned_personal_finance_data15[[#This Row],[date]])</f>
        <v>1</v>
      </c>
      <c r="H665">
        <f>YEAR(cleaned_personal_finance_data15[[#This Row],[date]])</f>
        <v>2025</v>
      </c>
      <c r="I665" t="s">
        <v>43</v>
      </c>
    </row>
    <row r="666" spans="1:9" hidden="1" x14ac:dyDescent="0.25">
      <c r="A666">
        <v>665</v>
      </c>
      <c r="B666" s="1">
        <v>45674</v>
      </c>
      <c r="C666" t="s">
        <v>76</v>
      </c>
      <c r="D666">
        <v>100</v>
      </c>
      <c r="E666" t="s">
        <v>15</v>
      </c>
      <c r="F666" t="s">
        <v>13</v>
      </c>
      <c r="G666">
        <f>MONTH(cleaned_personal_finance_data15[[#This Row],[date]])</f>
        <v>1</v>
      </c>
      <c r="H666">
        <f>YEAR(cleaned_personal_finance_data15[[#This Row],[date]])</f>
        <v>2025</v>
      </c>
      <c r="I666" t="s">
        <v>43</v>
      </c>
    </row>
    <row r="667" spans="1:9" hidden="1" x14ac:dyDescent="0.25">
      <c r="A667">
        <v>666</v>
      </c>
      <c r="B667" s="1">
        <v>45681</v>
      </c>
      <c r="C667" t="s">
        <v>281</v>
      </c>
      <c r="D667">
        <v>300</v>
      </c>
      <c r="E667" t="s">
        <v>15</v>
      </c>
      <c r="F667" t="s">
        <v>13</v>
      </c>
      <c r="G667">
        <f>MONTH(cleaned_personal_finance_data15[[#This Row],[date]])</f>
        <v>1</v>
      </c>
      <c r="H667">
        <f>YEAR(cleaned_personal_finance_data15[[#This Row],[date]])</f>
        <v>2025</v>
      </c>
      <c r="I667" t="s">
        <v>43</v>
      </c>
    </row>
    <row r="668" spans="1:9" hidden="1" x14ac:dyDescent="0.25">
      <c r="A668">
        <v>667</v>
      </c>
      <c r="B668" s="1">
        <v>45681</v>
      </c>
      <c r="C668" t="s">
        <v>54</v>
      </c>
      <c r="D668">
        <v>392</v>
      </c>
      <c r="E668" t="s">
        <v>15</v>
      </c>
      <c r="F668" t="s">
        <v>13</v>
      </c>
      <c r="G668">
        <f>MONTH(cleaned_personal_finance_data15[[#This Row],[date]])</f>
        <v>1</v>
      </c>
      <c r="H668">
        <f>YEAR(cleaned_personal_finance_data15[[#This Row],[date]])</f>
        <v>2025</v>
      </c>
      <c r="I668" t="s">
        <v>54</v>
      </c>
    </row>
    <row r="669" spans="1:9" hidden="1" x14ac:dyDescent="0.25">
      <c r="A669">
        <v>668</v>
      </c>
      <c r="B669" s="1">
        <v>45681</v>
      </c>
      <c r="C669" t="s">
        <v>289</v>
      </c>
      <c r="D669">
        <v>58</v>
      </c>
      <c r="E669" t="s">
        <v>15</v>
      </c>
      <c r="F669" t="s">
        <v>13</v>
      </c>
      <c r="G669">
        <f>MONTH(cleaned_personal_finance_data15[[#This Row],[date]])</f>
        <v>1</v>
      </c>
      <c r="H669">
        <f>YEAR(cleaned_personal_finance_data15[[#This Row],[date]])</f>
        <v>2025</v>
      </c>
      <c r="I669" t="s">
        <v>289</v>
      </c>
    </row>
    <row r="670" spans="1:9" hidden="1" x14ac:dyDescent="0.25">
      <c r="A670">
        <v>669</v>
      </c>
      <c r="B670" s="1">
        <v>45681</v>
      </c>
      <c r="C670" t="s">
        <v>290</v>
      </c>
      <c r="D670">
        <v>18</v>
      </c>
      <c r="E670" t="s">
        <v>15</v>
      </c>
      <c r="F670" t="s">
        <v>13</v>
      </c>
      <c r="G670">
        <f>MONTH(cleaned_personal_finance_data15[[#This Row],[date]])</f>
        <v>1</v>
      </c>
      <c r="H670">
        <f>YEAR(cleaned_personal_finance_data15[[#This Row],[date]])</f>
        <v>2025</v>
      </c>
      <c r="I670" t="s">
        <v>290</v>
      </c>
    </row>
    <row r="671" spans="1:9" hidden="1" x14ac:dyDescent="0.25">
      <c r="A671">
        <v>670</v>
      </c>
      <c r="B671" s="1">
        <v>45681</v>
      </c>
      <c r="C671" t="s">
        <v>291</v>
      </c>
      <c r="D671">
        <v>20</v>
      </c>
      <c r="E671" t="s">
        <v>15</v>
      </c>
      <c r="F671" t="s">
        <v>13</v>
      </c>
      <c r="G671">
        <f>MONTH(cleaned_personal_finance_data15[[#This Row],[date]])</f>
        <v>1</v>
      </c>
      <c r="H671">
        <f>YEAR(cleaned_personal_finance_data15[[#This Row],[date]])</f>
        <v>2025</v>
      </c>
      <c r="I671" t="s">
        <v>291</v>
      </c>
    </row>
    <row r="672" spans="1:9" hidden="1" x14ac:dyDescent="0.25">
      <c r="A672">
        <v>671</v>
      </c>
      <c r="B672" s="1">
        <v>45687</v>
      </c>
      <c r="C672" t="s">
        <v>6</v>
      </c>
      <c r="D672">
        <v>13202</v>
      </c>
      <c r="E672" t="s">
        <v>7</v>
      </c>
      <c r="F672" t="s">
        <v>8</v>
      </c>
      <c r="G672">
        <f>MONTH(cleaned_personal_finance_data15[[#This Row],[date]])</f>
        <v>1</v>
      </c>
      <c r="H672">
        <f>YEAR(cleaned_personal_finance_data15[[#This Row],[date]])</f>
        <v>2025</v>
      </c>
      <c r="I672" t="s">
        <v>318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1156-B1EC-4D39-85D4-714D33ADE3FE}">
  <dimension ref="A1:I672"/>
  <sheetViews>
    <sheetView topLeftCell="A30" workbookViewId="0">
      <selection activeCell="L38" sqref="L38"/>
    </sheetView>
  </sheetViews>
  <sheetFormatPr defaultRowHeight="15" x14ac:dyDescent="0.25"/>
  <cols>
    <col min="1" max="1" width="8.85546875" customWidth="1"/>
    <col min="2" max="2" width="15.140625" customWidth="1"/>
    <col min="3" max="3" width="13.140625" customWidth="1"/>
    <col min="9" max="9" width="14.28515625" customWidth="1"/>
  </cols>
  <sheetData>
    <row r="1" spans="1:9" x14ac:dyDescent="0.25">
      <c r="A1" t="s">
        <v>0</v>
      </c>
      <c r="B1" t="s">
        <v>1</v>
      </c>
      <c r="C1" t="s">
        <v>2</v>
      </c>
      <c r="D1" t="s">
        <v>3</v>
      </c>
      <c r="E1" t="s">
        <v>4</v>
      </c>
      <c r="F1" t="s">
        <v>5</v>
      </c>
      <c r="G1" t="s">
        <v>292</v>
      </c>
      <c r="H1" t="s">
        <v>293</v>
      </c>
      <c r="I1" t="s">
        <v>317</v>
      </c>
    </row>
    <row r="2" spans="1:9" hidden="1" x14ac:dyDescent="0.25">
      <c r="A2">
        <v>1</v>
      </c>
      <c r="B2" s="1">
        <v>45183</v>
      </c>
      <c r="C2" t="s">
        <v>6</v>
      </c>
      <c r="D2">
        <v>17732</v>
      </c>
      <c r="E2" t="s">
        <v>7</v>
      </c>
      <c r="F2" t="s">
        <v>8</v>
      </c>
      <c r="G2">
        <f>MONTH(cleaned_personal_finance_data3[[#This Row],[date]])</f>
        <v>9</v>
      </c>
      <c r="H2">
        <f>YEAR(cleaned_personal_finance_data3[[#This Row],[date]])</f>
        <v>2023</v>
      </c>
      <c r="I2" t="s">
        <v>318</v>
      </c>
    </row>
    <row r="3" spans="1:9" hidden="1" x14ac:dyDescent="0.25">
      <c r="A3">
        <v>2</v>
      </c>
      <c r="B3" s="1">
        <v>45208</v>
      </c>
      <c r="C3" t="s">
        <v>6</v>
      </c>
      <c r="D3">
        <v>12754</v>
      </c>
      <c r="E3" t="s">
        <v>7</v>
      </c>
      <c r="F3" t="s">
        <v>8</v>
      </c>
      <c r="G3">
        <f>MONTH(cleaned_personal_finance_data3[[#This Row],[date]])</f>
        <v>10</v>
      </c>
      <c r="H3">
        <f>YEAR(cleaned_personal_finance_data3[[#This Row],[date]])</f>
        <v>2023</v>
      </c>
      <c r="I3" t="s">
        <v>318</v>
      </c>
    </row>
    <row r="4" spans="1:9" hidden="1" x14ac:dyDescent="0.25">
      <c r="A4">
        <v>3</v>
      </c>
      <c r="B4" s="1">
        <v>45214</v>
      </c>
      <c r="C4" t="s">
        <v>9</v>
      </c>
      <c r="D4">
        <v>26142</v>
      </c>
      <c r="E4" t="s">
        <v>10</v>
      </c>
      <c r="F4" t="s">
        <v>8</v>
      </c>
      <c r="G4">
        <f>MONTH(cleaned_personal_finance_data3[[#This Row],[date]])</f>
        <v>10</v>
      </c>
      <c r="H4">
        <f>YEAR(cleaned_personal_finance_data3[[#This Row],[date]])</f>
        <v>2023</v>
      </c>
      <c r="I4" t="s">
        <v>9</v>
      </c>
    </row>
    <row r="5" spans="1:9" hidden="1" x14ac:dyDescent="0.25">
      <c r="A5">
        <v>4</v>
      </c>
      <c r="B5" s="1">
        <v>45214</v>
      </c>
      <c r="C5" t="s">
        <v>11</v>
      </c>
      <c r="D5">
        <v>26142</v>
      </c>
      <c r="E5" t="s">
        <v>12</v>
      </c>
      <c r="F5" t="s">
        <v>13</v>
      </c>
      <c r="G5">
        <f>MONTH(cleaned_personal_finance_data3[[#This Row],[date]])</f>
        <v>10</v>
      </c>
      <c r="H5">
        <f>YEAR(cleaned_personal_finance_data3[[#This Row],[date]])</f>
        <v>2023</v>
      </c>
      <c r="I5" t="s">
        <v>11</v>
      </c>
    </row>
    <row r="6" spans="1:9" hidden="1" x14ac:dyDescent="0.25">
      <c r="A6">
        <v>5</v>
      </c>
      <c r="B6" s="1">
        <v>45230</v>
      </c>
      <c r="C6" t="s">
        <v>6</v>
      </c>
      <c r="D6">
        <v>12834</v>
      </c>
      <c r="E6" t="s">
        <v>7</v>
      </c>
      <c r="F6" t="s">
        <v>8</v>
      </c>
      <c r="G6">
        <f>MONTH(cleaned_personal_finance_data3[[#This Row],[date]])</f>
        <v>10</v>
      </c>
      <c r="H6">
        <f>YEAR(cleaned_personal_finance_data3[[#This Row],[date]])</f>
        <v>2023</v>
      </c>
      <c r="I6" t="s">
        <v>318</v>
      </c>
    </row>
    <row r="7" spans="1:9" x14ac:dyDescent="0.25">
      <c r="A7">
        <v>6</v>
      </c>
      <c r="B7" s="1">
        <v>45235</v>
      </c>
      <c r="C7" t="s">
        <v>14</v>
      </c>
      <c r="D7">
        <v>2550</v>
      </c>
      <c r="E7" t="s">
        <v>15</v>
      </c>
      <c r="F7" t="s">
        <v>13</v>
      </c>
      <c r="G7">
        <f>MONTH(cleaned_personal_finance_data3[[#This Row],[date]])</f>
        <v>11</v>
      </c>
      <c r="H7">
        <f>YEAR(cleaned_personal_finance_data3[[#This Row],[date]])</f>
        <v>2023</v>
      </c>
      <c r="I7" t="s">
        <v>159</v>
      </c>
    </row>
    <row r="8" spans="1:9" x14ac:dyDescent="0.25">
      <c r="A8">
        <v>7</v>
      </c>
      <c r="B8" s="1">
        <v>45235</v>
      </c>
      <c r="C8" t="s">
        <v>16</v>
      </c>
      <c r="D8">
        <v>5000</v>
      </c>
      <c r="E8" t="s">
        <v>15</v>
      </c>
      <c r="F8" t="s">
        <v>13</v>
      </c>
      <c r="G8">
        <f>MONTH(cleaned_personal_finance_data3[[#This Row],[date]])</f>
        <v>11</v>
      </c>
      <c r="H8">
        <f>YEAR(cleaned_personal_finance_data3[[#This Row],[date]])</f>
        <v>2023</v>
      </c>
      <c r="I8" t="s">
        <v>145</v>
      </c>
    </row>
    <row r="9" spans="1:9" hidden="1" x14ac:dyDescent="0.25">
      <c r="A9">
        <v>8</v>
      </c>
      <c r="B9" s="1">
        <v>45235</v>
      </c>
      <c r="C9" t="s">
        <v>17</v>
      </c>
      <c r="D9">
        <v>12560</v>
      </c>
      <c r="E9" t="s">
        <v>7</v>
      </c>
      <c r="F9" t="s">
        <v>13</v>
      </c>
      <c r="G9">
        <f>MONTH(cleaned_personal_finance_data3[[#This Row],[date]])</f>
        <v>11</v>
      </c>
      <c r="H9">
        <f>YEAR(cleaned_personal_finance_data3[[#This Row],[date]])</f>
        <v>2023</v>
      </c>
      <c r="I9" t="s">
        <v>17</v>
      </c>
    </row>
    <row r="10" spans="1:9" x14ac:dyDescent="0.25">
      <c r="A10">
        <v>9</v>
      </c>
      <c r="B10" s="1">
        <v>45235</v>
      </c>
      <c r="C10" t="s">
        <v>18</v>
      </c>
      <c r="D10">
        <v>56</v>
      </c>
      <c r="E10" t="s">
        <v>15</v>
      </c>
      <c r="F10" t="s">
        <v>13</v>
      </c>
      <c r="G10">
        <f>MONTH(cleaned_personal_finance_data3[[#This Row],[date]])</f>
        <v>11</v>
      </c>
      <c r="H10">
        <f>YEAR(cleaned_personal_finance_data3[[#This Row],[date]])</f>
        <v>2023</v>
      </c>
      <c r="I10" t="s">
        <v>18</v>
      </c>
    </row>
    <row r="11" spans="1:9" x14ac:dyDescent="0.25">
      <c r="A11">
        <v>10</v>
      </c>
      <c r="B11" s="1">
        <v>45235</v>
      </c>
      <c r="C11" t="s">
        <v>19</v>
      </c>
      <c r="D11">
        <v>30</v>
      </c>
      <c r="E11" t="s">
        <v>15</v>
      </c>
      <c r="F11" t="s">
        <v>13</v>
      </c>
      <c r="G11">
        <f>MONTH(cleaned_personal_finance_data3[[#This Row],[date]])</f>
        <v>11</v>
      </c>
      <c r="H11">
        <f>YEAR(cleaned_personal_finance_data3[[#This Row],[date]])</f>
        <v>2023</v>
      </c>
      <c r="I11" t="s">
        <v>25</v>
      </c>
    </row>
    <row r="12" spans="1:9" hidden="1" x14ac:dyDescent="0.25">
      <c r="A12">
        <v>11</v>
      </c>
      <c r="B12" s="1">
        <v>45235</v>
      </c>
      <c r="C12" t="s">
        <v>20</v>
      </c>
      <c r="D12">
        <v>2010</v>
      </c>
      <c r="E12" t="s">
        <v>10</v>
      </c>
      <c r="F12" t="s">
        <v>13</v>
      </c>
      <c r="G12">
        <f>MONTH(cleaned_personal_finance_data3[[#This Row],[date]])</f>
        <v>11</v>
      </c>
      <c r="H12">
        <f>YEAR(cleaned_personal_finance_data3[[#This Row],[date]])</f>
        <v>2023</v>
      </c>
      <c r="I12" t="s">
        <v>20</v>
      </c>
    </row>
    <row r="13" spans="1:9" hidden="1" x14ac:dyDescent="0.25">
      <c r="A13">
        <v>12</v>
      </c>
      <c r="B13" s="1">
        <v>45235</v>
      </c>
      <c r="C13" t="s">
        <v>20</v>
      </c>
      <c r="D13">
        <v>2010</v>
      </c>
      <c r="E13" t="s">
        <v>12</v>
      </c>
      <c r="F13" t="s">
        <v>21</v>
      </c>
      <c r="G13">
        <f>MONTH(cleaned_personal_finance_data3[[#This Row],[date]])</f>
        <v>11</v>
      </c>
      <c r="H13">
        <f>YEAR(cleaned_personal_finance_data3[[#This Row],[date]])</f>
        <v>2023</v>
      </c>
      <c r="I13" t="s">
        <v>20</v>
      </c>
    </row>
    <row r="14" spans="1:9" x14ac:dyDescent="0.25">
      <c r="A14">
        <v>13</v>
      </c>
      <c r="B14" s="1">
        <v>45235</v>
      </c>
      <c r="C14" t="s">
        <v>22</v>
      </c>
      <c r="D14">
        <v>1000</v>
      </c>
      <c r="E14" t="s">
        <v>15</v>
      </c>
      <c r="F14" t="s">
        <v>13</v>
      </c>
      <c r="G14">
        <f>MONTH(cleaned_personal_finance_data3[[#This Row],[date]])</f>
        <v>11</v>
      </c>
      <c r="H14">
        <f>YEAR(cleaned_personal_finance_data3[[#This Row],[date]])</f>
        <v>2023</v>
      </c>
      <c r="I14" t="s">
        <v>22</v>
      </c>
    </row>
    <row r="15" spans="1:9" x14ac:dyDescent="0.25">
      <c r="A15">
        <v>14</v>
      </c>
      <c r="B15" s="1">
        <v>45236</v>
      </c>
      <c r="C15" t="s">
        <v>23</v>
      </c>
      <c r="D15">
        <v>20</v>
      </c>
      <c r="E15" t="s">
        <v>15</v>
      </c>
      <c r="F15" t="s">
        <v>13</v>
      </c>
      <c r="G15">
        <f>MONTH(cleaned_personal_finance_data3[[#This Row],[date]])</f>
        <v>11</v>
      </c>
      <c r="H15">
        <f>YEAR(cleaned_personal_finance_data3[[#This Row],[date]])</f>
        <v>2023</v>
      </c>
      <c r="I15" t="s">
        <v>23</v>
      </c>
    </row>
    <row r="16" spans="1:9" x14ac:dyDescent="0.25">
      <c r="A16">
        <v>15</v>
      </c>
      <c r="B16" s="1">
        <v>45236</v>
      </c>
      <c r="C16" t="s">
        <v>24</v>
      </c>
      <c r="D16">
        <v>194</v>
      </c>
      <c r="E16" t="s">
        <v>15</v>
      </c>
      <c r="F16" t="s">
        <v>21</v>
      </c>
      <c r="G16">
        <f>MONTH(cleaned_personal_finance_data3[[#This Row],[date]])</f>
        <v>11</v>
      </c>
      <c r="H16">
        <f>YEAR(cleaned_personal_finance_data3[[#This Row],[date]])</f>
        <v>2023</v>
      </c>
      <c r="I16" t="s">
        <v>24</v>
      </c>
    </row>
    <row r="17" spans="1:9" x14ac:dyDescent="0.25">
      <c r="A17">
        <v>16</v>
      </c>
      <c r="B17" s="1">
        <v>45240</v>
      </c>
      <c r="C17" t="s">
        <v>25</v>
      </c>
      <c r="D17">
        <v>30</v>
      </c>
      <c r="E17" t="s">
        <v>15</v>
      </c>
      <c r="F17" t="s">
        <v>13</v>
      </c>
      <c r="G17">
        <f>MONTH(cleaned_personal_finance_data3[[#This Row],[date]])</f>
        <v>11</v>
      </c>
      <c r="H17">
        <f>YEAR(cleaned_personal_finance_data3[[#This Row],[date]])</f>
        <v>2023</v>
      </c>
      <c r="I17" t="s">
        <v>25</v>
      </c>
    </row>
    <row r="18" spans="1:9" x14ac:dyDescent="0.25">
      <c r="A18">
        <v>17</v>
      </c>
      <c r="B18" s="1">
        <v>45240</v>
      </c>
      <c r="C18" t="s">
        <v>26</v>
      </c>
      <c r="D18">
        <v>43</v>
      </c>
      <c r="E18" t="s">
        <v>15</v>
      </c>
      <c r="F18" t="s">
        <v>13</v>
      </c>
      <c r="G18">
        <f>MONTH(cleaned_personal_finance_data3[[#This Row],[date]])</f>
        <v>11</v>
      </c>
      <c r="H18">
        <f>YEAR(cleaned_personal_finance_data3[[#This Row],[date]])</f>
        <v>2023</v>
      </c>
      <c r="I18" t="s">
        <v>26</v>
      </c>
    </row>
    <row r="19" spans="1:9" x14ac:dyDescent="0.25">
      <c r="A19">
        <v>18</v>
      </c>
      <c r="B19" s="1">
        <v>45243</v>
      </c>
      <c r="C19" t="s">
        <v>27</v>
      </c>
      <c r="D19">
        <v>12</v>
      </c>
      <c r="E19" t="s">
        <v>15</v>
      </c>
      <c r="F19" t="s">
        <v>13</v>
      </c>
      <c r="G19">
        <f>MONTH(cleaned_personal_finance_data3[[#This Row],[date]])</f>
        <v>11</v>
      </c>
      <c r="H19">
        <f>YEAR(cleaned_personal_finance_data3[[#This Row],[date]])</f>
        <v>2023</v>
      </c>
      <c r="I19" t="s">
        <v>27</v>
      </c>
    </row>
    <row r="20" spans="1:9" x14ac:dyDescent="0.25">
      <c r="A20">
        <v>19</v>
      </c>
      <c r="B20" s="1">
        <v>45243</v>
      </c>
      <c r="C20" t="s">
        <v>28</v>
      </c>
      <c r="D20">
        <v>25</v>
      </c>
      <c r="E20" t="s">
        <v>15</v>
      </c>
      <c r="F20" t="s">
        <v>21</v>
      </c>
      <c r="G20">
        <f>MONTH(cleaned_personal_finance_data3[[#This Row],[date]])</f>
        <v>11</v>
      </c>
      <c r="H20">
        <f>YEAR(cleaned_personal_finance_data3[[#This Row],[date]])</f>
        <v>2023</v>
      </c>
      <c r="I20" t="s">
        <v>28</v>
      </c>
    </row>
    <row r="21" spans="1:9" x14ac:dyDescent="0.25">
      <c r="A21">
        <v>20</v>
      </c>
      <c r="B21" s="1">
        <v>45243</v>
      </c>
      <c r="C21" t="s">
        <v>28</v>
      </c>
      <c r="D21">
        <v>125</v>
      </c>
      <c r="E21" t="s">
        <v>15</v>
      </c>
      <c r="F21" t="s">
        <v>21</v>
      </c>
      <c r="G21">
        <f>MONTH(cleaned_personal_finance_data3[[#This Row],[date]])</f>
        <v>11</v>
      </c>
      <c r="H21">
        <f>YEAR(cleaned_personal_finance_data3[[#This Row],[date]])</f>
        <v>2023</v>
      </c>
      <c r="I21" t="s">
        <v>28</v>
      </c>
    </row>
    <row r="22" spans="1:9" x14ac:dyDescent="0.25">
      <c r="A22">
        <v>21</v>
      </c>
      <c r="B22" s="1">
        <v>45244</v>
      </c>
      <c r="C22" t="s">
        <v>29</v>
      </c>
      <c r="D22">
        <v>25</v>
      </c>
      <c r="E22" t="s">
        <v>15</v>
      </c>
      <c r="F22" t="s">
        <v>13</v>
      </c>
      <c r="G22">
        <f>MONTH(cleaned_personal_finance_data3[[#This Row],[date]])</f>
        <v>11</v>
      </c>
      <c r="H22">
        <f>YEAR(cleaned_personal_finance_data3[[#This Row],[date]])</f>
        <v>2023</v>
      </c>
      <c r="I22" t="s">
        <v>29</v>
      </c>
    </row>
    <row r="23" spans="1:9" x14ac:dyDescent="0.25">
      <c r="A23">
        <v>22</v>
      </c>
      <c r="B23" s="1">
        <v>45245</v>
      </c>
      <c r="C23" t="s">
        <v>28</v>
      </c>
      <c r="D23">
        <v>125</v>
      </c>
      <c r="E23" t="s">
        <v>15</v>
      </c>
      <c r="F23" t="s">
        <v>21</v>
      </c>
      <c r="G23">
        <f>MONTH(cleaned_personal_finance_data3[[#This Row],[date]])</f>
        <v>11</v>
      </c>
      <c r="H23">
        <f>YEAR(cleaned_personal_finance_data3[[#This Row],[date]])</f>
        <v>2023</v>
      </c>
      <c r="I23" t="s">
        <v>28</v>
      </c>
    </row>
    <row r="24" spans="1:9" x14ac:dyDescent="0.25">
      <c r="A24">
        <v>23</v>
      </c>
      <c r="B24" s="1">
        <v>45246</v>
      </c>
      <c r="C24" t="s">
        <v>29</v>
      </c>
      <c r="D24">
        <v>25</v>
      </c>
      <c r="E24" t="s">
        <v>15</v>
      </c>
      <c r="F24" t="s">
        <v>13</v>
      </c>
      <c r="G24">
        <f>MONTH(cleaned_personal_finance_data3[[#This Row],[date]])</f>
        <v>11</v>
      </c>
      <c r="H24">
        <f>YEAR(cleaned_personal_finance_data3[[#This Row],[date]])</f>
        <v>2023</v>
      </c>
      <c r="I24" t="s">
        <v>29</v>
      </c>
    </row>
    <row r="25" spans="1:9" x14ac:dyDescent="0.25">
      <c r="A25">
        <v>24</v>
      </c>
      <c r="B25" s="1">
        <v>45247</v>
      </c>
      <c r="C25" t="s">
        <v>30</v>
      </c>
      <c r="D25">
        <v>12</v>
      </c>
      <c r="E25" t="s">
        <v>15</v>
      </c>
      <c r="F25" t="s">
        <v>13</v>
      </c>
      <c r="G25">
        <f>MONTH(cleaned_personal_finance_data3[[#This Row],[date]])</f>
        <v>11</v>
      </c>
      <c r="H25">
        <f>YEAR(cleaned_personal_finance_data3[[#This Row],[date]])</f>
        <v>2023</v>
      </c>
      <c r="I25" t="s">
        <v>30</v>
      </c>
    </row>
    <row r="26" spans="1:9" x14ac:dyDescent="0.25">
      <c r="A26">
        <v>25</v>
      </c>
      <c r="B26" s="1">
        <v>45247</v>
      </c>
      <c r="C26" t="s">
        <v>29</v>
      </c>
      <c r="D26">
        <v>25</v>
      </c>
      <c r="E26" t="s">
        <v>15</v>
      </c>
      <c r="F26" t="s">
        <v>13</v>
      </c>
      <c r="G26">
        <f>MONTH(cleaned_personal_finance_data3[[#This Row],[date]])</f>
        <v>11</v>
      </c>
      <c r="H26">
        <f>YEAR(cleaned_personal_finance_data3[[#This Row],[date]])</f>
        <v>2023</v>
      </c>
      <c r="I26" t="s">
        <v>29</v>
      </c>
    </row>
    <row r="27" spans="1:9" x14ac:dyDescent="0.25">
      <c r="A27">
        <v>26</v>
      </c>
      <c r="B27" s="1">
        <v>45248</v>
      </c>
      <c r="C27" t="s">
        <v>31</v>
      </c>
      <c r="D27">
        <v>300</v>
      </c>
      <c r="E27" t="s">
        <v>15</v>
      </c>
      <c r="F27" t="s">
        <v>13</v>
      </c>
      <c r="G27">
        <f>MONTH(cleaned_personal_finance_data3[[#This Row],[date]])</f>
        <v>11</v>
      </c>
      <c r="H27">
        <f>YEAR(cleaned_personal_finance_data3[[#This Row],[date]])</f>
        <v>2023</v>
      </c>
      <c r="I27" t="s">
        <v>31</v>
      </c>
    </row>
    <row r="28" spans="1:9" x14ac:dyDescent="0.25">
      <c r="A28">
        <v>27</v>
      </c>
      <c r="B28" s="1">
        <v>45248</v>
      </c>
      <c r="C28" t="s">
        <v>32</v>
      </c>
      <c r="D28">
        <v>20</v>
      </c>
      <c r="E28" t="s">
        <v>15</v>
      </c>
      <c r="F28" t="s">
        <v>13</v>
      </c>
      <c r="G28">
        <f>MONTH(cleaned_personal_finance_data3[[#This Row],[date]])</f>
        <v>11</v>
      </c>
      <c r="H28">
        <f>YEAR(cleaned_personal_finance_data3[[#This Row],[date]])</f>
        <v>2023</v>
      </c>
      <c r="I28" t="s">
        <v>32</v>
      </c>
    </row>
    <row r="29" spans="1:9" hidden="1" x14ac:dyDescent="0.25">
      <c r="A29">
        <v>28</v>
      </c>
      <c r="B29" s="1">
        <v>45248</v>
      </c>
      <c r="C29" t="s">
        <v>33</v>
      </c>
      <c r="D29">
        <v>44732</v>
      </c>
      <c r="E29" t="s">
        <v>7</v>
      </c>
      <c r="F29" t="s">
        <v>8</v>
      </c>
      <c r="G29">
        <f>MONTH(cleaned_personal_finance_data3[[#This Row],[date]])</f>
        <v>11</v>
      </c>
      <c r="H29">
        <f>YEAR(cleaned_personal_finance_data3[[#This Row],[date]])</f>
        <v>2023</v>
      </c>
      <c r="I29" t="s">
        <v>33</v>
      </c>
    </row>
    <row r="30" spans="1:9" x14ac:dyDescent="0.25">
      <c r="A30">
        <v>29</v>
      </c>
      <c r="B30" s="1">
        <v>45246</v>
      </c>
      <c r="C30" t="s">
        <v>25</v>
      </c>
      <c r="D30">
        <v>30</v>
      </c>
      <c r="E30" t="s">
        <v>15</v>
      </c>
      <c r="F30" t="s">
        <v>13</v>
      </c>
      <c r="G30">
        <f>MONTH(cleaned_personal_finance_data3[[#This Row],[date]])</f>
        <v>11</v>
      </c>
      <c r="H30">
        <f>YEAR(cleaned_personal_finance_data3[[#This Row],[date]])</f>
        <v>2023</v>
      </c>
      <c r="I30" t="s">
        <v>25</v>
      </c>
    </row>
    <row r="31" spans="1:9" x14ac:dyDescent="0.25">
      <c r="A31">
        <v>30</v>
      </c>
      <c r="B31" s="1">
        <v>45252</v>
      </c>
      <c r="C31" t="s">
        <v>34</v>
      </c>
      <c r="D31">
        <v>129</v>
      </c>
      <c r="E31" t="s">
        <v>15</v>
      </c>
      <c r="F31" t="s">
        <v>21</v>
      </c>
      <c r="G31">
        <f>MONTH(cleaned_personal_finance_data3[[#This Row],[date]])</f>
        <v>11</v>
      </c>
      <c r="H31">
        <f>YEAR(cleaned_personal_finance_data3[[#This Row],[date]])</f>
        <v>2023</v>
      </c>
      <c r="I31" t="s">
        <v>34</v>
      </c>
    </row>
    <row r="32" spans="1:9" x14ac:dyDescent="0.25">
      <c r="A32">
        <v>31</v>
      </c>
      <c r="B32" s="1">
        <v>45252</v>
      </c>
      <c r="C32" t="s">
        <v>35</v>
      </c>
      <c r="D32">
        <v>280</v>
      </c>
      <c r="E32" t="s">
        <v>15</v>
      </c>
      <c r="F32" t="s">
        <v>21</v>
      </c>
      <c r="G32">
        <f>MONTH(cleaned_personal_finance_data3[[#This Row],[date]])</f>
        <v>11</v>
      </c>
      <c r="H32">
        <f>YEAR(cleaned_personal_finance_data3[[#This Row],[date]])</f>
        <v>2023</v>
      </c>
      <c r="I32" t="s">
        <v>35</v>
      </c>
    </row>
    <row r="33" spans="1:9" x14ac:dyDescent="0.25">
      <c r="A33">
        <v>32</v>
      </c>
      <c r="B33" s="1">
        <v>45253</v>
      </c>
      <c r="C33" t="s">
        <v>28</v>
      </c>
      <c r="D33">
        <v>125</v>
      </c>
      <c r="E33" t="s">
        <v>15</v>
      </c>
      <c r="F33" t="s">
        <v>21</v>
      </c>
      <c r="G33">
        <f>MONTH(cleaned_personal_finance_data3[[#This Row],[date]])</f>
        <v>11</v>
      </c>
      <c r="H33">
        <f>YEAR(cleaned_personal_finance_data3[[#This Row],[date]])</f>
        <v>2023</v>
      </c>
      <c r="I33" t="s">
        <v>28</v>
      </c>
    </row>
    <row r="34" spans="1:9" hidden="1" x14ac:dyDescent="0.25">
      <c r="A34">
        <v>33</v>
      </c>
      <c r="B34" s="1">
        <v>45260</v>
      </c>
      <c r="C34" t="s">
        <v>6</v>
      </c>
      <c r="D34">
        <v>12734</v>
      </c>
      <c r="E34" t="s">
        <v>7</v>
      </c>
      <c r="F34" t="s">
        <v>8</v>
      </c>
      <c r="G34">
        <f>MONTH(cleaned_personal_finance_data3[[#This Row],[date]])</f>
        <v>11</v>
      </c>
      <c r="H34">
        <f>YEAR(cleaned_personal_finance_data3[[#This Row],[date]])</f>
        <v>2023</v>
      </c>
      <c r="I34" t="s">
        <v>318</v>
      </c>
    </row>
    <row r="35" spans="1:9" x14ac:dyDescent="0.25">
      <c r="A35">
        <v>34</v>
      </c>
      <c r="B35" s="1">
        <v>45262</v>
      </c>
      <c r="C35" t="s">
        <v>28</v>
      </c>
      <c r="D35">
        <v>125</v>
      </c>
      <c r="E35" t="s">
        <v>15</v>
      </c>
      <c r="F35" t="s">
        <v>21</v>
      </c>
      <c r="G35">
        <f>MONTH(cleaned_personal_finance_data3[[#This Row],[date]])</f>
        <v>12</v>
      </c>
      <c r="H35">
        <f>YEAR(cleaned_personal_finance_data3[[#This Row],[date]])</f>
        <v>2023</v>
      </c>
      <c r="I35" t="s">
        <v>28</v>
      </c>
    </row>
    <row r="36" spans="1:9" x14ac:dyDescent="0.25">
      <c r="A36">
        <v>35</v>
      </c>
      <c r="B36" s="1">
        <v>45263</v>
      </c>
      <c r="C36" t="s">
        <v>36</v>
      </c>
      <c r="D36">
        <v>265</v>
      </c>
      <c r="E36" t="s">
        <v>15</v>
      </c>
      <c r="F36" t="s">
        <v>13</v>
      </c>
      <c r="G36">
        <f>MONTH(cleaned_personal_finance_data3[[#This Row],[date]])</f>
        <v>12</v>
      </c>
      <c r="H36">
        <f>YEAR(cleaned_personal_finance_data3[[#This Row],[date]])</f>
        <v>2023</v>
      </c>
      <c r="I36" t="s">
        <v>329</v>
      </c>
    </row>
    <row r="37" spans="1:9" x14ac:dyDescent="0.25">
      <c r="A37">
        <v>36</v>
      </c>
      <c r="B37" s="1">
        <v>45264</v>
      </c>
      <c r="C37" t="s">
        <v>37</v>
      </c>
      <c r="D37">
        <v>25</v>
      </c>
      <c r="E37" t="s">
        <v>15</v>
      </c>
      <c r="F37" t="s">
        <v>13</v>
      </c>
      <c r="G37">
        <f>MONTH(cleaned_personal_finance_data3[[#This Row],[date]])</f>
        <v>12</v>
      </c>
      <c r="H37">
        <f>YEAR(cleaned_personal_finance_data3[[#This Row],[date]])</f>
        <v>2023</v>
      </c>
      <c r="I37" t="s">
        <v>47</v>
      </c>
    </row>
    <row r="38" spans="1:9" x14ac:dyDescent="0.25">
      <c r="A38">
        <v>37</v>
      </c>
      <c r="B38" s="1">
        <v>45264</v>
      </c>
      <c r="C38" t="s">
        <v>38</v>
      </c>
      <c r="D38">
        <v>1500</v>
      </c>
      <c r="E38" t="s">
        <v>15</v>
      </c>
      <c r="F38" t="s">
        <v>13</v>
      </c>
      <c r="G38">
        <f>MONTH(cleaned_personal_finance_data3[[#This Row],[date]])</f>
        <v>12</v>
      </c>
      <c r="H38">
        <f>YEAR(cleaned_personal_finance_data3[[#This Row],[date]])</f>
        <v>2023</v>
      </c>
      <c r="I38" t="s">
        <v>38</v>
      </c>
    </row>
    <row r="39" spans="1:9" x14ac:dyDescent="0.25">
      <c r="A39">
        <v>38</v>
      </c>
      <c r="B39" s="1">
        <v>45266</v>
      </c>
      <c r="C39" t="s">
        <v>24</v>
      </c>
      <c r="D39">
        <v>239</v>
      </c>
      <c r="E39" t="s">
        <v>15</v>
      </c>
      <c r="F39" t="s">
        <v>21</v>
      </c>
      <c r="G39">
        <f>MONTH(cleaned_personal_finance_data3[[#This Row],[date]])</f>
        <v>12</v>
      </c>
      <c r="H39">
        <f>YEAR(cleaned_personal_finance_data3[[#This Row],[date]])</f>
        <v>2023</v>
      </c>
      <c r="I39" t="s">
        <v>24</v>
      </c>
    </row>
    <row r="40" spans="1:9" x14ac:dyDescent="0.25">
      <c r="A40">
        <v>39</v>
      </c>
      <c r="B40" s="1">
        <v>45267</v>
      </c>
      <c r="C40" t="s">
        <v>29</v>
      </c>
      <c r="D40">
        <v>25</v>
      </c>
      <c r="E40" t="s">
        <v>15</v>
      </c>
      <c r="F40" t="s">
        <v>13</v>
      </c>
      <c r="G40">
        <f>MONTH(cleaned_personal_finance_data3[[#This Row],[date]])</f>
        <v>12</v>
      </c>
      <c r="H40">
        <f>YEAR(cleaned_personal_finance_data3[[#This Row],[date]])</f>
        <v>2023</v>
      </c>
      <c r="I40" t="s">
        <v>29</v>
      </c>
    </row>
    <row r="41" spans="1:9" x14ac:dyDescent="0.25">
      <c r="A41">
        <v>40</v>
      </c>
      <c r="B41" s="1">
        <v>45268</v>
      </c>
      <c r="C41" t="s">
        <v>28</v>
      </c>
      <c r="D41">
        <v>125</v>
      </c>
      <c r="E41" t="s">
        <v>15</v>
      </c>
      <c r="F41" t="s">
        <v>21</v>
      </c>
      <c r="G41">
        <f>MONTH(cleaned_personal_finance_data3[[#This Row],[date]])</f>
        <v>12</v>
      </c>
      <c r="H41">
        <f>YEAR(cleaned_personal_finance_data3[[#This Row],[date]])</f>
        <v>2023</v>
      </c>
      <c r="I41" t="s">
        <v>28</v>
      </c>
    </row>
    <row r="42" spans="1:9" x14ac:dyDescent="0.25">
      <c r="A42">
        <v>41</v>
      </c>
      <c r="B42" s="1">
        <v>45269</v>
      </c>
      <c r="C42" t="s">
        <v>39</v>
      </c>
      <c r="D42">
        <v>30</v>
      </c>
      <c r="E42" t="s">
        <v>15</v>
      </c>
      <c r="F42" t="s">
        <v>13</v>
      </c>
      <c r="G42">
        <f>MONTH(cleaned_personal_finance_data3[[#This Row],[date]])</f>
        <v>12</v>
      </c>
      <c r="H42">
        <f>YEAR(cleaned_personal_finance_data3[[#This Row],[date]])</f>
        <v>2023</v>
      </c>
      <c r="I42" t="s">
        <v>43</v>
      </c>
    </row>
    <row r="43" spans="1:9" x14ac:dyDescent="0.25">
      <c r="A43">
        <v>42</v>
      </c>
      <c r="B43" s="1">
        <v>45269</v>
      </c>
      <c r="C43" t="s">
        <v>40</v>
      </c>
      <c r="D43">
        <v>45</v>
      </c>
      <c r="E43" t="s">
        <v>15</v>
      </c>
      <c r="F43" t="s">
        <v>13</v>
      </c>
      <c r="G43">
        <f>MONTH(cleaned_personal_finance_data3[[#This Row],[date]])</f>
        <v>12</v>
      </c>
      <c r="H43">
        <f>YEAR(cleaned_personal_finance_data3[[#This Row],[date]])</f>
        <v>2023</v>
      </c>
      <c r="I43" t="s">
        <v>40</v>
      </c>
    </row>
    <row r="44" spans="1:9" x14ac:dyDescent="0.25">
      <c r="A44">
        <v>43</v>
      </c>
      <c r="B44" s="1">
        <v>45269</v>
      </c>
      <c r="C44" t="s">
        <v>29</v>
      </c>
      <c r="D44">
        <v>30</v>
      </c>
      <c r="E44" t="s">
        <v>15</v>
      </c>
      <c r="F44" t="s">
        <v>13</v>
      </c>
      <c r="G44">
        <f>MONTH(cleaned_personal_finance_data3[[#This Row],[date]])</f>
        <v>12</v>
      </c>
      <c r="H44">
        <f>YEAR(cleaned_personal_finance_data3[[#This Row],[date]])</f>
        <v>2023</v>
      </c>
      <c r="I44" t="s">
        <v>29</v>
      </c>
    </row>
    <row r="45" spans="1:9" x14ac:dyDescent="0.25">
      <c r="A45">
        <v>44</v>
      </c>
      <c r="B45" s="1">
        <v>45269</v>
      </c>
      <c r="C45" t="s">
        <v>41</v>
      </c>
      <c r="D45">
        <v>20</v>
      </c>
      <c r="E45" t="s">
        <v>15</v>
      </c>
      <c r="F45" t="s">
        <v>13</v>
      </c>
      <c r="G45">
        <f>MONTH(cleaned_personal_finance_data3[[#This Row],[date]])</f>
        <v>12</v>
      </c>
      <c r="H45">
        <f>YEAR(cleaned_personal_finance_data3[[#This Row],[date]])</f>
        <v>2023</v>
      </c>
      <c r="I45" t="s">
        <v>41</v>
      </c>
    </row>
    <row r="46" spans="1:9" x14ac:dyDescent="0.25">
      <c r="A46">
        <v>45</v>
      </c>
      <c r="B46" s="1">
        <v>45269</v>
      </c>
      <c r="C46" t="s">
        <v>42</v>
      </c>
      <c r="D46">
        <v>40</v>
      </c>
      <c r="E46" t="s">
        <v>15</v>
      </c>
      <c r="F46" t="s">
        <v>13</v>
      </c>
      <c r="G46">
        <f>MONTH(cleaned_personal_finance_data3[[#This Row],[date]])</f>
        <v>12</v>
      </c>
      <c r="H46">
        <f>YEAR(cleaned_personal_finance_data3[[#This Row],[date]])</f>
        <v>2023</v>
      </c>
      <c r="I46" t="s">
        <v>42</v>
      </c>
    </row>
    <row r="47" spans="1:9" x14ac:dyDescent="0.25">
      <c r="A47">
        <v>46</v>
      </c>
      <c r="B47" s="1">
        <v>45269</v>
      </c>
      <c r="C47" t="s">
        <v>43</v>
      </c>
      <c r="D47">
        <v>90</v>
      </c>
      <c r="E47" t="s">
        <v>15</v>
      </c>
      <c r="F47" t="s">
        <v>13</v>
      </c>
      <c r="G47">
        <f>MONTH(cleaned_personal_finance_data3[[#This Row],[date]])</f>
        <v>12</v>
      </c>
      <c r="H47">
        <f>YEAR(cleaned_personal_finance_data3[[#This Row],[date]])</f>
        <v>2023</v>
      </c>
      <c r="I47" t="s">
        <v>43</v>
      </c>
    </row>
    <row r="48" spans="1:9" x14ac:dyDescent="0.25">
      <c r="A48">
        <v>47</v>
      </c>
      <c r="B48" s="1">
        <v>45269</v>
      </c>
      <c r="C48" t="s">
        <v>44</v>
      </c>
      <c r="D48">
        <v>13</v>
      </c>
      <c r="E48" t="s">
        <v>15</v>
      </c>
      <c r="F48" t="s">
        <v>13</v>
      </c>
      <c r="G48">
        <f>MONTH(cleaned_personal_finance_data3[[#This Row],[date]])</f>
        <v>12</v>
      </c>
      <c r="H48">
        <f>YEAR(cleaned_personal_finance_data3[[#This Row],[date]])</f>
        <v>2023</v>
      </c>
      <c r="I48" t="s">
        <v>44</v>
      </c>
    </row>
    <row r="49" spans="1:9" x14ac:dyDescent="0.25">
      <c r="A49">
        <v>48</v>
      </c>
      <c r="B49" s="1">
        <v>45270</v>
      </c>
      <c r="C49" t="s">
        <v>45</v>
      </c>
      <c r="D49">
        <v>5000</v>
      </c>
      <c r="E49" t="s">
        <v>15</v>
      </c>
      <c r="F49" t="s">
        <v>13</v>
      </c>
      <c r="G49">
        <f>MONTH(cleaned_personal_finance_data3[[#This Row],[date]])</f>
        <v>12</v>
      </c>
      <c r="H49">
        <f>YEAR(cleaned_personal_finance_data3[[#This Row],[date]])</f>
        <v>2023</v>
      </c>
      <c r="I49" t="s">
        <v>145</v>
      </c>
    </row>
    <row r="50" spans="1:9" x14ac:dyDescent="0.25">
      <c r="A50">
        <v>49</v>
      </c>
      <c r="B50" s="1">
        <v>45270</v>
      </c>
      <c r="C50" t="s">
        <v>46</v>
      </c>
      <c r="D50">
        <v>2100</v>
      </c>
      <c r="E50" t="s">
        <v>15</v>
      </c>
      <c r="F50" t="s">
        <v>13</v>
      </c>
      <c r="G50">
        <f>MONTH(cleaned_personal_finance_data3[[#This Row],[date]])</f>
        <v>12</v>
      </c>
      <c r="H50">
        <f>YEAR(cleaned_personal_finance_data3[[#This Row],[date]])</f>
        <v>2023</v>
      </c>
      <c r="I50" t="s">
        <v>159</v>
      </c>
    </row>
    <row r="51" spans="1:9" x14ac:dyDescent="0.25">
      <c r="A51">
        <v>50</v>
      </c>
      <c r="B51" s="1">
        <v>45271</v>
      </c>
      <c r="C51" t="s">
        <v>47</v>
      </c>
      <c r="D51">
        <v>25</v>
      </c>
      <c r="E51" t="s">
        <v>15</v>
      </c>
      <c r="F51" t="s">
        <v>13</v>
      </c>
      <c r="G51">
        <f>MONTH(cleaned_personal_finance_data3[[#This Row],[date]])</f>
        <v>12</v>
      </c>
      <c r="H51">
        <f>YEAR(cleaned_personal_finance_data3[[#This Row],[date]])</f>
        <v>2023</v>
      </c>
      <c r="I51" t="s">
        <v>47</v>
      </c>
    </row>
    <row r="52" spans="1:9" x14ac:dyDescent="0.25">
      <c r="A52">
        <v>51</v>
      </c>
      <c r="B52" s="1">
        <v>45271</v>
      </c>
      <c r="C52" t="s">
        <v>29</v>
      </c>
      <c r="D52">
        <v>30</v>
      </c>
      <c r="E52" t="s">
        <v>15</v>
      </c>
      <c r="F52" t="s">
        <v>13</v>
      </c>
      <c r="G52">
        <f>MONTH(cleaned_personal_finance_data3[[#This Row],[date]])</f>
        <v>12</v>
      </c>
      <c r="H52">
        <f>YEAR(cleaned_personal_finance_data3[[#This Row],[date]])</f>
        <v>2023</v>
      </c>
      <c r="I52" t="s">
        <v>29</v>
      </c>
    </row>
    <row r="53" spans="1:9" x14ac:dyDescent="0.25">
      <c r="A53">
        <v>52</v>
      </c>
      <c r="B53" s="1">
        <v>45271</v>
      </c>
      <c r="C53" t="s">
        <v>48</v>
      </c>
      <c r="D53">
        <v>544</v>
      </c>
      <c r="E53" t="s">
        <v>15</v>
      </c>
      <c r="F53" t="s">
        <v>13</v>
      </c>
      <c r="G53">
        <f>MONTH(cleaned_personal_finance_data3[[#This Row],[date]])</f>
        <v>12</v>
      </c>
      <c r="H53">
        <f>YEAR(cleaned_personal_finance_data3[[#This Row],[date]])</f>
        <v>2023</v>
      </c>
      <c r="I53" t="s">
        <v>319</v>
      </c>
    </row>
    <row r="54" spans="1:9" x14ac:dyDescent="0.25">
      <c r="A54">
        <v>53</v>
      </c>
      <c r="B54" s="1">
        <v>45273</v>
      </c>
      <c r="C54" t="s">
        <v>49</v>
      </c>
      <c r="D54">
        <v>50</v>
      </c>
      <c r="E54" t="s">
        <v>15</v>
      </c>
      <c r="F54" t="s">
        <v>13</v>
      </c>
      <c r="G54">
        <f>MONTH(cleaned_personal_finance_data3[[#This Row],[date]])</f>
        <v>12</v>
      </c>
      <c r="H54">
        <f>YEAR(cleaned_personal_finance_data3[[#This Row],[date]])</f>
        <v>2023</v>
      </c>
      <c r="I54" t="s">
        <v>49</v>
      </c>
    </row>
    <row r="55" spans="1:9" x14ac:dyDescent="0.25">
      <c r="A55">
        <v>54</v>
      </c>
      <c r="B55" s="1">
        <v>45273</v>
      </c>
      <c r="C55" t="s">
        <v>29</v>
      </c>
      <c r="D55">
        <v>20</v>
      </c>
      <c r="E55" t="s">
        <v>15</v>
      </c>
      <c r="F55" t="s">
        <v>13</v>
      </c>
      <c r="G55">
        <f>MONTH(cleaned_personal_finance_data3[[#This Row],[date]])</f>
        <v>12</v>
      </c>
      <c r="H55">
        <f>YEAR(cleaned_personal_finance_data3[[#This Row],[date]])</f>
        <v>2023</v>
      </c>
      <c r="I55" t="s">
        <v>29</v>
      </c>
    </row>
    <row r="56" spans="1:9" hidden="1" x14ac:dyDescent="0.25">
      <c r="A56">
        <v>55</v>
      </c>
      <c r="B56" s="1">
        <v>45274</v>
      </c>
      <c r="C56" t="s">
        <v>6</v>
      </c>
      <c r="D56">
        <v>12732</v>
      </c>
      <c r="E56" t="s">
        <v>7</v>
      </c>
      <c r="F56" t="s">
        <v>8</v>
      </c>
      <c r="G56">
        <f>MONTH(cleaned_personal_finance_data3[[#This Row],[date]])</f>
        <v>12</v>
      </c>
      <c r="H56">
        <f>YEAR(cleaned_personal_finance_data3[[#This Row],[date]])</f>
        <v>2023</v>
      </c>
      <c r="I56" t="s">
        <v>318</v>
      </c>
    </row>
    <row r="57" spans="1:9" hidden="1" x14ac:dyDescent="0.25">
      <c r="A57">
        <v>56</v>
      </c>
      <c r="B57" s="1">
        <v>45274</v>
      </c>
      <c r="C57" t="s">
        <v>20</v>
      </c>
      <c r="D57">
        <v>3000</v>
      </c>
      <c r="E57" t="s">
        <v>10</v>
      </c>
      <c r="F57" t="s">
        <v>21</v>
      </c>
      <c r="G57">
        <f>MONTH(cleaned_personal_finance_data3[[#This Row],[date]])</f>
        <v>12</v>
      </c>
      <c r="H57">
        <f>YEAR(cleaned_personal_finance_data3[[#This Row],[date]])</f>
        <v>2023</v>
      </c>
      <c r="I57" t="s">
        <v>20</v>
      </c>
    </row>
    <row r="58" spans="1:9" hidden="1" x14ac:dyDescent="0.25">
      <c r="A58">
        <v>57</v>
      </c>
      <c r="B58" s="1">
        <v>45274</v>
      </c>
      <c r="C58" t="s">
        <v>20</v>
      </c>
      <c r="D58">
        <v>3000</v>
      </c>
      <c r="E58" t="s">
        <v>12</v>
      </c>
      <c r="F58" t="s">
        <v>21</v>
      </c>
      <c r="G58">
        <f>MONTH(cleaned_personal_finance_data3[[#This Row],[date]])</f>
        <v>12</v>
      </c>
      <c r="H58">
        <f>YEAR(cleaned_personal_finance_data3[[#This Row],[date]])</f>
        <v>2023</v>
      </c>
      <c r="I58" t="s">
        <v>20</v>
      </c>
    </row>
    <row r="59" spans="1:9" x14ac:dyDescent="0.25">
      <c r="A59">
        <v>58</v>
      </c>
      <c r="B59" s="1">
        <v>45274</v>
      </c>
      <c r="C59" t="s">
        <v>50</v>
      </c>
      <c r="D59">
        <v>599</v>
      </c>
      <c r="E59" t="s">
        <v>15</v>
      </c>
      <c r="F59" t="s">
        <v>21</v>
      </c>
      <c r="G59">
        <f>MONTH(cleaned_personal_finance_data3[[#This Row],[date]])</f>
        <v>12</v>
      </c>
      <c r="H59">
        <f>YEAR(cleaned_personal_finance_data3[[#This Row],[date]])</f>
        <v>2023</v>
      </c>
      <c r="I59" t="s">
        <v>50</v>
      </c>
    </row>
    <row r="60" spans="1:9" x14ac:dyDescent="0.25">
      <c r="A60">
        <v>59</v>
      </c>
      <c r="B60" s="1">
        <v>45275</v>
      </c>
      <c r="C60" t="s">
        <v>51</v>
      </c>
      <c r="D60">
        <v>30</v>
      </c>
      <c r="E60" t="s">
        <v>15</v>
      </c>
      <c r="F60" t="s">
        <v>13</v>
      </c>
      <c r="G60">
        <f>MONTH(cleaned_personal_finance_data3[[#This Row],[date]])</f>
        <v>12</v>
      </c>
      <c r="H60">
        <f>YEAR(cleaned_personal_finance_data3[[#This Row],[date]])</f>
        <v>2023</v>
      </c>
      <c r="I60" t="s">
        <v>43</v>
      </c>
    </row>
    <row r="61" spans="1:9" x14ac:dyDescent="0.25">
      <c r="A61">
        <v>60</v>
      </c>
      <c r="B61" s="1">
        <v>45275</v>
      </c>
      <c r="C61" t="s">
        <v>52</v>
      </c>
      <c r="D61">
        <v>15</v>
      </c>
      <c r="E61" t="s">
        <v>15</v>
      </c>
      <c r="F61" t="s">
        <v>13</v>
      </c>
      <c r="G61">
        <f>MONTH(cleaned_personal_finance_data3[[#This Row],[date]])</f>
        <v>12</v>
      </c>
      <c r="H61">
        <f>YEAR(cleaned_personal_finance_data3[[#This Row],[date]])</f>
        <v>2023</v>
      </c>
      <c r="I61" t="s">
        <v>43</v>
      </c>
    </row>
    <row r="62" spans="1:9" x14ac:dyDescent="0.25">
      <c r="A62">
        <v>61</v>
      </c>
      <c r="B62" s="1">
        <v>45275</v>
      </c>
      <c r="C62" t="s">
        <v>53</v>
      </c>
      <c r="D62">
        <v>120</v>
      </c>
      <c r="E62" t="s">
        <v>15</v>
      </c>
      <c r="F62" t="s">
        <v>13</v>
      </c>
      <c r="G62">
        <f>MONTH(cleaned_personal_finance_data3[[#This Row],[date]])</f>
        <v>12</v>
      </c>
      <c r="H62">
        <f>YEAR(cleaned_personal_finance_data3[[#This Row],[date]])</f>
        <v>2023</v>
      </c>
      <c r="I62" t="s">
        <v>43</v>
      </c>
    </row>
    <row r="63" spans="1:9" x14ac:dyDescent="0.25">
      <c r="A63">
        <v>62</v>
      </c>
      <c r="B63" s="1">
        <v>45275</v>
      </c>
      <c r="C63" t="s">
        <v>54</v>
      </c>
      <c r="D63">
        <v>142</v>
      </c>
      <c r="E63" t="s">
        <v>15</v>
      </c>
      <c r="F63" t="s">
        <v>13</v>
      </c>
      <c r="G63">
        <f>MONTH(cleaned_personal_finance_data3[[#This Row],[date]])</f>
        <v>12</v>
      </c>
      <c r="H63">
        <f>YEAR(cleaned_personal_finance_data3[[#This Row],[date]])</f>
        <v>2023</v>
      </c>
      <c r="I63" t="s">
        <v>54</v>
      </c>
    </row>
    <row r="64" spans="1:9" hidden="1" x14ac:dyDescent="0.25">
      <c r="A64">
        <v>63</v>
      </c>
      <c r="B64" s="1">
        <v>45275</v>
      </c>
      <c r="C64" t="s">
        <v>9</v>
      </c>
      <c r="D64">
        <v>19036</v>
      </c>
      <c r="E64" t="s">
        <v>10</v>
      </c>
      <c r="F64" t="s">
        <v>8</v>
      </c>
      <c r="G64">
        <f>MONTH(cleaned_personal_finance_data3[[#This Row],[date]])</f>
        <v>12</v>
      </c>
      <c r="H64">
        <f>YEAR(cleaned_personal_finance_data3[[#This Row],[date]])</f>
        <v>2023</v>
      </c>
      <c r="I64" t="s">
        <v>9</v>
      </c>
    </row>
    <row r="65" spans="1:9" hidden="1" x14ac:dyDescent="0.25">
      <c r="A65">
        <v>64</v>
      </c>
      <c r="B65" s="1">
        <v>45275</v>
      </c>
      <c r="C65" t="s">
        <v>11</v>
      </c>
      <c r="D65">
        <v>19000</v>
      </c>
      <c r="E65" t="s">
        <v>12</v>
      </c>
      <c r="F65" t="s">
        <v>13</v>
      </c>
      <c r="G65">
        <f>MONTH(cleaned_personal_finance_data3[[#This Row],[date]])</f>
        <v>12</v>
      </c>
      <c r="H65">
        <f>YEAR(cleaned_personal_finance_data3[[#This Row],[date]])</f>
        <v>2023</v>
      </c>
      <c r="I65" t="s">
        <v>11</v>
      </c>
    </row>
    <row r="66" spans="1:9" x14ac:dyDescent="0.25">
      <c r="A66">
        <v>65</v>
      </c>
      <c r="B66" s="1">
        <v>45275</v>
      </c>
      <c r="C66" t="s">
        <v>55</v>
      </c>
      <c r="D66">
        <v>1500</v>
      </c>
      <c r="E66" t="s">
        <v>15</v>
      </c>
      <c r="F66" t="s">
        <v>13</v>
      </c>
      <c r="G66">
        <f>MONTH(cleaned_personal_finance_data3[[#This Row],[date]])</f>
        <v>12</v>
      </c>
      <c r="H66">
        <f>YEAR(cleaned_personal_finance_data3[[#This Row],[date]])</f>
        <v>2023</v>
      </c>
      <c r="I66" t="s">
        <v>55</v>
      </c>
    </row>
    <row r="67" spans="1:9" x14ac:dyDescent="0.25">
      <c r="A67">
        <v>66</v>
      </c>
      <c r="B67" s="1">
        <v>45275</v>
      </c>
      <c r="C67" t="s">
        <v>56</v>
      </c>
      <c r="D67">
        <v>3600</v>
      </c>
      <c r="E67" t="s">
        <v>15</v>
      </c>
      <c r="F67" t="s">
        <v>13</v>
      </c>
      <c r="G67">
        <f>MONTH(cleaned_personal_finance_data3[[#This Row],[date]])</f>
        <v>12</v>
      </c>
      <c r="H67">
        <f>YEAR(cleaned_personal_finance_data3[[#This Row],[date]])</f>
        <v>2023</v>
      </c>
      <c r="I67" t="s">
        <v>56</v>
      </c>
    </row>
    <row r="68" spans="1:9" x14ac:dyDescent="0.25">
      <c r="A68">
        <v>67</v>
      </c>
      <c r="B68" s="1">
        <v>45275</v>
      </c>
      <c r="C68" t="s">
        <v>57</v>
      </c>
      <c r="D68">
        <v>2900</v>
      </c>
      <c r="E68" t="s">
        <v>15</v>
      </c>
      <c r="F68" t="s">
        <v>13</v>
      </c>
      <c r="G68">
        <f>MONTH(cleaned_personal_finance_data3[[#This Row],[date]])</f>
        <v>12</v>
      </c>
      <c r="H68">
        <f>YEAR(cleaned_personal_finance_data3[[#This Row],[date]])</f>
        <v>2023</v>
      </c>
      <c r="I68" t="s">
        <v>57</v>
      </c>
    </row>
    <row r="69" spans="1:9" x14ac:dyDescent="0.25">
      <c r="A69">
        <v>68</v>
      </c>
      <c r="B69" s="1">
        <v>45275</v>
      </c>
      <c r="C69" t="s">
        <v>58</v>
      </c>
      <c r="D69">
        <v>599</v>
      </c>
      <c r="E69" t="s">
        <v>15</v>
      </c>
      <c r="F69" t="s">
        <v>13</v>
      </c>
      <c r="G69">
        <f>MONTH(cleaned_personal_finance_data3[[#This Row],[date]])</f>
        <v>12</v>
      </c>
      <c r="H69">
        <f>YEAR(cleaned_personal_finance_data3[[#This Row],[date]])</f>
        <v>2023</v>
      </c>
      <c r="I69" t="s">
        <v>58</v>
      </c>
    </row>
    <row r="70" spans="1:9" x14ac:dyDescent="0.25">
      <c r="A70">
        <v>69</v>
      </c>
      <c r="B70" s="1">
        <v>45275</v>
      </c>
      <c r="C70" t="s">
        <v>59</v>
      </c>
      <c r="D70">
        <v>20</v>
      </c>
      <c r="E70" t="s">
        <v>15</v>
      </c>
      <c r="F70" t="s">
        <v>13</v>
      </c>
      <c r="G70">
        <f>MONTH(cleaned_personal_finance_data3[[#This Row],[date]])</f>
        <v>12</v>
      </c>
      <c r="H70">
        <f>YEAR(cleaned_personal_finance_data3[[#This Row],[date]])</f>
        <v>2023</v>
      </c>
      <c r="I70" t="s">
        <v>59</v>
      </c>
    </row>
    <row r="71" spans="1:9" x14ac:dyDescent="0.25">
      <c r="A71">
        <v>70</v>
      </c>
      <c r="B71" s="1">
        <v>45275</v>
      </c>
      <c r="C71" t="s">
        <v>60</v>
      </c>
      <c r="D71">
        <v>60</v>
      </c>
      <c r="E71" t="s">
        <v>15</v>
      </c>
      <c r="F71" t="s">
        <v>13</v>
      </c>
      <c r="G71">
        <f>MONTH(cleaned_personal_finance_data3[[#This Row],[date]])</f>
        <v>12</v>
      </c>
      <c r="H71">
        <f>YEAR(cleaned_personal_finance_data3[[#This Row],[date]])</f>
        <v>2023</v>
      </c>
      <c r="I71" t="s">
        <v>60</v>
      </c>
    </row>
    <row r="72" spans="1:9" x14ac:dyDescent="0.25">
      <c r="A72">
        <v>71</v>
      </c>
      <c r="B72" s="1">
        <v>45275</v>
      </c>
      <c r="C72" t="s">
        <v>61</v>
      </c>
      <c r="D72">
        <v>120</v>
      </c>
      <c r="E72" t="s">
        <v>15</v>
      </c>
      <c r="F72" t="s">
        <v>13</v>
      </c>
      <c r="G72">
        <f>MONTH(cleaned_personal_finance_data3[[#This Row],[date]])</f>
        <v>12</v>
      </c>
      <c r="H72">
        <f>YEAR(cleaned_personal_finance_data3[[#This Row],[date]])</f>
        <v>2023</v>
      </c>
      <c r="I72" t="s">
        <v>43</v>
      </c>
    </row>
    <row r="73" spans="1:9" x14ac:dyDescent="0.25">
      <c r="A73">
        <v>72</v>
      </c>
      <c r="B73" s="1">
        <v>45275</v>
      </c>
      <c r="C73" t="s">
        <v>62</v>
      </c>
      <c r="D73">
        <v>150</v>
      </c>
      <c r="E73" t="s">
        <v>15</v>
      </c>
      <c r="F73" t="s">
        <v>13</v>
      </c>
      <c r="G73">
        <f>MONTH(cleaned_personal_finance_data3[[#This Row],[date]])</f>
        <v>12</v>
      </c>
      <c r="H73">
        <f>YEAR(cleaned_personal_finance_data3[[#This Row],[date]])</f>
        <v>2023</v>
      </c>
      <c r="I73" t="s">
        <v>43</v>
      </c>
    </row>
    <row r="74" spans="1:9" x14ac:dyDescent="0.25">
      <c r="A74">
        <v>73</v>
      </c>
      <c r="B74" s="1">
        <v>45278</v>
      </c>
      <c r="C74" t="s">
        <v>37</v>
      </c>
      <c r="D74">
        <v>25</v>
      </c>
      <c r="E74" t="s">
        <v>15</v>
      </c>
      <c r="F74" t="s">
        <v>13</v>
      </c>
      <c r="G74">
        <f>MONTH(cleaned_personal_finance_data3[[#This Row],[date]])</f>
        <v>12</v>
      </c>
      <c r="H74">
        <f>YEAR(cleaned_personal_finance_data3[[#This Row],[date]])</f>
        <v>2023</v>
      </c>
      <c r="I74" t="s">
        <v>47</v>
      </c>
    </row>
    <row r="75" spans="1:9" x14ac:dyDescent="0.25">
      <c r="A75">
        <v>74</v>
      </c>
      <c r="B75" s="1">
        <v>45278</v>
      </c>
      <c r="C75" t="s">
        <v>63</v>
      </c>
      <c r="D75">
        <v>30</v>
      </c>
      <c r="E75" t="s">
        <v>15</v>
      </c>
      <c r="F75" t="s">
        <v>13</v>
      </c>
      <c r="G75">
        <f>MONTH(cleaned_personal_finance_data3[[#This Row],[date]])</f>
        <v>12</v>
      </c>
      <c r="H75">
        <f>YEAR(cleaned_personal_finance_data3[[#This Row],[date]])</f>
        <v>2023</v>
      </c>
      <c r="I75" t="s">
        <v>63</v>
      </c>
    </row>
    <row r="76" spans="1:9" x14ac:dyDescent="0.25">
      <c r="A76">
        <v>75</v>
      </c>
      <c r="B76" s="1">
        <v>45278</v>
      </c>
      <c r="C76" t="s">
        <v>35</v>
      </c>
      <c r="D76">
        <v>280</v>
      </c>
      <c r="E76" t="s">
        <v>15</v>
      </c>
      <c r="F76" t="s">
        <v>21</v>
      </c>
      <c r="G76">
        <f>MONTH(cleaned_personal_finance_data3[[#This Row],[date]])</f>
        <v>12</v>
      </c>
      <c r="H76">
        <f>YEAR(cleaned_personal_finance_data3[[#This Row],[date]])</f>
        <v>2023</v>
      </c>
      <c r="I76" t="s">
        <v>35</v>
      </c>
    </row>
    <row r="77" spans="1:9" x14ac:dyDescent="0.25">
      <c r="A77">
        <v>76</v>
      </c>
      <c r="B77" s="1">
        <v>45279</v>
      </c>
      <c r="C77" t="s">
        <v>64</v>
      </c>
      <c r="D77">
        <v>199</v>
      </c>
      <c r="E77" t="s">
        <v>15</v>
      </c>
      <c r="F77" t="s">
        <v>21</v>
      </c>
      <c r="G77">
        <f>MONTH(cleaned_personal_finance_data3[[#This Row],[date]])</f>
        <v>12</v>
      </c>
      <c r="H77">
        <f>YEAR(cleaned_personal_finance_data3[[#This Row],[date]])</f>
        <v>2023</v>
      </c>
      <c r="I77" t="s">
        <v>64</v>
      </c>
    </row>
    <row r="78" spans="1:9" x14ac:dyDescent="0.25">
      <c r="A78">
        <v>77</v>
      </c>
      <c r="B78" s="1">
        <v>45281</v>
      </c>
      <c r="C78" t="s">
        <v>65</v>
      </c>
      <c r="D78">
        <v>768</v>
      </c>
      <c r="E78" t="s">
        <v>15</v>
      </c>
      <c r="F78" t="s">
        <v>21</v>
      </c>
      <c r="G78">
        <f>MONTH(cleaned_personal_finance_data3[[#This Row],[date]])</f>
        <v>12</v>
      </c>
      <c r="H78">
        <f>YEAR(cleaned_personal_finance_data3[[#This Row],[date]])</f>
        <v>2023</v>
      </c>
      <c r="I78" t="s">
        <v>324</v>
      </c>
    </row>
    <row r="79" spans="1:9" x14ac:dyDescent="0.25">
      <c r="A79">
        <v>78</v>
      </c>
      <c r="B79" s="1">
        <v>45282</v>
      </c>
      <c r="C79" t="s">
        <v>34</v>
      </c>
      <c r="D79">
        <v>129</v>
      </c>
      <c r="E79" t="s">
        <v>15</v>
      </c>
      <c r="F79" t="s">
        <v>21</v>
      </c>
      <c r="G79">
        <f>MONTH(cleaned_personal_finance_data3[[#This Row],[date]])</f>
        <v>12</v>
      </c>
      <c r="H79">
        <f>YEAR(cleaned_personal_finance_data3[[#This Row],[date]])</f>
        <v>2023</v>
      </c>
      <c r="I79" t="s">
        <v>34</v>
      </c>
    </row>
    <row r="80" spans="1:9" x14ac:dyDescent="0.25">
      <c r="A80">
        <v>79</v>
      </c>
      <c r="B80" s="1">
        <v>45283</v>
      </c>
      <c r="C80" t="s">
        <v>51</v>
      </c>
      <c r="D80">
        <v>30</v>
      </c>
      <c r="E80" t="s">
        <v>15</v>
      </c>
      <c r="F80" t="s">
        <v>13</v>
      </c>
      <c r="G80">
        <f>MONTH(cleaned_personal_finance_data3[[#This Row],[date]])</f>
        <v>12</v>
      </c>
      <c r="H80">
        <f>YEAR(cleaned_personal_finance_data3[[#This Row],[date]])</f>
        <v>2023</v>
      </c>
      <c r="I80" t="s">
        <v>43</v>
      </c>
    </row>
    <row r="81" spans="1:9" x14ac:dyDescent="0.25">
      <c r="A81">
        <v>80</v>
      </c>
      <c r="B81" s="1">
        <v>45283</v>
      </c>
      <c r="C81" t="s">
        <v>66</v>
      </c>
      <c r="D81">
        <v>10</v>
      </c>
      <c r="E81" t="s">
        <v>15</v>
      </c>
      <c r="F81" t="s">
        <v>13</v>
      </c>
      <c r="G81">
        <f>MONTH(cleaned_personal_finance_data3[[#This Row],[date]])</f>
        <v>12</v>
      </c>
      <c r="H81">
        <f>YEAR(cleaned_personal_finance_data3[[#This Row],[date]])</f>
        <v>2023</v>
      </c>
      <c r="I81" t="s">
        <v>66</v>
      </c>
    </row>
    <row r="82" spans="1:9" x14ac:dyDescent="0.25">
      <c r="A82">
        <v>81</v>
      </c>
      <c r="B82" s="1">
        <v>45283</v>
      </c>
      <c r="C82" t="s">
        <v>67</v>
      </c>
      <c r="D82">
        <v>15</v>
      </c>
      <c r="E82" t="s">
        <v>15</v>
      </c>
      <c r="F82" t="s">
        <v>13</v>
      </c>
      <c r="G82">
        <f>MONTH(cleaned_personal_finance_data3[[#This Row],[date]])</f>
        <v>12</v>
      </c>
      <c r="H82">
        <f>YEAR(cleaned_personal_finance_data3[[#This Row],[date]])</f>
        <v>2023</v>
      </c>
      <c r="I82" t="s">
        <v>67</v>
      </c>
    </row>
    <row r="83" spans="1:9" x14ac:dyDescent="0.25">
      <c r="A83">
        <v>82</v>
      </c>
      <c r="B83" s="1">
        <v>45283</v>
      </c>
      <c r="C83" t="s">
        <v>68</v>
      </c>
      <c r="D83">
        <v>50</v>
      </c>
      <c r="E83" t="s">
        <v>15</v>
      </c>
      <c r="F83" t="s">
        <v>13</v>
      </c>
      <c r="G83">
        <f>MONTH(cleaned_personal_finance_data3[[#This Row],[date]])</f>
        <v>12</v>
      </c>
      <c r="H83">
        <f>YEAR(cleaned_personal_finance_data3[[#This Row],[date]])</f>
        <v>2023</v>
      </c>
      <c r="I83" t="s">
        <v>43</v>
      </c>
    </row>
    <row r="84" spans="1:9" x14ac:dyDescent="0.25">
      <c r="A84">
        <v>83</v>
      </c>
      <c r="B84" s="1">
        <v>45283</v>
      </c>
      <c r="C84" t="s">
        <v>69</v>
      </c>
      <c r="D84">
        <v>50</v>
      </c>
      <c r="E84" t="s">
        <v>15</v>
      </c>
      <c r="F84" t="s">
        <v>13</v>
      </c>
      <c r="G84">
        <f>MONTH(cleaned_personal_finance_data3[[#This Row],[date]])</f>
        <v>12</v>
      </c>
      <c r="H84">
        <f>YEAR(cleaned_personal_finance_data3[[#This Row],[date]])</f>
        <v>2023</v>
      </c>
      <c r="I84" t="s">
        <v>69</v>
      </c>
    </row>
    <row r="85" spans="1:9" x14ac:dyDescent="0.25">
      <c r="A85">
        <v>84</v>
      </c>
      <c r="B85" s="1">
        <v>45283</v>
      </c>
      <c r="C85" t="s">
        <v>67</v>
      </c>
      <c r="D85">
        <v>20</v>
      </c>
      <c r="E85" t="s">
        <v>15</v>
      </c>
      <c r="F85" t="s">
        <v>13</v>
      </c>
      <c r="G85">
        <f>MONTH(cleaned_personal_finance_data3[[#This Row],[date]])</f>
        <v>12</v>
      </c>
      <c r="H85">
        <f>YEAR(cleaned_personal_finance_data3[[#This Row],[date]])</f>
        <v>2023</v>
      </c>
      <c r="I85" t="s">
        <v>67</v>
      </c>
    </row>
    <row r="86" spans="1:9" x14ac:dyDescent="0.25">
      <c r="A86">
        <v>85</v>
      </c>
      <c r="B86" s="1">
        <v>45283</v>
      </c>
      <c r="C86" t="s">
        <v>70</v>
      </c>
      <c r="D86">
        <v>10</v>
      </c>
      <c r="E86" t="s">
        <v>15</v>
      </c>
      <c r="F86" t="s">
        <v>13</v>
      </c>
      <c r="G86">
        <f>MONTH(cleaned_personal_finance_data3[[#This Row],[date]])</f>
        <v>12</v>
      </c>
      <c r="H86">
        <f>YEAR(cleaned_personal_finance_data3[[#This Row],[date]])</f>
        <v>2023</v>
      </c>
      <c r="I86" t="s">
        <v>70</v>
      </c>
    </row>
    <row r="87" spans="1:9" hidden="1" x14ac:dyDescent="0.25">
      <c r="A87">
        <v>86</v>
      </c>
      <c r="B87" s="1">
        <v>45283</v>
      </c>
      <c r="C87" t="s">
        <v>71</v>
      </c>
      <c r="D87">
        <v>18000</v>
      </c>
      <c r="E87" t="s">
        <v>7</v>
      </c>
      <c r="F87" t="s">
        <v>13</v>
      </c>
      <c r="G87">
        <f>MONTH(cleaned_personal_finance_data3[[#This Row],[date]])</f>
        <v>12</v>
      </c>
      <c r="H87">
        <f>YEAR(cleaned_personal_finance_data3[[#This Row],[date]])</f>
        <v>2023</v>
      </c>
      <c r="I87" t="s">
        <v>71</v>
      </c>
    </row>
    <row r="88" spans="1:9" x14ac:dyDescent="0.25">
      <c r="A88">
        <v>87</v>
      </c>
      <c r="B88" s="1">
        <v>45283</v>
      </c>
      <c r="C88" t="s">
        <v>72</v>
      </c>
      <c r="D88">
        <v>600</v>
      </c>
      <c r="E88" t="s">
        <v>15</v>
      </c>
      <c r="F88" t="s">
        <v>13</v>
      </c>
      <c r="G88">
        <f>MONTH(cleaned_personal_finance_data3[[#This Row],[date]])</f>
        <v>12</v>
      </c>
      <c r="H88">
        <f>YEAR(cleaned_personal_finance_data3[[#This Row],[date]])</f>
        <v>2023</v>
      </c>
      <c r="I88" t="s">
        <v>72</v>
      </c>
    </row>
    <row r="89" spans="1:9" x14ac:dyDescent="0.25">
      <c r="A89">
        <v>88</v>
      </c>
      <c r="B89" s="1">
        <v>45283</v>
      </c>
      <c r="C89" t="s">
        <v>73</v>
      </c>
      <c r="D89">
        <v>150</v>
      </c>
      <c r="E89" t="s">
        <v>15</v>
      </c>
      <c r="F89" t="s">
        <v>13</v>
      </c>
      <c r="G89">
        <f>MONTH(cleaned_personal_finance_data3[[#This Row],[date]])</f>
        <v>12</v>
      </c>
      <c r="H89">
        <f>YEAR(cleaned_personal_finance_data3[[#This Row],[date]])</f>
        <v>2023</v>
      </c>
      <c r="I89" t="s">
        <v>43</v>
      </c>
    </row>
    <row r="90" spans="1:9" x14ac:dyDescent="0.25">
      <c r="A90">
        <v>89</v>
      </c>
      <c r="B90" s="1">
        <v>45283</v>
      </c>
      <c r="C90" t="s">
        <v>74</v>
      </c>
      <c r="D90">
        <v>20</v>
      </c>
      <c r="E90" t="s">
        <v>15</v>
      </c>
      <c r="F90" t="s">
        <v>13</v>
      </c>
      <c r="G90">
        <f>MONTH(cleaned_personal_finance_data3[[#This Row],[date]])</f>
        <v>12</v>
      </c>
      <c r="H90">
        <f>YEAR(cleaned_personal_finance_data3[[#This Row],[date]])</f>
        <v>2023</v>
      </c>
      <c r="I90" t="s">
        <v>74</v>
      </c>
    </row>
    <row r="91" spans="1:9" x14ac:dyDescent="0.25">
      <c r="A91">
        <v>90</v>
      </c>
      <c r="B91" s="1">
        <v>45283</v>
      </c>
      <c r="C91" t="s">
        <v>67</v>
      </c>
      <c r="D91">
        <v>15</v>
      </c>
      <c r="E91" t="s">
        <v>15</v>
      </c>
      <c r="F91" t="s">
        <v>13</v>
      </c>
      <c r="G91">
        <f>MONTH(cleaned_personal_finance_data3[[#This Row],[date]])</f>
        <v>12</v>
      </c>
      <c r="H91">
        <f>YEAR(cleaned_personal_finance_data3[[#This Row],[date]])</f>
        <v>2023</v>
      </c>
      <c r="I91" t="s">
        <v>67</v>
      </c>
    </row>
    <row r="92" spans="1:9" x14ac:dyDescent="0.25">
      <c r="A92">
        <v>91</v>
      </c>
      <c r="B92" s="1">
        <v>45283</v>
      </c>
      <c r="C92" t="s">
        <v>75</v>
      </c>
      <c r="D92">
        <v>15</v>
      </c>
      <c r="E92" t="s">
        <v>15</v>
      </c>
      <c r="F92" t="s">
        <v>13</v>
      </c>
      <c r="G92">
        <f>MONTH(cleaned_personal_finance_data3[[#This Row],[date]])</f>
        <v>12</v>
      </c>
      <c r="H92">
        <f>YEAR(cleaned_personal_finance_data3[[#This Row],[date]])</f>
        <v>2023</v>
      </c>
      <c r="I92" t="s">
        <v>43</v>
      </c>
    </row>
    <row r="93" spans="1:9" x14ac:dyDescent="0.25">
      <c r="A93">
        <v>92</v>
      </c>
      <c r="B93" s="1">
        <v>45283</v>
      </c>
      <c r="C93" t="s">
        <v>76</v>
      </c>
      <c r="D93">
        <v>50</v>
      </c>
      <c r="E93" t="s">
        <v>15</v>
      </c>
      <c r="F93" t="s">
        <v>13</v>
      </c>
      <c r="G93">
        <f>MONTH(cleaned_personal_finance_data3[[#This Row],[date]])</f>
        <v>12</v>
      </c>
      <c r="H93">
        <f>YEAR(cleaned_personal_finance_data3[[#This Row],[date]])</f>
        <v>2023</v>
      </c>
      <c r="I93" t="s">
        <v>43</v>
      </c>
    </row>
    <row r="94" spans="1:9" x14ac:dyDescent="0.25">
      <c r="A94">
        <v>93</v>
      </c>
      <c r="B94" s="1">
        <v>45283</v>
      </c>
      <c r="C94" t="s">
        <v>77</v>
      </c>
      <c r="D94">
        <v>3000</v>
      </c>
      <c r="E94" t="s">
        <v>15</v>
      </c>
      <c r="F94" t="s">
        <v>13</v>
      </c>
      <c r="G94">
        <f>MONTH(cleaned_personal_finance_data3[[#This Row],[date]])</f>
        <v>12</v>
      </c>
      <c r="H94">
        <f>YEAR(cleaned_personal_finance_data3[[#This Row],[date]])</f>
        <v>2023</v>
      </c>
      <c r="I94" t="s">
        <v>77</v>
      </c>
    </row>
    <row r="95" spans="1:9" x14ac:dyDescent="0.25">
      <c r="A95">
        <v>94</v>
      </c>
      <c r="B95" s="1">
        <v>45284</v>
      </c>
      <c r="C95" t="s">
        <v>78</v>
      </c>
      <c r="D95">
        <v>400</v>
      </c>
      <c r="E95" t="s">
        <v>15</v>
      </c>
      <c r="F95" t="s">
        <v>13</v>
      </c>
      <c r="G95">
        <f>MONTH(cleaned_personal_finance_data3[[#This Row],[date]])</f>
        <v>12</v>
      </c>
      <c r="H95">
        <f>YEAR(cleaned_personal_finance_data3[[#This Row],[date]])</f>
        <v>2023</v>
      </c>
      <c r="I95" t="s">
        <v>78</v>
      </c>
    </row>
    <row r="96" spans="1:9" x14ac:dyDescent="0.25">
      <c r="A96">
        <v>95</v>
      </c>
      <c r="B96" s="1">
        <v>45284</v>
      </c>
      <c r="C96" t="s">
        <v>79</v>
      </c>
      <c r="D96">
        <v>100</v>
      </c>
      <c r="E96" t="s">
        <v>15</v>
      </c>
      <c r="F96" t="s">
        <v>13</v>
      </c>
      <c r="G96">
        <f>MONTH(cleaned_personal_finance_data3[[#This Row],[date]])</f>
        <v>12</v>
      </c>
      <c r="H96">
        <f>YEAR(cleaned_personal_finance_data3[[#This Row],[date]])</f>
        <v>2023</v>
      </c>
      <c r="I96" t="s">
        <v>79</v>
      </c>
    </row>
    <row r="97" spans="1:9" x14ac:dyDescent="0.25">
      <c r="A97">
        <v>96</v>
      </c>
      <c r="B97" s="1">
        <v>45285</v>
      </c>
      <c r="C97" t="s">
        <v>78</v>
      </c>
      <c r="D97">
        <v>100</v>
      </c>
      <c r="E97" t="s">
        <v>15</v>
      </c>
      <c r="F97" t="s">
        <v>13</v>
      </c>
      <c r="G97">
        <f>MONTH(cleaned_personal_finance_data3[[#This Row],[date]])</f>
        <v>12</v>
      </c>
      <c r="H97">
        <f>YEAR(cleaned_personal_finance_data3[[#This Row],[date]])</f>
        <v>2023</v>
      </c>
      <c r="I97" t="s">
        <v>78</v>
      </c>
    </row>
    <row r="98" spans="1:9" x14ac:dyDescent="0.25">
      <c r="A98">
        <v>97</v>
      </c>
      <c r="B98" s="1">
        <v>45286</v>
      </c>
      <c r="C98" t="s">
        <v>64</v>
      </c>
      <c r="D98">
        <v>199</v>
      </c>
      <c r="E98" t="s">
        <v>15</v>
      </c>
      <c r="F98" t="s">
        <v>21</v>
      </c>
      <c r="G98">
        <f>MONTH(cleaned_personal_finance_data3[[#This Row],[date]])</f>
        <v>12</v>
      </c>
      <c r="H98">
        <f>YEAR(cleaned_personal_finance_data3[[#This Row],[date]])</f>
        <v>2023</v>
      </c>
      <c r="I98" t="s">
        <v>64</v>
      </c>
    </row>
    <row r="99" spans="1:9" x14ac:dyDescent="0.25">
      <c r="A99">
        <v>98</v>
      </c>
      <c r="B99" s="1">
        <v>45288</v>
      </c>
      <c r="C99" t="s">
        <v>51</v>
      </c>
      <c r="D99">
        <v>30</v>
      </c>
      <c r="E99" t="s">
        <v>15</v>
      </c>
      <c r="F99" t="s">
        <v>13</v>
      </c>
      <c r="G99">
        <f>MONTH(cleaned_personal_finance_data3[[#This Row],[date]])</f>
        <v>12</v>
      </c>
      <c r="H99">
        <f>YEAR(cleaned_personal_finance_data3[[#This Row],[date]])</f>
        <v>2023</v>
      </c>
      <c r="I99" t="s">
        <v>43</v>
      </c>
    </row>
    <row r="100" spans="1:9" x14ac:dyDescent="0.25">
      <c r="A100">
        <v>99</v>
      </c>
      <c r="B100" s="1">
        <v>45288</v>
      </c>
      <c r="C100" t="s">
        <v>80</v>
      </c>
      <c r="D100">
        <v>120</v>
      </c>
      <c r="E100" t="s">
        <v>15</v>
      </c>
      <c r="F100" t="s">
        <v>13</v>
      </c>
      <c r="G100">
        <f>MONTH(cleaned_personal_finance_data3[[#This Row],[date]])</f>
        <v>12</v>
      </c>
      <c r="H100">
        <f>YEAR(cleaned_personal_finance_data3[[#This Row],[date]])</f>
        <v>2023</v>
      </c>
      <c r="I100" t="s">
        <v>43</v>
      </c>
    </row>
    <row r="101" spans="1:9" x14ac:dyDescent="0.25">
      <c r="A101">
        <v>100</v>
      </c>
      <c r="B101" s="1">
        <v>45288</v>
      </c>
      <c r="C101" t="s">
        <v>81</v>
      </c>
      <c r="D101">
        <v>1375</v>
      </c>
      <c r="E101" t="s">
        <v>15</v>
      </c>
      <c r="F101" t="s">
        <v>13</v>
      </c>
      <c r="G101">
        <f>MONTH(cleaned_personal_finance_data3[[#This Row],[date]])</f>
        <v>12</v>
      </c>
      <c r="H101">
        <f>YEAR(cleaned_personal_finance_data3[[#This Row],[date]])</f>
        <v>2023</v>
      </c>
      <c r="I101" t="s">
        <v>81</v>
      </c>
    </row>
    <row r="102" spans="1:9" x14ac:dyDescent="0.25">
      <c r="A102">
        <v>101</v>
      </c>
      <c r="B102" s="1">
        <v>45288</v>
      </c>
      <c r="C102" t="s">
        <v>82</v>
      </c>
      <c r="D102">
        <v>157</v>
      </c>
      <c r="E102" t="s">
        <v>15</v>
      </c>
      <c r="F102" t="s">
        <v>13</v>
      </c>
      <c r="G102">
        <f>MONTH(cleaned_personal_finance_data3[[#This Row],[date]])</f>
        <v>12</v>
      </c>
      <c r="H102">
        <f>YEAR(cleaned_personal_finance_data3[[#This Row],[date]])</f>
        <v>2023</v>
      </c>
      <c r="I102" t="s">
        <v>82</v>
      </c>
    </row>
    <row r="103" spans="1:9" x14ac:dyDescent="0.25">
      <c r="A103">
        <v>102</v>
      </c>
      <c r="B103" s="1">
        <v>45288</v>
      </c>
      <c r="C103" t="s">
        <v>83</v>
      </c>
      <c r="D103">
        <v>2600</v>
      </c>
      <c r="E103" t="s">
        <v>15</v>
      </c>
      <c r="F103" t="s">
        <v>13</v>
      </c>
      <c r="G103">
        <f>MONTH(cleaned_personal_finance_data3[[#This Row],[date]])</f>
        <v>12</v>
      </c>
      <c r="H103">
        <f>YEAR(cleaned_personal_finance_data3[[#This Row],[date]])</f>
        <v>2023</v>
      </c>
      <c r="I103" t="s">
        <v>83</v>
      </c>
    </row>
    <row r="104" spans="1:9" x14ac:dyDescent="0.25">
      <c r="A104">
        <v>103</v>
      </c>
      <c r="B104" s="1">
        <v>45288</v>
      </c>
      <c r="C104" t="s">
        <v>84</v>
      </c>
      <c r="D104">
        <v>500</v>
      </c>
      <c r="E104" t="s">
        <v>15</v>
      </c>
      <c r="F104" t="s">
        <v>13</v>
      </c>
      <c r="G104">
        <f>MONTH(cleaned_personal_finance_data3[[#This Row],[date]])</f>
        <v>12</v>
      </c>
      <c r="H104">
        <f>YEAR(cleaned_personal_finance_data3[[#This Row],[date]])</f>
        <v>2023</v>
      </c>
      <c r="I104" t="s">
        <v>84</v>
      </c>
    </row>
    <row r="105" spans="1:9" x14ac:dyDescent="0.25">
      <c r="A105">
        <v>104</v>
      </c>
      <c r="B105" s="1">
        <v>45288</v>
      </c>
      <c r="C105" t="s">
        <v>85</v>
      </c>
      <c r="D105">
        <v>500</v>
      </c>
      <c r="E105" t="s">
        <v>15</v>
      </c>
      <c r="F105" t="s">
        <v>13</v>
      </c>
      <c r="G105">
        <f>MONTH(cleaned_personal_finance_data3[[#This Row],[date]])</f>
        <v>12</v>
      </c>
      <c r="H105">
        <f>YEAR(cleaned_personal_finance_data3[[#This Row],[date]])</f>
        <v>2023</v>
      </c>
      <c r="I105" t="s">
        <v>85</v>
      </c>
    </row>
    <row r="106" spans="1:9" x14ac:dyDescent="0.25">
      <c r="A106">
        <v>105</v>
      </c>
      <c r="B106" s="1">
        <v>45288</v>
      </c>
      <c r="C106" t="s">
        <v>61</v>
      </c>
      <c r="D106">
        <v>120</v>
      </c>
      <c r="E106" t="s">
        <v>15</v>
      </c>
      <c r="F106" t="s">
        <v>13</v>
      </c>
      <c r="G106">
        <f>MONTH(cleaned_personal_finance_data3[[#This Row],[date]])</f>
        <v>12</v>
      </c>
      <c r="H106">
        <f>YEAR(cleaned_personal_finance_data3[[#This Row],[date]])</f>
        <v>2023</v>
      </c>
      <c r="I106" t="s">
        <v>43</v>
      </c>
    </row>
    <row r="107" spans="1:9" hidden="1" x14ac:dyDescent="0.25">
      <c r="A107">
        <v>106</v>
      </c>
      <c r="B107" s="1">
        <v>45288</v>
      </c>
      <c r="C107" t="s">
        <v>6</v>
      </c>
      <c r="D107">
        <v>12733</v>
      </c>
      <c r="E107" t="s">
        <v>7</v>
      </c>
      <c r="F107" t="s">
        <v>8</v>
      </c>
      <c r="G107">
        <f>MONTH(cleaned_personal_finance_data3[[#This Row],[date]])</f>
        <v>12</v>
      </c>
      <c r="H107">
        <f>YEAR(cleaned_personal_finance_data3[[#This Row],[date]])</f>
        <v>2023</v>
      </c>
      <c r="I107" t="s">
        <v>318</v>
      </c>
    </row>
    <row r="108" spans="1:9" x14ac:dyDescent="0.25">
      <c r="A108">
        <v>107</v>
      </c>
      <c r="B108" s="1">
        <v>45291</v>
      </c>
      <c r="C108" t="s">
        <v>86</v>
      </c>
      <c r="D108">
        <v>160</v>
      </c>
      <c r="E108" t="s">
        <v>15</v>
      </c>
      <c r="F108" t="s">
        <v>13</v>
      </c>
      <c r="G108">
        <f>MONTH(cleaned_personal_finance_data3[[#This Row],[date]])</f>
        <v>12</v>
      </c>
      <c r="H108">
        <f>YEAR(cleaned_personal_finance_data3[[#This Row],[date]])</f>
        <v>2023</v>
      </c>
      <c r="I108" t="s">
        <v>262</v>
      </c>
    </row>
    <row r="109" spans="1:9" x14ac:dyDescent="0.25">
      <c r="A109">
        <v>108</v>
      </c>
      <c r="B109" s="1">
        <v>45292</v>
      </c>
      <c r="C109" t="s">
        <v>87</v>
      </c>
      <c r="D109">
        <v>200</v>
      </c>
      <c r="E109" t="s">
        <v>15</v>
      </c>
      <c r="F109" t="s">
        <v>13</v>
      </c>
      <c r="G109">
        <f>MONTH(cleaned_personal_finance_data3[[#This Row],[date]])</f>
        <v>1</v>
      </c>
      <c r="H109">
        <f>YEAR(cleaned_personal_finance_data3[[#This Row],[date]])</f>
        <v>2024</v>
      </c>
      <c r="I109" t="s">
        <v>87</v>
      </c>
    </row>
    <row r="110" spans="1:9" hidden="1" x14ac:dyDescent="0.25">
      <c r="A110">
        <v>109</v>
      </c>
      <c r="B110" s="1">
        <v>45295</v>
      </c>
      <c r="C110" t="s">
        <v>88</v>
      </c>
      <c r="D110">
        <v>784</v>
      </c>
      <c r="E110" t="s">
        <v>12</v>
      </c>
      <c r="F110" t="s">
        <v>21</v>
      </c>
      <c r="G110">
        <f>MONTH(cleaned_personal_finance_data3[[#This Row],[date]])</f>
        <v>1</v>
      </c>
      <c r="H110">
        <f>YEAR(cleaned_personal_finance_data3[[#This Row],[date]])</f>
        <v>2024</v>
      </c>
      <c r="I110" t="s">
        <v>20</v>
      </c>
    </row>
    <row r="111" spans="1:9" x14ac:dyDescent="0.25">
      <c r="A111">
        <v>110</v>
      </c>
      <c r="B111" s="1">
        <v>45297</v>
      </c>
      <c r="C111" t="s">
        <v>24</v>
      </c>
      <c r="D111">
        <v>239</v>
      </c>
      <c r="E111" t="s">
        <v>15</v>
      </c>
      <c r="F111" t="s">
        <v>21</v>
      </c>
      <c r="G111">
        <f>MONTH(cleaned_personal_finance_data3[[#This Row],[date]])</f>
        <v>1</v>
      </c>
      <c r="H111">
        <f>YEAR(cleaned_personal_finance_data3[[#This Row],[date]])</f>
        <v>2024</v>
      </c>
      <c r="I111" t="s">
        <v>24</v>
      </c>
    </row>
    <row r="112" spans="1:9" x14ac:dyDescent="0.25">
      <c r="A112">
        <v>111</v>
      </c>
      <c r="B112" s="1">
        <v>45298</v>
      </c>
      <c r="C112" t="s">
        <v>28</v>
      </c>
      <c r="D112">
        <v>125</v>
      </c>
      <c r="E112" t="s">
        <v>15</v>
      </c>
      <c r="F112" t="s">
        <v>21</v>
      </c>
      <c r="G112">
        <f>MONTH(cleaned_personal_finance_data3[[#This Row],[date]])</f>
        <v>1</v>
      </c>
      <c r="H112">
        <f>YEAR(cleaned_personal_finance_data3[[#This Row],[date]])</f>
        <v>2024</v>
      </c>
      <c r="I112" t="s">
        <v>28</v>
      </c>
    </row>
    <row r="113" spans="1:9" x14ac:dyDescent="0.25">
      <c r="A113">
        <v>112</v>
      </c>
      <c r="B113" s="1">
        <v>45298</v>
      </c>
      <c r="C113" t="s">
        <v>28</v>
      </c>
      <c r="D113">
        <v>50</v>
      </c>
      <c r="E113" t="s">
        <v>15</v>
      </c>
      <c r="F113" t="s">
        <v>21</v>
      </c>
      <c r="G113">
        <f>MONTH(cleaned_personal_finance_data3[[#This Row],[date]])</f>
        <v>1</v>
      </c>
      <c r="H113">
        <f>YEAR(cleaned_personal_finance_data3[[#This Row],[date]])</f>
        <v>2024</v>
      </c>
      <c r="I113" t="s">
        <v>28</v>
      </c>
    </row>
    <row r="114" spans="1:9" hidden="1" x14ac:dyDescent="0.25">
      <c r="A114">
        <v>113</v>
      </c>
      <c r="B114" s="1">
        <v>45298</v>
      </c>
      <c r="C114" t="s">
        <v>89</v>
      </c>
      <c r="D114">
        <v>380</v>
      </c>
      <c r="E114" t="s">
        <v>12</v>
      </c>
      <c r="F114" t="s">
        <v>21</v>
      </c>
      <c r="G114">
        <f>MONTH(cleaned_personal_finance_data3[[#This Row],[date]])</f>
        <v>1</v>
      </c>
      <c r="H114">
        <f>YEAR(cleaned_personal_finance_data3[[#This Row],[date]])</f>
        <v>2024</v>
      </c>
      <c r="I114" t="s">
        <v>20</v>
      </c>
    </row>
    <row r="115" spans="1:9" x14ac:dyDescent="0.25">
      <c r="A115">
        <v>114</v>
      </c>
      <c r="B115" s="1">
        <v>45298</v>
      </c>
      <c r="C115" t="s">
        <v>90</v>
      </c>
      <c r="D115">
        <v>34</v>
      </c>
      <c r="E115" t="s">
        <v>15</v>
      </c>
      <c r="F115" t="s">
        <v>21</v>
      </c>
      <c r="G115">
        <f>MONTH(cleaned_personal_finance_data3[[#This Row],[date]])</f>
        <v>1</v>
      </c>
      <c r="H115">
        <f>YEAR(cleaned_personal_finance_data3[[#This Row],[date]])</f>
        <v>2024</v>
      </c>
      <c r="I115" t="s">
        <v>324</v>
      </c>
    </row>
    <row r="116" spans="1:9" x14ac:dyDescent="0.25">
      <c r="A116">
        <v>115</v>
      </c>
      <c r="B116" s="1">
        <v>45299</v>
      </c>
      <c r="C116" t="s">
        <v>91</v>
      </c>
      <c r="D116">
        <v>392</v>
      </c>
      <c r="E116" t="s">
        <v>15</v>
      </c>
      <c r="F116" t="s">
        <v>13</v>
      </c>
      <c r="G116">
        <f>MONTH(cleaned_personal_finance_data3[[#This Row],[date]])</f>
        <v>1</v>
      </c>
      <c r="H116">
        <f>YEAR(cleaned_personal_finance_data3[[#This Row],[date]])</f>
        <v>2024</v>
      </c>
      <c r="I116" t="s">
        <v>319</v>
      </c>
    </row>
    <row r="117" spans="1:9" hidden="1" x14ac:dyDescent="0.25">
      <c r="A117">
        <v>116</v>
      </c>
      <c r="B117" s="1">
        <v>45299</v>
      </c>
      <c r="C117" t="s">
        <v>92</v>
      </c>
      <c r="D117">
        <v>1176</v>
      </c>
      <c r="E117" t="s">
        <v>10</v>
      </c>
      <c r="F117" t="s">
        <v>13</v>
      </c>
      <c r="G117">
        <f>MONTH(cleaned_personal_finance_data3[[#This Row],[date]])</f>
        <v>1</v>
      </c>
      <c r="H117">
        <f>YEAR(cleaned_personal_finance_data3[[#This Row],[date]])</f>
        <v>2024</v>
      </c>
      <c r="I117" t="s">
        <v>319</v>
      </c>
    </row>
    <row r="118" spans="1:9" x14ac:dyDescent="0.25">
      <c r="A118">
        <v>117</v>
      </c>
      <c r="B118" s="1">
        <v>45299</v>
      </c>
      <c r="C118" t="s">
        <v>28</v>
      </c>
      <c r="D118">
        <v>25</v>
      </c>
      <c r="E118" t="s">
        <v>15</v>
      </c>
      <c r="F118" t="s">
        <v>21</v>
      </c>
      <c r="G118">
        <f>MONTH(cleaned_personal_finance_data3[[#This Row],[date]])</f>
        <v>1</v>
      </c>
      <c r="H118">
        <f>YEAR(cleaned_personal_finance_data3[[#This Row],[date]])</f>
        <v>2024</v>
      </c>
      <c r="I118" t="s">
        <v>28</v>
      </c>
    </row>
    <row r="119" spans="1:9" x14ac:dyDescent="0.25">
      <c r="A119">
        <v>118</v>
      </c>
      <c r="B119" s="1">
        <v>45300</v>
      </c>
      <c r="C119" t="s">
        <v>28</v>
      </c>
      <c r="D119">
        <v>50</v>
      </c>
      <c r="E119" t="s">
        <v>15</v>
      </c>
      <c r="F119" t="s">
        <v>21</v>
      </c>
      <c r="G119">
        <f>MONTH(cleaned_personal_finance_data3[[#This Row],[date]])</f>
        <v>1</v>
      </c>
      <c r="H119">
        <f>YEAR(cleaned_personal_finance_data3[[#This Row],[date]])</f>
        <v>2024</v>
      </c>
      <c r="I119" t="s">
        <v>28</v>
      </c>
    </row>
    <row r="120" spans="1:9" x14ac:dyDescent="0.25">
      <c r="A120">
        <v>119</v>
      </c>
      <c r="B120" s="1">
        <v>45300</v>
      </c>
      <c r="C120" t="s">
        <v>93</v>
      </c>
      <c r="D120">
        <v>50</v>
      </c>
      <c r="E120" t="s">
        <v>15</v>
      </c>
      <c r="F120" t="s">
        <v>13</v>
      </c>
      <c r="G120">
        <f>MONTH(cleaned_personal_finance_data3[[#This Row],[date]])</f>
        <v>1</v>
      </c>
      <c r="H120">
        <f>YEAR(cleaned_personal_finance_data3[[#This Row],[date]])</f>
        <v>2024</v>
      </c>
      <c r="I120" t="s">
        <v>319</v>
      </c>
    </row>
    <row r="121" spans="1:9" x14ac:dyDescent="0.25">
      <c r="A121">
        <v>120</v>
      </c>
      <c r="B121" s="1">
        <v>45300</v>
      </c>
      <c r="C121" t="s">
        <v>94</v>
      </c>
      <c r="D121">
        <v>123</v>
      </c>
      <c r="E121" t="s">
        <v>15</v>
      </c>
      <c r="F121" t="s">
        <v>13</v>
      </c>
      <c r="G121">
        <f>MONTH(cleaned_personal_finance_data3[[#This Row],[date]])</f>
        <v>1</v>
      </c>
      <c r="H121">
        <f>YEAR(cleaned_personal_finance_data3[[#This Row],[date]])</f>
        <v>2024</v>
      </c>
      <c r="I121" t="s">
        <v>319</v>
      </c>
    </row>
    <row r="122" spans="1:9" hidden="1" x14ac:dyDescent="0.25">
      <c r="A122">
        <v>121</v>
      </c>
      <c r="B122" s="1">
        <v>45300</v>
      </c>
      <c r="C122" t="s">
        <v>95</v>
      </c>
      <c r="D122">
        <v>173</v>
      </c>
      <c r="E122" t="s">
        <v>12</v>
      </c>
      <c r="F122" t="s">
        <v>21</v>
      </c>
      <c r="G122">
        <f>MONTH(cleaned_personal_finance_data3[[#This Row],[date]])</f>
        <v>1</v>
      </c>
      <c r="H122">
        <f>YEAR(cleaned_personal_finance_data3[[#This Row],[date]])</f>
        <v>2024</v>
      </c>
      <c r="I122" t="s">
        <v>319</v>
      </c>
    </row>
    <row r="123" spans="1:9" hidden="1" x14ac:dyDescent="0.25">
      <c r="A123">
        <v>122</v>
      </c>
      <c r="B123" s="1">
        <v>45300</v>
      </c>
      <c r="C123" t="s">
        <v>95</v>
      </c>
      <c r="D123">
        <v>173</v>
      </c>
      <c r="E123" t="s">
        <v>10</v>
      </c>
      <c r="F123" t="s">
        <v>21</v>
      </c>
      <c r="G123">
        <f>MONTH(cleaned_personal_finance_data3[[#This Row],[date]])</f>
        <v>1</v>
      </c>
      <c r="H123">
        <f>YEAR(cleaned_personal_finance_data3[[#This Row],[date]])</f>
        <v>2024</v>
      </c>
      <c r="I123" t="s">
        <v>319</v>
      </c>
    </row>
    <row r="124" spans="1:9" x14ac:dyDescent="0.25">
      <c r="A124">
        <v>123</v>
      </c>
      <c r="B124" s="1">
        <v>45303</v>
      </c>
      <c r="C124" t="s">
        <v>96</v>
      </c>
      <c r="D124">
        <v>930</v>
      </c>
      <c r="E124" t="s">
        <v>15</v>
      </c>
      <c r="F124" t="s">
        <v>13</v>
      </c>
      <c r="G124">
        <f>MONTH(cleaned_personal_finance_data3[[#This Row],[date]])</f>
        <v>1</v>
      </c>
      <c r="H124">
        <f>YEAR(cleaned_personal_finance_data3[[#This Row],[date]])</f>
        <v>2024</v>
      </c>
      <c r="I124" t="s">
        <v>96</v>
      </c>
    </row>
    <row r="125" spans="1:9" x14ac:dyDescent="0.25">
      <c r="A125">
        <v>124</v>
      </c>
      <c r="B125" s="1">
        <v>45303</v>
      </c>
      <c r="C125" t="s">
        <v>97</v>
      </c>
      <c r="D125">
        <v>1990</v>
      </c>
      <c r="E125" t="s">
        <v>15</v>
      </c>
      <c r="F125" t="s">
        <v>13</v>
      </c>
      <c r="G125">
        <f>MONTH(cleaned_personal_finance_data3[[#This Row],[date]])</f>
        <v>1</v>
      </c>
      <c r="H125">
        <f>YEAR(cleaned_personal_finance_data3[[#This Row],[date]])</f>
        <v>2024</v>
      </c>
      <c r="I125" t="s">
        <v>97</v>
      </c>
    </row>
    <row r="126" spans="1:9" x14ac:dyDescent="0.25">
      <c r="A126">
        <v>125</v>
      </c>
      <c r="B126" s="1">
        <v>45303</v>
      </c>
      <c r="C126" t="s">
        <v>98</v>
      </c>
      <c r="D126">
        <v>695</v>
      </c>
      <c r="E126" t="s">
        <v>15</v>
      </c>
      <c r="F126" t="s">
        <v>13</v>
      </c>
      <c r="G126">
        <f>MONTH(cleaned_personal_finance_data3[[#This Row],[date]])</f>
        <v>1</v>
      </c>
      <c r="H126">
        <f>YEAR(cleaned_personal_finance_data3[[#This Row],[date]])</f>
        <v>2024</v>
      </c>
      <c r="I126" t="s">
        <v>98</v>
      </c>
    </row>
    <row r="127" spans="1:9" x14ac:dyDescent="0.25">
      <c r="A127">
        <v>126</v>
      </c>
      <c r="B127" s="1">
        <v>45303</v>
      </c>
      <c r="C127" t="s">
        <v>99</v>
      </c>
      <c r="D127">
        <v>77</v>
      </c>
      <c r="E127" t="s">
        <v>15</v>
      </c>
      <c r="F127" t="s">
        <v>13</v>
      </c>
      <c r="G127">
        <f>MONTH(cleaned_personal_finance_data3[[#This Row],[date]])</f>
        <v>1</v>
      </c>
      <c r="H127">
        <f>YEAR(cleaned_personal_finance_data3[[#This Row],[date]])</f>
        <v>2024</v>
      </c>
      <c r="I127" t="s">
        <v>99</v>
      </c>
    </row>
    <row r="128" spans="1:9" x14ac:dyDescent="0.25">
      <c r="A128">
        <v>127</v>
      </c>
      <c r="B128" s="1">
        <v>45303</v>
      </c>
      <c r="C128" t="s">
        <v>85</v>
      </c>
      <c r="D128">
        <v>300</v>
      </c>
      <c r="E128" t="s">
        <v>15</v>
      </c>
      <c r="F128" t="s">
        <v>13</v>
      </c>
      <c r="G128">
        <f>MONTH(cleaned_personal_finance_data3[[#This Row],[date]])</f>
        <v>1</v>
      </c>
      <c r="H128">
        <f>YEAR(cleaned_personal_finance_data3[[#This Row],[date]])</f>
        <v>2024</v>
      </c>
      <c r="I128" t="s">
        <v>85</v>
      </c>
    </row>
    <row r="129" spans="1:9" x14ac:dyDescent="0.25">
      <c r="A129">
        <v>128</v>
      </c>
      <c r="B129" s="1">
        <v>45303</v>
      </c>
      <c r="C129" t="s">
        <v>100</v>
      </c>
      <c r="D129">
        <v>10</v>
      </c>
      <c r="E129" t="s">
        <v>15</v>
      </c>
      <c r="F129" t="s">
        <v>13</v>
      </c>
      <c r="G129">
        <f>MONTH(cleaned_personal_finance_data3[[#This Row],[date]])</f>
        <v>1</v>
      </c>
      <c r="H129">
        <f>YEAR(cleaned_personal_finance_data3[[#This Row],[date]])</f>
        <v>2024</v>
      </c>
      <c r="I129" t="s">
        <v>43</v>
      </c>
    </row>
    <row r="130" spans="1:9" x14ac:dyDescent="0.25">
      <c r="A130">
        <v>129</v>
      </c>
      <c r="B130" s="1">
        <v>45303</v>
      </c>
      <c r="C130" t="s">
        <v>101</v>
      </c>
      <c r="D130">
        <v>600</v>
      </c>
      <c r="E130" t="s">
        <v>15</v>
      </c>
      <c r="F130" t="s">
        <v>13</v>
      </c>
      <c r="G130">
        <f>MONTH(cleaned_personal_finance_data3[[#This Row],[date]])</f>
        <v>1</v>
      </c>
      <c r="H130">
        <f>YEAR(cleaned_personal_finance_data3[[#This Row],[date]])</f>
        <v>2024</v>
      </c>
      <c r="I130" t="s">
        <v>43</v>
      </c>
    </row>
    <row r="131" spans="1:9" x14ac:dyDescent="0.25">
      <c r="A131">
        <v>130</v>
      </c>
      <c r="B131" s="1">
        <v>45303</v>
      </c>
      <c r="C131" t="s">
        <v>102</v>
      </c>
      <c r="D131">
        <v>1050</v>
      </c>
      <c r="E131" t="s">
        <v>15</v>
      </c>
      <c r="F131" t="s">
        <v>13</v>
      </c>
      <c r="G131">
        <f>MONTH(cleaned_personal_finance_data3[[#This Row],[date]])</f>
        <v>1</v>
      </c>
      <c r="H131">
        <f>YEAR(cleaned_personal_finance_data3[[#This Row],[date]])</f>
        <v>2024</v>
      </c>
      <c r="I131" t="s">
        <v>159</v>
      </c>
    </row>
    <row r="132" spans="1:9" x14ac:dyDescent="0.25">
      <c r="A132">
        <v>131</v>
      </c>
      <c r="B132" s="1">
        <v>45303</v>
      </c>
      <c r="C132" t="s">
        <v>35</v>
      </c>
      <c r="D132">
        <v>280</v>
      </c>
      <c r="E132" t="s">
        <v>15</v>
      </c>
      <c r="F132" t="s">
        <v>21</v>
      </c>
      <c r="G132">
        <f>MONTH(cleaned_personal_finance_data3[[#This Row],[date]])</f>
        <v>1</v>
      </c>
      <c r="H132">
        <f>YEAR(cleaned_personal_finance_data3[[#This Row],[date]])</f>
        <v>2024</v>
      </c>
      <c r="I132" t="s">
        <v>35</v>
      </c>
    </row>
    <row r="133" spans="1:9" x14ac:dyDescent="0.25">
      <c r="A133">
        <v>132</v>
      </c>
      <c r="B133" s="1">
        <v>45305</v>
      </c>
      <c r="C133" t="s">
        <v>103</v>
      </c>
      <c r="D133">
        <v>260</v>
      </c>
      <c r="E133" t="s">
        <v>15</v>
      </c>
      <c r="F133" t="s">
        <v>13</v>
      </c>
      <c r="G133">
        <f>MONTH(cleaned_personal_finance_data3[[#This Row],[date]])</f>
        <v>1</v>
      </c>
      <c r="H133">
        <f>YEAR(cleaned_personal_finance_data3[[#This Row],[date]])</f>
        <v>2024</v>
      </c>
      <c r="I133" t="s">
        <v>329</v>
      </c>
    </row>
    <row r="134" spans="1:9" hidden="1" x14ac:dyDescent="0.25">
      <c r="A134">
        <v>133</v>
      </c>
      <c r="B134" s="1">
        <v>45305</v>
      </c>
      <c r="C134" t="s">
        <v>6</v>
      </c>
      <c r="D134">
        <v>12732</v>
      </c>
      <c r="E134" t="s">
        <v>7</v>
      </c>
      <c r="F134" t="s">
        <v>8</v>
      </c>
      <c r="G134">
        <f>MONTH(cleaned_personal_finance_data3[[#This Row],[date]])</f>
        <v>1</v>
      </c>
      <c r="H134">
        <f>YEAR(cleaned_personal_finance_data3[[#This Row],[date]])</f>
        <v>2024</v>
      </c>
      <c r="I134" t="s">
        <v>318</v>
      </c>
    </row>
    <row r="135" spans="1:9" x14ac:dyDescent="0.25">
      <c r="A135">
        <v>134</v>
      </c>
      <c r="B135" s="1">
        <v>45306</v>
      </c>
      <c r="C135" t="s">
        <v>104</v>
      </c>
      <c r="D135">
        <v>300</v>
      </c>
      <c r="E135" t="s">
        <v>15</v>
      </c>
      <c r="F135" t="s">
        <v>13</v>
      </c>
      <c r="G135">
        <f>MONTH(cleaned_personal_finance_data3[[#This Row],[date]])</f>
        <v>1</v>
      </c>
      <c r="H135">
        <f>YEAR(cleaned_personal_finance_data3[[#This Row],[date]])</f>
        <v>2024</v>
      </c>
      <c r="I135" t="s">
        <v>104</v>
      </c>
    </row>
    <row r="136" spans="1:9" x14ac:dyDescent="0.25">
      <c r="A136">
        <v>135</v>
      </c>
      <c r="B136" s="1">
        <v>45306</v>
      </c>
      <c r="C136" t="s">
        <v>28</v>
      </c>
      <c r="D136">
        <v>125</v>
      </c>
      <c r="E136" t="s">
        <v>15</v>
      </c>
      <c r="F136" t="s">
        <v>21</v>
      </c>
      <c r="G136">
        <f>MONTH(cleaned_personal_finance_data3[[#This Row],[date]])</f>
        <v>1</v>
      </c>
      <c r="H136">
        <f>YEAR(cleaned_personal_finance_data3[[#This Row],[date]])</f>
        <v>2024</v>
      </c>
      <c r="I136" t="s">
        <v>28</v>
      </c>
    </row>
    <row r="137" spans="1:9" x14ac:dyDescent="0.25">
      <c r="A137">
        <v>136</v>
      </c>
      <c r="B137" s="1">
        <v>45308</v>
      </c>
      <c r="C137" t="s">
        <v>87</v>
      </c>
      <c r="D137">
        <v>200</v>
      </c>
      <c r="E137" t="s">
        <v>15</v>
      </c>
      <c r="F137" t="s">
        <v>13</v>
      </c>
      <c r="G137">
        <f>MONTH(cleaned_personal_finance_data3[[#This Row],[date]])</f>
        <v>1</v>
      </c>
      <c r="H137">
        <f>YEAR(cleaned_personal_finance_data3[[#This Row],[date]])</f>
        <v>2024</v>
      </c>
      <c r="I137" t="s">
        <v>87</v>
      </c>
    </row>
    <row r="138" spans="1:9" x14ac:dyDescent="0.25">
      <c r="A138">
        <v>137</v>
      </c>
      <c r="B138" s="1">
        <v>45309</v>
      </c>
      <c r="C138" t="s">
        <v>28</v>
      </c>
      <c r="D138">
        <v>125</v>
      </c>
      <c r="E138" t="s">
        <v>15</v>
      </c>
      <c r="F138" t="s">
        <v>21</v>
      </c>
      <c r="G138">
        <f>MONTH(cleaned_personal_finance_data3[[#This Row],[date]])</f>
        <v>1</v>
      </c>
      <c r="H138">
        <f>YEAR(cleaned_personal_finance_data3[[#This Row],[date]])</f>
        <v>2024</v>
      </c>
      <c r="I138" t="s">
        <v>28</v>
      </c>
    </row>
    <row r="139" spans="1:9" x14ac:dyDescent="0.25">
      <c r="A139">
        <v>138</v>
      </c>
      <c r="B139" s="1">
        <v>45310</v>
      </c>
      <c r="C139" t="s">
        <v>28</v>
      </c>
      <c r="D139">
        <v>125</v>
      </c>
      <c r="E139" t="s">
        <v>15</v>
      </c>
      <c r="F139" t="s">
        <v>21</v>
      </c>
      <c r="G139">
        <f>MONTH(cleaned_personal_finance_data3[[#This Row],[date]])</f>
        <v>1</v>
      </c>
      <c r="H139">
        <f>YEAR(cleaned_personal_finance_data3[[#This Row],[date]])</f>
        <v>2024</v>
      </c>
      <c r="I139" t="s">
        <v>28</v>
      </c>
    </row>
    <row r="140" spans="1:9" x14ac:dyDescent="0.25">
      <c r="A140">
        <v>139</v>
      </c>
      <c r="B140" s="1">
        <v>45311</v>
      </c>
      <c r="C140" t="s">
        <v>28</v>
      </c>
      <c r="D140">
        <v>125</v>
      </c>
      <c r="E140" t="s">
        <v>15</v>
      </c>
      <c r="F140" t="s">
        <v>21</v>
      </c>
      <c r="G140">
        <f>MONTH(cleaned_personal_finance_data3[[#This Row],[date]])</f>
        <v>1</v>
      </c>
      <c r="H140">
        <f>YEAR(cleaned_personal_finance_data3[[#This Row],[date]])</f>
        <v>2024</v>
      </c>
      <c r="I140" t="s">
        <v>28</v>
      </c>
    </row>
    <row r="141" spans="1:9" x14ac:dyDescent="0.25">
      <c r="A141">
        <v>140</v>
      </c>
      <c r="B141" s="1">
        <v>45312</v>
      </c>
      <c r="C141" t="s">
        <v>28</v>
      </c>
      <c r="D141">
        <v>125</v>
      </c>
      <c r="E141" t="s">
        <v>15</v>
      </c>
      <c r="F141" t="s">
        <v>21</v>
      </c>
      <c r="G141">
        <f>MONTH(cleaned_personal_finance_data3[[#This Row],[date]])</f>
        <v>1</v>
      </c>
      <c r="H141">
        <f>YEAR(cleaned_personal_finance_data3[[#This Row],[date]])</f>
        <v>2024</v>
      </c>
      <c r="I141" t="s">
        <v>28</v>
      </c>
    </row>
    <row r="142" spans="1:9" x14ac:dyDescent="0.25">
      <c r="A142">
        <v>141</v>
      </c>
      <c r="B142" s="1">
        <v>45313</v>
      </c>
      <c r="C142" t="s">
        <v>34</v>
      </c>
      <c r="D142">
        <v>129</v>
      </c>
      <c r="E142" t="s">
        <v>15</v>
      </c>
      <c r="F142" t="s">
        <v>21</v>
      </c>
      <c r="G142">
        <f>MONTH(cleaned_personal_finance_data3[[#This Row],[date]])</f>
        <v>1</v>
      </c>
      <c r="H142">
        <f>YEAR(cleaned_personal_finance_data3[[#This Row],[date]])</f>
        <v>2024</v>
      </c>
      <c r="I142" t="s">
        <v>34</v>
      </c>
    </row>
    <row r="143" spans="1:9" x14ac:dyDescent="0.25">
      <c r="A143">
        <v>142</v>
      </c>
      <c r="B143" s="1">
        <v>45313</v>
      </c>
      <c r="C143" t="s">
        <v>105</v>
      </c>
      <c r="D143">
        <v>50</v>
      </c>
      <c r="E143" t="s">
        <v>15</v>
      </c>
      <c r="F143" t="s">
        <v>13</v>
      </c>
      <c r="G143">
        <f>MONTH(cleaned_personal_finance_data3[[#This Row],[date]])</f>
        <v>1</v>
      </c>
      <c r="H143">
        <f>YEAR(cleaned_personal_finance_data3[[#This Row],[date]])</f>
        <v>2024</v>
      </c>
      <c r="I143" t="s">
        <v>105</v>
      </c>
    </row>
    <row r="144" spans="1:9" x14ac:dyDescent="0.25">
      <c r="A144">
        <v>143</v>
      </c>
      <c r="B144" s="1">
        <v>45315</v>
      </c>
      <c r="C144" t="s">
        <v>28</v>
      </c>
      <c r="D144">
        <v>125</v>
      </c>
      <c r="E144" t="s">
        <v>15</v>
      </c>
      <c r="F144" t="s">
        <v>21</v>
      </c>
      <c r="G144">
        <f>MONTH(cleaned_personal_finance_data3[[#This Row],[date]])</f>
        <v>1</v>
      </c>
      <c r="H144">
        <f>YEAR(cleaned_personal_finance_data3[[#This Row],[date]])</f>
        <v>2024</v>
      </c>
      <c r="I144" t="s">
        <v>28</v>
      </c>
    </row>
    <row r="145" spans="1:9" x14ac:dyDescent="0.25">
      <c r="A145">
        <v>144</v>
      </c>
      <c r="B145" s="1">
        <v>45315</v>
      </c>
      <c r="C145" t="s">
        <v>28</v>
      </c>
      <c r="D145">
        <v>25</v>
      </c>
      <c r="E145" t="s">
        <v>15</v>
      </c>
      <c r="F145" t="s">
        <v>21</v>
      </c>
      <c r="G145">
        <f>MONTH(cleaned_personal_finance_data3[[#This Row],[date]])</f>
        <v>1</v>
      </c>
      <c r="H145">
        <f>YEAR(cleaned_personal_finance_data3[[#This Row],[date]])</f>
        <v>2024</v>
      </c>
      <c r="I145" t="s">
        <v>28</v>
      </c>
    </row>
    <row r="146" spans="1:9" x14ac:dyDescent="0.25">
      <c r="A146">
        <v>145</v>
      </c>
      <c r="B146" s="1">
        <v>45316</v>
      </c>
      <c r="C146" t="s">
        <v>28</v>
      </c>
      <c r="D146">
        <v>125</v>
      </c>
      <c r="E146" t="s">
        <v>15</v>
      </c>
      <c r="F146" t="s">
        <v>21</v>
      </c>
      <c r="G146">
        <f>MONTH(cleaned_personal_finance_data3[[#This Row],[date]])</f>
        <v>1</v>
      </c>
      <c r="H146">
        <f>YEAR(cleaned_personal_finance_data3[[#This Row],[date]])</f>
        <v>2024</v>
      </c>
      <c r="I146" t="s">
        <v>28</v>
      </c>
    </row>
    <row r="147" spans="1:9" hidden="1" x14ac:dyDescent="0.25">
      <c r="A147">
        <v>146</v>
      </c>
      <c r="B147" s="1">
        <v>45319</v>
      </c>
      <c r="C147" t="s">
        <v>6</v>
      </c>
      <c r="D147">
        <v>12734</v>
      </c>
      <c r="E147" t="s">
        <v>7</v>
      </c>
      <c r="F147" t="s">
        <v>8</v>
      </c>
      <c r="G147">
        <f>MONTH(cleaned_personal_finance_data3[[#This Row],[date]])</f>
        <v>1</v>
      </c>
      <c r="H147">
        <f>YEAR(cleaned_personal_finance_data3[[#This Row],[date]])</f>
        <v>2024</v>
      </c>
      <c r="I147" t="s">
        <v>318</v>
      </c>
    </row>
    <row r="148" spans="1:9" x14ac:dyDescent="0.25">
      <c r="A148">
        <v>147</v>
      </c>
      <c r="B148" s="1">
        <v>45320</v>
      </c>
      <c r="C148" t="s">
        <v>51</v>
      </c>
      <c r="D148">
        <v>30</v>
      </c>
      <c r="E148" t="s">
        <v>15</v>
      </c>
      <c r="F148" t="s">
        <v>13</v>
      </c>
      <c r="G148">
        <f>MONTH(cleaned_personal_finance_data3[[#This Row],[date]])</f>
        <v>1</v>
      </c>
      <c r="H148">
        <f>YEAR(cleaned_personal_finance_data3[[#This Row],[date]])</f>
        <v>2024</v>
      </c>
      <c r="I148" t="s">
        <v>43</v>
      </c>
    </row>
    <row r="149" spans="1:9" x14ac:dyDescent="0.25">
      <c r="A149">
        <v>148</v>
      </c>
      <c r="B149" s="1">
        <v>45320</v>
      </c>
      <c r="C149" t="s">
        <v>54</v>
      </c>
      <c r="D149">
        <v>45</v>
      </c>
      <c r="E149" t="s">
        <v>15</v>
      </c>
      <c r="F149" t="s">
        <v>13</v>
      </c>
      <c r="G149">
        <f>MONTH(cleaned_personal_finance_data3[[#This Row],[date]])</f>
        <v>1</v>
      </c>
      <c r="H149">
        <f>YEAR(cleaned_personal_finance_data3[[#This Row],[date]])</f>
        <v>2024</v>
      </c>
      <c r="I149" t="s">
        <v>54</v>
      </c>
    </row>
    <row r="150" spans="1:9" x14ac:dyDescent="0.25">
      <c r="A150">
        <v>149</v>
      </c>
      <c r="B150" s="1">
        <v>45320</v>
      </c>
      <c r="C150" t="s">
        <v>106</v>
      </c>
      <c r="D150">
        <v>85</v>
      </c>
      <c r="E150" t="s">
        <v>15</v>
      </c>
      <c r="F150" t="s">
        <v>13</v>
      </c>
      <c r="G150">
        <f>MONTH(cleaned_personal_finance_data3[[#This Row],[date]])</f>
        <v>1</v>
      </c>
      <c r="H150">
        <f>YEAR(cleaned_personal_finance_data3[[#This Row],[date]])</f>
        <v>2024</v>
      </c>
      <c r="I150" t="s">
        <v>106</v>
      </c>
    </row>
    <row r="151" spans="1:9" x14ac:dyDescent="0.25">
      <c r="A151">
        <v>150</v>
      </c>
      <c r="B151" s="1">
        <v>45320</v>
      </c>
      <c r="C151" t="s">
        <v>107</v>
      </c>
      <c r="D151">
        <v>35</v>
      </c>
      <c r="E151" t="s">
        <v>15</v>
      </c>
      <c r="F151" t="s">
        <v>13</v>
      </c>
      <c r="G151">
        <f>MONTH(cleaned_personal_finance_data3[[#This Row],[date]])</f>
        <v>1</v>
      </c>
      <c r="H151">
        <f>YEAR(cleaned_personal_finance_data3[[#This Row],[date]])</f>
        <v>2024</v>
      </c>
      <c r="I151" t="s">
        <v>107</v>
      </c>
    </row>
    <row r="152" spans="1:9" x14ac:dyDescent="0.25">
      <c r="A152">
        <v>151</v>
      </c>
      <c r="B152" s="1">
        <v>45320</v>
      </c>
      <c r="C152" t="s">
        <v>76</v>
      </c>
      <c r="D152">
        <v>30</v>
      </c>
      <c r="E152" t="s">
        <v>15</v>
      </c>
      <c r="F152" t="s">
        <v>13</v>
      </c>
      <c r="G152">
        <f>MONTH(cleaned_personal_finance_data3[[#This Row],[date]])</f>
        <v>1</v>
      </c>
      <c r="H152">
        <f>YEAR(cleaned_personal_finance_data3[[#This Row],[date]])</f>
        <v>2024</v>
      </c>
      <c r="I152" t="s">
        <v>43</v>
      </c>
    </row>
    <row r="153" spans="1:9" x14ac:dyDescent="0.25">
      <c r="A153">
        <v>152</v>
      </c>
      <c r="B153" s="1">
        <v>45321</v>
      </c>
      <c r="C153" t="s">
        <v>51</v>
      </c>
      <c r="D153">
        <v>30</v>
      </c>
      <c r="E153" t="s">
        <v>15</v>
      </c>
      <c r="F153" t="s">
        <v>13</v>
      </c>
      <c r="G153">
        <f>MONTH(cleaned_personal_finance_data3[[#This Row],[date]])</f>
        <v>1</v>
      </c>
      <c r="H153">
        <f>YEAR(cleaned_personal_finance_data3[[#This Row],[date]])</f>
        <v>2024</v>
      </c>
      <c r="I153" t="s">
        <v>43</v>
      </c>
    </row>
    <row r="154" spans="1:9" x14ac:dyDescent="0.25">
      <c r="A154">
        <v>153</v>
      </c>
      <c r="B154" s="1">
        <v>45321</v>
      </c>
      <c r="C154" t="s">
        <v>54</v>
      </c>
      <c r="D154">
        <v>45</v>
      </c>
      <c r="E154" t="s">
        <v>15</v>
      </c>
      <c r="F154" t="s">
        <v>13</v>
      </c>
      <c r="G154">
        <f>MONTH(cleaned_personal_finance_data3[[#This Row],[date]])</f>
        <v>1</v>
      </c>
      <c r="H154">
        <f>YEAR(cleaned_personal_finance_data3[[#This Row],[date]])</f>
        <v>2024</v>
      </c>
      <c r="I154" t="s">
        <v>54</v>
      </c>
    </row>
    <row r="155" spans="1:9" x14ac:dyDescent="0.25">
      <c r="A155">
        <v>154</v>
      </c>
      <c r="B155" s="1">
        <v>45321</v>
      </c>
      <c r="C155" t="s">
        <v>108</v>
      </c>
      <c r="D155">
        <v>15</v>
      </c>
      <c r="E155" t="s">
        <v>15</v>
      </c>
      <c r="F155" t="s">
        <v>13</v>
      </c>
      <c r="G155">
        <f>MONTH(cleaned_personal_finance_data3[[#This Row],[date]])</f>
        <v>1</v>
      </c>
      <c r="H155">
        <f>YEAR(cleaned_personal_finance_data3[[#This Row],[date]])</f>
        <v>2024</v>
      </c>
      <c r="I155" t="s">
        <v>43</v>
      </c>
    </row>
    <row r="156" spans="1:9" x14ac:dyDescent="0.25">
      <c r="A156">
        <v>155</v>
      </c>
      <c r="B156" s="1">
        <v>45321</v>
      </c>
      <c r="C156" t="s">
        <v>106</v>
      </c>
      <c r="D156">
        <v>58</v>
      </c>
      <c r="E156" t="s">
        <v>15</v>
      </c>
      <c r="F156" t="s">
        <v>13</v>
      </c>
      <c r="G156">
        <f>MONTH(cleaned_personal_finance_data3[[#This Row],[date]])</f>
        <v>1</v>
      </c>
      <c r="H156">
        <f>YEAR(cleaned_personal_finance_data3[[#This Row],[date]])</f>
        <v>2024</v>
      </c>
      <c r="I156" t="s">
        <v>106</v>
      </c>
    </row>
    <row r="157" spans="1:9" x14ac:dyDescent="0.25">
      <c r="A157">
        <v>156</v>
      </c>
      <c r="B157" s="1">
        <v>45321</v>
      </c>
      <c r="C157" t="s">
        <v>29</v>
      </c>
      <c r="D157">
        <v>15</v>
      </c>
      <c r="E157" t="s">
        <v>15</v>
      </c>
      <c r="F157" t="s">
        <v>13</v>
      </c>
      <c r="G157">
        <f>MONTH(cleaned_personal_finance_data3[[#This Row],[date]])</f>
        <v>1</v>
      </c>
      <c r="H157">
        <f>YEAR(cleaned_personal_finance_data3[[#This Row],[date]])</f>
        <v>2024</v>
      </c>
      <c r="I157" t="s">
        <v>29</v>
      </c>
    </row>
    <row r="158" spans="1:9" x14ac:dyDescent="0.25">
      <c r="A158">
        <v>157</v>
      </c>
      <c r="B158" s="1">
        <v>45321</v>
      </c>
      <c r="C158" t="s">
        <v>107</v>
      </c>
      <c r="D158">
        <v>20</v>
      </c>
      <c r="E158" t="s">
        <v>15</v>
      </c>
      <c r="F158" t="s">
        <v>13</v>
      </c>
      <c r="G158">
        <f>MONTH(cleaned_personal_finance_data3[[#This Row],[date]])</f>
        <v>1</v>
      </c>
      <c r="H158">
        <f>YEAR(cleaned_personal_finance_data3[[#This Row],[date]])</f>
        <v>2024</v>
      </c>
      <c r="I158" t="s">
        <v>107</v>
      </c>
    </row>
    <row r="159" spans="1:9" x14ac:dyDescent="0.25">
      <c r="A159">
        <v>158</v>
      </c>
      <c r="B159" s="1">
        <v>45321</v>
      </c>
      <c r="C159" t="s">
        <v>109</v>
      </c>
      <c r="D159">
        <v>30</v>
      </c>
      <c r="E159" t="s">
        <v>15</v>
      </c>
      <c r="F159" t="s">
        <v>13</v>
      </c>
      <c r="G159">
        <f>MONTH(cleaned_personal_finance_data3[[#This Row],[date]])</f>
        <v>1</v>
      </c>
      <c r="H159">
        <f>YEAR(cleaned_personal_finance_data3[[#This Row],[date]])</f>
        <v>2024</v>
      </c>
      <c r="I159" t="s">
        <v>43</v>
      </c>
    </row>
    <row r="160" spans="1:9" x14ac:dyDescent="0.25">
      <c r="A160">
        <v>159</v>
      </c>
      <c r="B160" s="1">
        <v>45322</v>
      </c>
      <c r="C160" t="s">
        <v>29</v>
      </c>
      <c r="D160">
        <v>25</v>
      </c>
      <c r="E160" t="s">
        <v>15</v>
      </c>
      <c r="F160" t="s">
        <v>13</v>
      </c>
      <c r="G160">
        <f>MONTH(cleaned_personal_finance_data3[[#This Row],[date]])</f>
        <v>1</v>
      </c>
      <c r="H160">
        <f>YEAR(cleaned_personal_finance_data3[[#This Row],[date]])</f>
        <v>2024</v>
      </c>
      <c r="I160" t="s">
        <v>29</v>
      </c>
    </row>
    <row r="161" spans="1:9" x14ac:dyDescent="0.25">
      <c r="A161">
        <v>160</v>
      </c>
      <c r="B161" s="1">
        <v>45322</v>
      </c>
      <c r="C161" t="s">
        <v>28</v>
      </c>
      <c r="D161">
        <v>125</v>
      </c>
      <c r="E161" t="s">
        <v>15</v>
      </c>
      <c r="F161" t="s">
        <v>21</v>
      </c>
      <c r="G161">
        <f>MONTH(cleaned_personal_finance_data3[[#This Row],[date]])</f>
        <v>1</v>
      </c>
      <c r="H161">
        <f>YEAR(cleaned_personal_finance_data3[[#This Row],[date]])</f>
        <v>2024</v>
      </c>
      <c r="I161" t="s">
        <v>28</v>
      </c>
    </row>
    <row r="162" spans="1:9" x14ac:dyDescent="0.25">
      <c r="A162">
        <v>161</v>
      </c>
      <c r="B162" s="1">
        <v>45323</v>
      </c>
      <c r="C162" t="s">
        <v>28</v>
      </c>
      <c r="D162">
        <v>125</v>
      </c>
      <c r="E162" t="s">
        <v>15</v>
      </c>
      <c r="F162" t="s">
        <v>21</v>
      </c>
      <c r="G162">
        <f>MONTH(cleaned_personal_finance_data3[[#This Row],[date]])</f>
        <v>2</v>
      </c>
      <c r="H162">
        <f>YEAR(cleaned_personal_finance_data3[[#This Row],[date]])</f>
        <v>2024</v>
      </c>
      <c r="I162" t="s">
        <v>28</v>
      </c>
    </row>
    <row r="163" spans="1:9" x14ac:dyDescent="0.25">
      <c r="A163">
        <v>162</v>
      </c>
      <c r="B163" s="1">
        <v>45323</v>
      </c>
      <c r="C163" t="s">
        <v>50</v>
      </c>
      <c r="D163">
        <v>599</v>
      </c>
      <c r="E163" t="s">
        <v>15</v>
      </c>
      <c r="F163" t="s">
        <v>21</v>
      </c>
      <c r="G163">
        <f>MONTH(cleaned_personal_finance_data3[[#This Row],[date]])</f>
        <v>2</v>
      </c>
      <c r="H163">
        <f>YEAR(cleaned_personal_finance_data3[[#This Row],[date]])</f>
        <v>2024</v>
      </c>
      <c r="I163" t="s">
        <v>50</v>
      </c>
    </row>
    <row r="164" spans="1:9" x14ac:dyDescent="0.25">
      <c r="A164">
        <v>163</v>
      </c>
      <c r="B164" s="1">
        <v>45323</v>
      </c>
      <c r="C164" t="s">
        <v>28</v>
      </c>
      <c r="D164">
        <v>50</v>
      </c>
      <c r="E164" t="s">
        <v>15</v>
      </c>
      <c r="F164" t="s">
        <v>21</v>
      </c>
      <c r="G164">
        <f>MONTH(cleaned_personal_finance_data3[[#This Row],[date]])</f>
        <v>2</v>
      </c>
      <c r="H164">
        <f>YEAR(cleaned_personal_finance_data3[[#This Row],[date]])</f>
        <v>2024</v>
      </c>
      <c r="I164" t="s">
        <v>28</v>
      </c>
    </row>
    <row r="165" spans="1:9" x14ac:dyDescent="0.25">
      <c r="A165">
        <v>164</v>
      </c>
      <c r="B165" s="1">
        <v>45323</v>
      </c>
      <c r="C165" t="s">
        <v>28</v>
      </c>
      <c r="D165">
        <v>50</v>
      </c>
      <c r="E165" t="s">
        <v>15</v>
      </c>
      <c r="F165" t="s">
        <v>21</v>
      </c>
      <c r="G165">
        <f>MONTH(cleaned_personal_finance_data3[[#This Row],[date]])</f>
        <v>2</v>
      </c>
      <c r="H165">
        <f>YEAR(cleaned_personal_finance_data3[[#This Row],[date]])</f>
        <v>2024</v>
      </c>
      <c r="I165" t="s">
        <v>28</v>
      </c>
    </row>
    <row r="166" spans="1:9" x14ac:dyDescent="0.25">
      <c r="A166">
        <v>165</v>
      </c>
      <c r="B166" s="1">
        <v>45325</v>
      </c>
      <c r="C166" t="s">
        <v>51</v>
      </c>
      <c r="D166">
        <v>30</v>
      </c>
      <c r="E166" t="s">
        <v>15</v>
      </c>
      <c r="F166" t="s">
        <v>13</v>
      </c>
      <c r="G166">
        <f>MONTH(cleaned_personal_finance_data3[[#This Row],[date]])</f>
        <v>2</v>
      </c>
      <c r="H166">
        <f>YEAR(cleaned_personal_finance_data3[[#This Row],[date]])</f>
        <v>2024</v>
      </c>
      <c r="I166" t="s">
        <v>43</v>
      </c>
    </row>
    <row r="167" spans="1:9" x14ac:dyDescent="0.25">
      <c r="A167">
        <v>166</v>
      </c>
      <c r="B167" s="1">
        <v>45325</v>
      </c>
      <c r="C167" t="s">
        <v>54</v>
      </c>
      <c r="D167">
        <v>45</v>
      </c>
      <c r="E167" t="s">
        <v>15</v>
      </c>
      <c r="F167" t="s">
        <v>13</v>
      </c>
      <c r="G167">
        <f>MONTH(cleaned_personal_finance_data3[[#This Row],[date]])</f>
        <v>2</v>
      </c>
      <c r="H167">
        <f>YEAR(cleaned_personal_finance_data3[[#This Row],[date]])</f>
        <v>2024</v>
      </c>
      <c r="I167" t="s">
        <v>54</v>
      </c>
    </row>
    <row r="168" spans="1:9" x14ac:dyDescent="0.25">
      <c r="A168">
        <v>167</v>
      </c>
      <c r="B168" s="1">
        <v>45325</v>
      </c>
      <c r="C168" t="s">
        <v>66</v>
      </c>
      <c r="D168">
        <v>10</v>
      </c>
      <c r="E168" t="s">
        <v>15</v>
      </c>
      <c r="F168" t="s">
        <v>13</v>
      </c>
      <c r="G168">
        <f>MONTH(cleaned_personal_finance_data3[[#This Row],[date]])</f>
        <v>2</v>
      </c>
      <c r="H168">
        <f>YEAR(cleaned_personal_finance_data3[[#This Row],[date]])</f>
        <v>2024</v>
      </c>
      <c r="I168" t="s">
        <v>66</v>
      </c>
    </row>
    <row r="169" spans="1:9" x14ac:dyDescent="0.25">
      <c r="A169">
        <v>168</v>
      </c>
      <c r="B169" s="1">
        <v>45325</v>
      </c>
      <c r="C169" t="s">
        <v>106</v>
      </c>
      <c r="D169">
        <v>40</v>
      </c>
      <c r="E169" t="s">
        <v>15</v>
      </c>
      <c r="F169" t="s">
        <v>13</v>
      </c>
      <c r="G169">
        <f>MONTH(cleaned_personal_finance_data3[[#This Row],[date]])</f>
        <v>2</v>
      </c>
      <c r="H169">
        <f>YEAR(cleaned_personal_finance_data3[[#This Row],[date]])</f>
        <v>2024</v>
      </c>
      <c r="I169" t="s">
        <v>106</v>
      </c>
    </row>
    <row r="170" spans="1:9" x14ac:dyDescent="0.25">
      <c r="A170">
        <v>169</v>
      </c>
      <c r="B170" s="1">
        <v>45325</v>
      </c>
      <c r="C170" t="s">
        <v>76</v>
      </c>
      <c r="D170">
        <v>50</v>
      </c>
      <c r="E170" t="s">
        <v>15</v>
      </c>
      <c r="F170" t="s">
        <v>13</v>
      </c>
      <c r="G170">
        <f>MONTH(cleaned_personal_finance_data3[[#This Row],[date]])</f>
        <v>2</v>
      </c>
      <c r="H170">
        <f>YEAR(cleaned_personal_finance_data3[[#This Row],[date]])</f>
        <v>2024</v>
      </c>
      <c r="I170" t="s">
        <v>43</v>
      </c>
    </row>
    <row r="171" spans="1:9" x14ac:dyDescent="0.25">
      <c r="A171">
        <v>170</v>
      </c>
      <c r="B171" s="1">
        <v>45325</v>
      </c>
      <c r="C171" t="s">
        <v>78</v>
      </c>
      <c r="D171">
        <v>200</v>
      </c>
      <c r="E171" t="s">
        <v>15</v>
      </c>
      <c r="F171" t="s">
        <v>13</v>
      </c>
      <c r="G171">
        <f>MONTH(cleaned_personal_finance_data3[[#This Row],[date]])</f>
        <v>2</v>
      </c>
      <c r="H171">
        <f>YEAR(cleaned_personal_finance_data3[[#This Row],[date]])</f>
        <v>2024</v>
      </c>
      <c r="I171" t="s">
        <v>78</v>
      </c>
    </row>
    <row r="172" spans="1:9" x14ac:dyDescent="0.25">
      <c r="A172">
        <v>171</v>
      </c>
      <c r="B172" s="1">
        <v>45328</v>
      </c>
      <c r="C172" t="s">
        <v>38</v>
      </c>
      <c r="D172">
        <v>1500</v>
      </c>
      <c r="E172" t="s">
        <v>15</v>
      </c>
      <c r="F172" t="s">
        <v>13</v>
      </c>
      <c r="G172">
        <f>MONTH(cleaned_personal_finance_data3[[#This Row],[date]])</f>
        <v>2</v>
      </c>
      <c r="H172">
        <f>YEAR(cleaned_personal_finance_data3[[#This Row],[date]])</f>
        <v>2024</v>
      </c>
      <c r="I172" t="s">
        <v>38</v>
      </c>
    </row>
    <row r="173" spans="1:9" x14ac:dyDescent="0.25">
      <c r="A173">
        <v>172</v>
      </c>
      <c r="B173" s="1">
        <v>45329</v>
      </c>
      <c r="C173" t="s">
        <v>51</v>
      </c>
      <c r="D173">
        <v>30</v>
      </c>
      <c r="E173" t="s">
        <v>15</v>
      </c>
      <c r="F173" t="s">
        <v>13</v>
      </c>
      <c r="G173">
        <f>MONTH(cleaned_personal_finance_data3[[#This Row],[date]])</f>
        <v>2</v>
      </c>
      <c r="H173">
        <f>YEAR(cleaned_personal_finance_data3[[#This Row],[date]])</f>
        <v>2024</v>
      </c>
      <c r="I173" t="s">
        <v>43</v>
      </c>
    </row>
    <row r="174" spans="1:9" x14ac:dyDescent="0.25">
      <c r="A174">
        <v>173</v>
      </c>
      <c r="B174" s="1">
        <v>45329</v>
      </c>
      <c r="C174" t="s">
        <v>54</v>
      </c>
      <c r="D174">
        <v>45</v>
      </c>
      <c r="E174" t="s">
        <v>15</v>
      </c>
      <c r="F174" t="s">
        <v>13</v>
      </c>
      <c r="G174">
        <f>MONTH(cleaned_personal_finance_data3[[#This Row],[date]])</f>
        <v>2</v>
      </c>
      <c r="H174">
        <f>YEAR(cleaned_personal_finance_data3[[#This Row],[date]])</f>
        <v>2024</v>
      </c>
      <c r="I174" t="s">
        <v>54</v>
      </c>
    </row>
    <row r="175" spans="1:9" x14ac:dyDescent="0.25">
      <c r="A175">
        <v>174</v>
      </c>
      <c r="B175" s="1">
        <v>45329</v>
      </c>
      <c r="C175" t="s">
        <v>110</v>
      </c>
      <c r="D175">
        <v>120</v>
      </c>
      <c r="E175" t="s">
        <v>15</v>
      </c>
      <c r="F175" t="s">
        <v>13</v>
      </c>
      <c r="G175">
        <f>MONTH(cleaned_personal_finance_data3[[#This Row],[date]])</f>
        <v>2</v>
      </c>
      <c r="H175">
        <f>YEAR(cleaned_personal_finance_data3[[#This Row],[date]])</f>
        <v>2024</v>
      </c>
      <c r="I175" t="s">
        <v>43</v>
      </c>
    </row>
    <row r="176" spans="1:9" x14ac:dyDescent="0.25">
      <c r="A176">
        <v>175</v>
      </c>
      <c r="B176" s="1">
        <v>45329</v>
      </c>
      <c r="C176" t="s">
        <v>111</v>
      </c>
      <c r="D176">
        <v>1099</v>
      </c>
      <c r="E176" t="s">
        <v>15</v>
      </c>
      <c r="F176" t="s">
        <v>8</v>
      </c>
      <c r="G176">
        <f>MONTH(cleaned_personal_finance_data3[[#This Row],[date]])</f>
        <v>2</v>
      </c>
      <c r="H176">
        <f>YEAR(cleaned_personal_finance_data3[[#This Row],[date]])</f>
        <v>2024</v>
      </c>
      <c r="I176" t="s">
        <v>111</v>
      </c>
    </row>
    <row r="177" spans="1:9" x14ac:dyDescent="0.25">
      <c r="A177">
        <v>176</v>
      </c>
      <c r="B177" s="1">
        <v>45329</v>
      </c>
      <c r="C177" t="s">
        <v>112</v>
      </c>
      <c r="D177">
        <v>837</v>
      </c>
      <c r="E177" t="s">
        <v>15</v>
      </c>
      <c r="F177" t="s">
        <v>8</v>
      </c>
      <c r="G177">
        <f>MONTH(cleaned_personal_finance_data3[[#This Row],[date]])</f>
        <v>2</v>
      </c>
      <c r="H177">
        <f>YEAR(cleaned_personal_finance_data3[[#This Row],[date]])</f>
        <v>2024</v>
      </c>
      <c r="I177" t="s">
        <v>269</v>
      </c>
    </row>
    <row r="178" spans="1:9" x14ac:dyDescent="0.25">
      <c r="A178">
        <v>177</v>
      </c>
      <c r="B178" s="1">
        <v>45329</v>
      </c>
      <c r="C178" t="s">
        <v>113</v>
      </c>
      <c r="D178">
        <v>75</v>
      </c>
      <c r="E178" t="s">
        <v>15</v>
      </c>
      <c r="F178" t="s">
        <v>13</v>
      </c>
      <c r="G178">
        <f>MONTH(cleaned_personal_finance_data3[[#This Row],[date]])</f>
        <v>2</v>
      </c>
      <c r="H178">
        <f>YEAR(cleaned_personal_finance_data3[[#This Row],[date]])</f>
        <v>2024</v>
      </c>
      <c r="I178" t="s">
        <v>320</v>
      </c>
    </row>
    <row r="179" spans="1:9" x14ac:dyDescent="0.25">
      <c r="A179">
        <v>178</v>
      </c>
      <c r="B179" s="1">
        <v>45329</v>
      </c>
      <c r="C179" t="s">
        <v>114</v>
      </c>
      <c r="D179">
        <v>25</v>
      </c>
      <c r="E179" t="s">
        <v>15</v>
      </c>
      <c r="F179" t="s">
        <v>13</v>
      </c>
      <c r="G179">
        <f>MONTH(cleaned_personal_finance_data3[[#This Row],[date]])</f>
        <v>2</v>
      </c>
      <c r="H179">
        <f>YEAR(cleaned_personal_finance_data3[[#This Row],[date]])</f>
        <v>2024</v>
      </c>
      <c r="I179" t="s">
        <v>114</v>
      </c>
    </row>
    <row r="180" spans="1:9" x14ac:dyDescent="0.25">
      <c r="A180">
        <v>179</v>
      </c>
      <c r="B180" s="1">
        <v>45329</v>
      </c>
      <c r="C180" t="s">
        <v>115</v>
      </c>
      <c r="D180">
        <v>98</v>
      </c>
      <c r="E180" t="s">
        <v>15</v>
      </c>
      <c r="F180" t="s">
        <v>13</v>
      </c>
      <c r="G180">
        <f>MONTH(cleaned_personal_finance_data3[[#This Row],[date]])</f>
        <v>2</v>
      </c>
      <c r="H180">
        <f>YEAR(cleaned_personal_finance_data3[[#This Row],[date]])</f>
        <v>2024</v>
      </c>
      <c r="I180" t="s">
        <v>115</v>
      </c>
    </row>
    <row r="181" spans="1:9" x14ac:dyDescent="0.25">
      <c r="A181">
        <v>180</v>
      </c>
      <c r="B181" s="1">
        <v>45329</v>
      </c>
      <c r="C181" t="s">
        <v>106</v>
      </c>
      <c r="D181">
        <v>85</v>
      </c>
      <c r="E181" t="s">
        <v>15</v>
      </c>
      <c r="F181" t="s">
        <v>13</v>
      </c>
      <c r="G181">
        <f>MONTH(cleaned_personal_finance_data3[[#This Row],[date]])</f>
        <v>2</v>
      </c>
      <c r="H181">
        <f>YEAR(cleaned_personal_finance_data3[[#This Row],[date]])</f>
        <v>2024</v>
      </c>
      <c r="I181" t="s">
        <v>106</v>
      </c>
    </row>
    <row r="182" spans="1:9" hidden="1" x14ac:dyDescent="0.25">
      <c r="A182">
        <v>181</v>
      </c>
      <c r="B182" s="1">
        <v>45329</v>
      </c>
      <c r="C182" t="s">
        <v>9</v>
      </c>
      <c r="D182">
        <v>1500</v>
      </c>
      <c r="E182" t="s">
        <v>10</v>
      </c>
      <c r="F182" t="s">
        <v>8</v>
      </c>
      <c r="G182">
        <f>MONTH(cleaned_personal_finance_data3[[#This Row],[date]])</f>
        <v>2</v>
      </c>
      <c r="H182">
        <f>YEAR(cleaned_personal_finance_data3[[#This Row],[date]])</f>
        <v>2024</v>
      </c>
      <c r="I182" t="s">
        <v>9</v>
      </c>
    </row>
    <row r="183" spans="1:9" hidden="1" x14ac:dyDescent="0.25">
      <c r="A183">
        <v>182</v>
      </c>
      <c r="B183" s="1">
        <v>45329</v>
      </c>
      <c r="C183" t="s">
        <v>9</v>
      </c>
      <c r="D183">
        <v>1500</v>
      </c>
      <c r="E183" t="s">
        <v>12</v>
      </c>
      <c r="F183" t="s">
        <v>13</v>
      </c>
      <c r="G183">
        <f>MONTH(cleaned_personal_finance_data3[[#This Row],[date]])</f>
        <v>2</v>
      </c>
      <c r="H183">
        <f>YEAR(cleaned_personal_finance_data3[[#This Row],[date]])</f>
        <v>2024</v>
      </c>
      <c r="I183" t="s">
        <v>9</v>
      </c>
    </row>
    <row r="184" spans="1:9" x14ac:dyDescent="0.25">
      <c r="A184">
        <v>183</v>
      </c>
      <c r="B184" s="1">
        <v>45329</v>
      </c>
      <c r="C184" t="s">
        <v>85</v>
      </c>
      <c r="D184">
        <v>300</v>
      </c>
      <c r="E184" t="s">
        <v>15</v>
      </c>
      <c r="F184" t="s">
        <v>13</v>
      </c>
      <c r="G184">
        <f>MONTH(cleaned_personal_finance_data3[[#This Row],[date]])</f>
        <v>2</v>
      </c>
      <c r="H184">
        <f>YEAR(cleaned_personal_finance_data3[[#This Row],[date]])</f>
        <v>2024</v>
      </c>
      <c r="I184" t="s">
        <v>85</v>
      </c>
    </row>
    <row r="185" spans="1:9" x14ac:dyDescent="0.25">
      <c r="A185">
        <v>184</v>
      </c>
      <c r="B185" s="1">
        <v>45329</v>
      </c>
      <c r="C185" t="s">
        <v>116</v>
      </c>
      <c r="D185">
        <v>300</v>
      </c>
      <c r="E185" t="s">
        <v>15</v>
      </c>
      <c r="F185" t="s">
        <v>13</v>
      </c>
      <c r="G185">
        <f>MONTH(cleaned_personal_finance_data3[[#This Row],[date]])</f>
        <v>2</v>
      </c>
      <c r="H185">
        <f>YEAR(cleaned_personal_finance_data3[[#This Row],[date]])</f>
        <v>2024</v>
      </c>
      <c r="I185" t="s">
        <v>116</v>
      </c>
    </row>
    <row r="186" spans="1:9" x14ac:dyDescent="0.25">
      <c r="A186">
        <v>185</v>
      </c>
      <c r="B186" s="1">
        <v>45329</v>
      </c>
      <c r="C186" t="s">
        <v>81</v>
      </c>
      <c r="D186">
        <v>348</v>
      </c>
      <c r="E186" t="s">
        <v>15</v>
      </c>
      <c r="F186" t="s">
        <v>13</v>
      </c>
      <c r="G186">
        <f>MONTH(cleaned_personal_finance_data3[[#This Row],[date]])</f>
        <v>2</v>
      </c>
      <c r="H186">
        <f>YEAR(cleaned_personal_finance_data3[[#This Row],[date]])</f>
        <v>2024</v>
      </c>
      <c r="I186" t="s">
        <v>81</v>
      </c>
    </row>
    <row r="187" spans="1:9" x14ac:dyDescent="0.25">
      <c r="A187">
        <v>186</v>
      </c>
      <c r="B187" s="1">
        <v>45329</v>
      </c>
      <c r="C187" t="s">
        <v>117</v>
      </c>
      <c r="D187">
        <v>200</v>
      </c>
      <c r="E187" t="s">
        <v>15</v>
      </c>
      <c r="F187" t="s">
        <v>13</v>
      </c>
      <c r="G187">
        <f>MONTH(cleaned_personal_finance_data3[[#This Row],[date]])</f>
        <v>2</v>
      </c>
      <c r="H187">
        <f>YEAR(cleaned_personal_finance_data3[[#This Row],[date]])</f>
        <v>2024</v>
      </c>
      <c r="I187" t="s">
        <v>117</v>
      </c>
    </row>
    <row r="188" spans="1:9" x14ac:dyDescent="0.25">
      <c r="A188">
        <v>187</v>
      </c>
      <c r="B188" s="1">
        <v>45329</v>
      </c>
      <c r="C188" t="s">
        <v>118</v>
      </c>
      <c r="D188">
        <v>10</v>
      </c>
      <c r="E188" t="s">
        <v>15</v>
      </c>
      <c r="F188" t="s">
        <v>13</v>
      </c>
      <c r="G188">
        <f>MONTH(cleaned_personal_finance_data3[[#This Row],[date]])</f>
        <v>2</v>
      </c>
      <c r="H188">
        <f>YEAR(cleaned_personal_finance_data3[[#This Row],[date]])</f>
        <v>2024</v>
      </c>
      <c r="I188" t="s">
        <v>43</v>
      </c>
    </row>
    <row r="189" spans="1:9" x14ac:dyDescent="0.25">
      <c r="A189">
        <v>188</v>
      </c>
      <c r="B189" s="1">
        <v>45329</v>
      </c>
      <c r="C189" t="s">
        <v>119</v>
      </c>
      <c r="D189">
        <v>130</v>
      </c>
      <c r="E189" t="s">
        <v>15</v>
      </c>
      <c r="F189" t="s">
        <v>13</v>
      </c>
      <c r="G189">
        <f>MONTH(cleaned_personal_finance_data3[[#This Row],[date]])</f>
        <v>2</v>
      </c>
      <c r="H189">
        <f>YEAR(cleaned_personal_finance_data3[[#This Row],[date]])</f>
        <v>2024</v>
      </c>
      <c r="I189" t="s">
        <v>43</v>
      </c>
    </row>
    <row r="190" spans="1:9" hidden="1" x14ac:dyDescent="0.25">
      <c r="A190">
        <v>189</v>
      </c>
      <c r="B190" s="1">
        <v>45329</v>
      </c>
      <c r="C190" t="s">
        <v>20</v>
      </c>
      <c r="D190">
        <v>3000</v>
      </c>
      <c r="E190" t="s">
        <v>12</v>
      </c>
      <c r="F190" t="s">
        <v>21</v>
      </c>
      <c r="G190">
        <f>MONTH(cleaned_personal_finance_data3[[#This Row],[date]])</f>
        <v>2</v>
      </c>
      <c r="H190">
        <f>YEAR(cleaned_personal_finance_data3[[#This Row],[date]])</f>
        <v>2024</v>
      </c>
      <c r="I190" t="s">
        <v>20</v>
      </c>
    </row>
    <row r="191" spans="1:9" hidden="1" x14ac:dyDescent="0.25">
      <c r="A191">
        <v>190</v>
      </c>
      <c r="B191" s="1">
        <v>45329</v>
      </c>
      <c r="C191" t="s">
        <v>20</v>
      </c>
      <c r="D191">
        <v>3000</v>
      </c>
      <c r="E191" t="s">
        <v>10</v>
      </c>
      <c r="F191" t="s">
        <v>13</v>
      </c>
      <c r="G191">
        <f>MONTH(cleaned_personal_finance_data3[[#This Row],[date]])</f>
        <v>2</v>
      </c>
      <c r="H191">
        <f>YEAR(cleaned_personal_finance_data3[[#This Row],[date]])</f>
        <v>2024</v>
      </c>
      <c r="I191" t="s">
        <v>20</v>
      </c>
    </row>
    <row r="192" spans="1:9" x14ac:dyDescent="0.25">
      <c r="A192">
        <v>191</v>
      </c>
      <c r="B192" s="1">
        <v>45329</v>
      </c>
      <c r="C192" t="s">
        <v>24</v>
      </c>
      <c r="D192">
        <v>239</v>
      </c>
      <c r="E192" t="s">
        <v>15</v>
      </c>
      <c r="F192" t="s">
        <v>21</v>
      </c>
      <c r="G192">
        <f>MONTH(cleaned_personal_finance_data3[[#This Row],[date]])</f>
        <v>2</v>
      </c>
      <c r="H192">
        <f>YEAR(cleaned_personal_finance_data3[[#This Row],[date]])</f>
        <v>2024</v>
      </c>
      <c r="I192" t="s">
        <v>24</v>
      </c>
    </row>
    <row r="193" spans="1:9" x14ac:dyDescent="0.25">
      <c r="A193">
        <v>192</v>
      </c>
      <c r="B193" s="1">
        <v>45331</v>
      </c>
      <c r="C193" t="s">
        <v>120</v>
      </c>
      <c r="D193">
        <v>2000</v>
      </c>
      <c r="E193" t="s">
        <v>15</v>
      </c>
      <c r="F193" t="s">
        <v>13</v>
      </c>
      <c r="G193">
        <f>MONTH(cleaned_personal_finance_data3[[#This Row],[date]])</f>
        <v>2</v>
      </c>
      <c r="H193">
        <f>YEAR(cleaned_personal_finance_data3[[#This Row],[date]])</f>
        <v>2024</v>
      </c>
      <c r="I193" t="s">
        <v>159</v>
      </c>
    </row>
    <row r="194" spans="1:9" x14ac:dyDescent="0.25">
      <c r="A194">
        <v>193</v>
      </c>
      <c r="B194" s="1">
        <v>45331</v>
      </c>
      <c r="C194" t="s">
        <v>121</v>
      </c>
      <c r="D194">
        <v>5000</v>
      </c>
      <c r="E194" t="s">
        <v>15</v>
      </c>
      <c r="F194" t="s">
        <v>13</v>
      </c>
      <c r="G194">
        <f>MONTH(cleaned_personal_finance_data3[[#This Row],[date]])</f>
        <v>2</v>
      </c>
      <c r="H194">
        <f>YEAR(cleaned_personal_finance_data3[[#This Row],[date]])</f>
        <v>2024</v>
      </c>
      <c r="I194" t="s">
        <v>145</v>
      </c>
    </row>
    <row r="195" spans="1:9" x14ac:dyDescent="0.25">
      <c r="A195">
        <v>194</v>
      </c>
      <c r="B195" s="1">
        <v>45331</v>
      </c>
      <c r="C195" t="s">
        <v>64</v>
      </c>
      <c r="D195">
        <v>199</v>
      </c>
      <c r="E195" t="s">
        <v>15</v>
      </c>
      <c r="F195" t="s">
        <v>21</v>
      </c>
      <c r="G195">
        <f>MONTH(cleaned_personal_finance_data3[[#This Row],[date]])</f>
        <v>2</v>
      </c>
      <c r="H195">
        <f>YEAR(cleaned_personal_finance_data3[[#This Row],[date]])</f>
        <v>2024</v>
      </c>
      <c r="I195" t="s">
        <v>64</v>
      </c>
    </row>
    <row r="196" spans="1:9" x14ac:dyDescent="0.25">
      <c r="A196">
        <v>195</v>
      </c>
      <c r="B196" s="1">
        <v>45331</v>
      </c>
      <c r="C196" t="s">
        <v>122</v>
      </c>
      <c r="D196">
        <v>280</v>
      </c>
      <c r="E196" t="s">
        <v>15</v>
      </c>
      <c r="F196" t="s">
        <v>21</v>
      </c>
      <c r="G196">
        <f>MONTH(cleaned_personal_finance_data3[[#This Row],[date]])</f>
        <v>2</v>
      </c>
      <c r="H196">
        <f>YEAR(cleaned_personal_finance_data3[[#This Row],[date]])</f>
        <v>2024</v>
      </c>
      <c r="I196" t="s">
        <v>324</v>
      </c>
    </row>
    <row r="197" spans="1:9" x14ac:dyDescent="0.25">
      <c r="A197">
        <v>196</v>
      </c>
      <c r="B197" s="1">
        <v>45331</v>
      </c>
      <c r="C197" t="s">
        <v>64</v>
      </c>
      <c r="D197">
        <v>199</v>
      </c>
      <c r="E197" t="s">
        <v>15</v>
      </c>
      <c r="F197" t="s">
        <v>21</v>
      </c>
      <c r="G197">
        <f>MONTH(cleaned_personal_finance_data3[[#This Row],[date]])</f>
        <v>2</v>
      </c>
      <c r="H197">
        <f>YEAR(cleaned_personal_finance_data3[[#This Row],[date]])</f>
        <v>2024</v>
      </c>
      <c r="I197" t="s">
        <v>64</v>
      </c>
    </row>
    <row r="198" spans="1:9" x14ac:dyDescent="0.25">
      <c r="A198">
        <v>197</v>
      </c>
      <c r="B198" s="1">
        <v>45332</v>
      </c>
      <c r="C198" t="s">
        <v>103</v>
      </c>
      <c r="D198">
        <v>260</v>
      </c>
      <c r="E198" t="s">
        <v>15</v>
      </c>
      <c r="F198" t="s">
        <v>13</v>
      </c>
      <c r="G198">
        <f>MONTH(cleaned_personal_finance_data3[[#This Row],[date]])</f>
        <v>2</v>
      </c>
      <c r="H198">
        <f>YEAR(cleaned_personal_finance_data3[[#This Row],[date]])</f>
        <v>2024</v>
      </c>
      <c r="I198" t="s">
        <v>329</v>
      </c>
    </row>
    <row r="199" spans="1:9" x14ac:dyDescent="0.25">
      <c r="A199">
        <v>198</v>
      </c>
      <c r="B199" s="1">
        <v>45334</v>
      </c>
      <c r="C199" t="s">
        <v>37</v>
      </c>
      <c r="D199">
        <v>48</v>
      </c>
      <c r="E199" t="s">
        <v>15</v>
      </c>
      <c r="F199" t="s">
        <v>13</v>
      </c>
      <c r="G199">
        <f>MONTH(cleaned_personal_finance_data3[[#This Row],[date]])</f>
        <v>2</v>
      </c>
      <c r="H199">
        <f>YEAR(cleaned_personal_finance_data3[[#This Row],[date]])</f>
        <v>2024</v>
      </c>
      <c r="I199" t="s">
        <v>47</v>
      </c>
    </row>
    <row r="200" spans="1:9" x14ac:dyDescent="0.25">
      <c r="A200">
        <v>199</v>
      </c>
      <c r="B200" s="1">
        <v>45337</v>
      </c>
      <c r="C200" t="s">
        <v>123</v>
      </c>
      <c r="D200">
        <v>25</v>
      </c>
      <c r="E200" t="s">
        <v>15</v>
      </c>
      <c r="F200" t="s">
        <v>13</v>
      </c>
      <c r="G200">
        <f>MONTH(cleaned_personal_finance_data3[[#This Row],[date]])</f>
        <v>2</v>
      </c>
      <c r="H200">
        <f>YEAR(cleaned_personal_finance_data3[[#This Row],[date]])</f>
        <v>2024</v>
      </c>
      <c r="I200" t="s">
        <v>43</v>
      </c>
    </row>
    <row r="201" spans="1:9" x14ac:dyDescent="0.25">
      <c r="A201">
        <v>200</v>
      </c>
      <c r="B201" s="1">
        <v>45337</v>
      </c>
      <c r="C201" t="s">
        <v>124</v>
      </c>
      <c r="D201">
        <v>180</v>
      </c>
      <c r="E201" t="s">
        <v>15</v>
      </c>
      <c r="F201" t="s">
        <v>13</v>
      </c>
      <c r="G201">
        <f>MONTH(cleaned_personal_finance_data3[[#This Row],[date]])</f>
        <v>2</v>
      </c>
      <c r="H201">
        <f>YEAR(cleaned_personal_finance_data3[[#This Row],[date]])</f>
        <v>2024</v>
      </c>
      <c r="I201" t="s">
        <v>124</v>
      </c>
    </row>
    <row r="202" spans="1:9" x14ac:dyDescent="0.25">
      <c r="A202">
        <v>201</v>
      </c>
      <c r="B202" s="1">
        <v>45337</v>
      </c>
      <c r="C202" t="s">
        <v>107</v>
      </c>
      <c r="D202">
        <v>68</v>
      </c>
      <c r="E202" t="s">
        <v>15</v>
      </c>
      <c r="F202" t="s">
        <v>13</v>
      </c>
      <c r="G202">
        <f>MONTH(cleaned_personal_finance_data3[[#This Row],[date]])</f>
        <v>2</v>
      </c>
      <c r="H202">
        <f>YEAR(cleaned_personal_finance_data3[[#This Row],[date]])</f>
        <v>2024</v>
      </c>
      <c r="I202" t="s">
        <v>107</v>
      </c>
    </row>
    <row r="203" spans="1:9" hidden="1" x14ac:dyDescent="0.25">
      <c r="A203">
        <v>202</v>
      </c>
      <c r="B203" s="1">
        <v>45337</v>
      </c>
      <c r="C203" t="s">
        <v>6</v>
      </c>
      <c r="D203">
        <v>12597</v>
      </c>
      <c r="E203" t="s">
        <v>7</v>
      </c>
      <c r="F203" t="s">
        <v>8</v>
      </c>
      <c r="G203">
        <f>MONTH(cleaned_personal_finance_data3[[#This Row],[date]])</f>
        <v>2</v>
      </c>
      <c r="H203">
        <f>YEAR(cleaned_personal_finance_data3[[#This Row],[date]])</f>
        <v>2024</v>
      </c>
      <c r="I203" t="s">
        <v>318</v>
      </c>
    </row>
    <row r="204" spans="1:9" x14ac:dyDescent="0.25">
      <c r="A204">
        <v>203</v>
      </c>
      <c r="B204" s="1">
        <v>45337</v>
      </c>
      <c r="C204" t="s">
        <v>18</v>
      </c>
      <c r="D204">
        <v>28</v>
      </c>
      <c r="E204" t="s">
        <v>15</v>
      </c>
      <c r="F204" t="s">
        <v>8</v>
      </c>
      <c r="G204">
        <f>MONTH(cleaned_personal_finance_data3[[#This Row],[date]])</f>
        <v>2</v>
      </c>
      <c r="H204">
        <f>YEAR(cleaned_personal_finance_data3[[#This Row],[date]])</f>
        <v>2024</v>
      </c>
      <c r="I204" t="s">
        <v>18</v>
      </c>
    </row>
    <row r="205" spans="1:9" x14ac:dyDescent="0.25">
      <c r="A205">
        <v>204</v>
      </c>
      <c r="B205" s="1">
        <v>45337</v>
      </c>
      <c r="C205" t="s">
        <v>125</v>
      </c>
      <c r="D205">
        <v>144</v>
      </c>
      <c r="E205" t="s">
        <v>15</v>
      </c>
      <c r="F205" t="s">
        <v>21</v>
      </c>
      <c r="G205">
        <f>MONTH(cleaned_personal_finance_data3[[#This Row],[date]])</f>
        <v>2</v>
      </c>
      <c r="H205">
        <f>YEAR(cleaned_personal_finance_data3[[#This Row],[date]])</f>
        <v>2024</v>
      </c>
      <c r="I205" t="s">
        <v>324</v>
      </c>
    </row>
    <row r="206" spans="1:9" x14ac:dyDescent="0.25">
      <c r="A206">
        <v>205</v>
      </c>
      <c r="B206" s="1">
        <v>45338</v>
      </c>
      <c r="C206" t="s">
        <v>107</v>
      </c>
      <c r="D206">
        <v>50</v>
      </c>
      <c r="E206" t="s">
        <v>15</v>
      </c>
      <c r="F206" t="s">
        <v>13</v>
      </c>
      <c r="G206">
        <f>MONTH(cleaned_personal_finance_data3[[#This Row],[date]])</f>
        <v>2</v>
      </c>
      <c r="H206">
        <f>YEAR(cleaned_personal_finance_data3[[#This Row],[date]])</f>
        <v>2024</v>
      </c>
      <c r="I206" t="s">
        <v>107</v>
      </c>
    </row>
    <row r="207" spans="1:9" x14ac:dyDescent="0.25">
      <c r="A207">
        <v>206</v>
      </c>
      <c r="B207" s="1">
        <v>45338</v>
      </c>
      <c r="C207" t="s">
        <v>64</v>
      </c>
      <c r="D207">
        <v>199</v>
      </c>
      <c r="E207" t="s">
        <v>15</v>
      </c>
      <c r="F207" t="s">
        <v>21</v>
      </c>
      <c r="G207">
        <f>MONTH(cleaned_personal_finance_data3[[#This Row],[date]])</f>
        <v>2</v>
      </c>
      <c r="H207">
        <f>YEAR(cleaned_personal_finance_data3[[#This Row],[date]])</f>
        <v>2024</v>
      </c>
      <c r="I207" t="s">
        <v>64</v>
      </c>
    </row>
    <row r="208" spans="1:9" x14ac:dyDescent="0.25">
      <c r="A208">
        <v>207</v>
      </c>
      <c r="B208" s="1">
        <v>45338</v>
      </c>
      <c r="C208" t="s">
        <v>126</v>
      </c>
      <c r="D208">
        <v>199</v>
      </c>
      <c r="E208" t="s">
        <v>15</v>
      </c>
      <c r="F208" t="s">
        <v>21</v>
      </c>
      <c r="G208">
        <f>MONTH(cleaned_personal_finance_data3[[#This Row],[date]])</f>
        <v>2</v>
      </c>
      <c r="H208">
        <f>YEAR(cleaned_personal_finance_data3[[#This Row],[date]])</f>
        <v>2024</v>
      </c>
      <c r="I208" t="s">
        <v>324</v>
      </c>
    </row>
    <row r="209" spans="1:9" x14ac:dyDescent="0.25">
      <c r="A209">
        <v>208</v>
      </c>
      <c r="B209" s="1">
        <v>45342</v>
      </c>
      <c r="C209" t="s">
        <v>127</v>
      </c>
      <c r="D209">
        <v>90</v>
      </c>
      <c r="E209" t="s">
        <v>15</v>
      </c>
      <c r="F209" t="s">
        <v>13</v>
      </c>
      <c r="G209">
        <f>MONTH(cleaned_personal_finance_data3[[#This Row],[date]])</f>
        <v>2</v>
      </c>
      <c r="H209">
        <f>YEAR(cleaned_personal_finance_data3[[#This Row],[date]])</f>
        <v>2024</v>
      </c>
      <c r="I209" t="s">
        <v>262</v>
      </c>
    </row>
    <row r="210" spans="1:9" x14ac:dyDescent="0.25">
      <c r="A210">
        <v>209</v>
      </c>
      <c r="B210" s="1">
        <v>45343</v>
      </c>
      <c r="C210" t="s">
        <v>35</v>
      </c>
      <c r="D210">
        <v>280</v>
      </c>
      <c r="E210" t="s">
        <v>15</v>
      </c>
      <c r="F210" t="s">
        <v>21</v>
      </c>
      <c r="G210">
        <f>MONTH(cleaned_personal_finance_data3[[#This Row],[date]])</f>
        <v>2</v>
      </c>
      <c r="H210">
        <f>YEAR(cleaned_personal_finance_data3[[#This Row],[date]])</f>
        <v>2024</v>
      </c>
      <c r="I210" t="s">
        <v>35</v>
      </c>
    </row>
    <row r="211" spans="1:9" x14ac:dyDescent="0.25">
      <c r="A211">
        <v>210</v>
      </c>
      <c r="B211" s="1">
        <v>45344</v>
      </c>
      <c r="C211" t="s">
        <v>28</v>
      </c>
      <c r="D211">
        <v>129</v>
      </c>
      <c r="E211" t="s">
        <v>15</v>
      </c>
      <c r="F211" t="s">
        <v>21</v>
      </c>
      <c r="G211">
        <f>MONTH(cleaned_personal_finance_data3[[#This Row],[date]])</f>
        <v>2</v>
      </c>
      <c r="H211">
        <f>YEAR(cleaned_personal_finance_data3[[#This Row],[date]])</f>
        <v>2024</v>
      </c>
      <c r="I211" t="s">
        <v>28</v>
      </c>
    </row>
    <row r="212" spans="1:9" x14ac:dyDescent="0.25">
      <c r="A212">
        <v>211</v>
      </c>
      <c r="B212" s="1">
        <v>45346</v>
      </c>
      <c r="C212" t="s">
        <v>37</v>
      </c>
      <c r="D212">
        <v>48</v>
      </c>
      <c r="E212" t="s">
        <v>15</v>
      </c>
      <c r="F212" t="s">
        <v>13</v>
      </c>
      <c r="G212">
        <f>MONTH(cleaned_personal_finance_data3[[#This Row],[date]])</f>
        <v>2</v>
      </c>
      <c r="H212">
        <f>YEAR(cleaned_personal_finance_data3[[#This Row],[date]])</f>
        <v>2024</v>
      </c>
      <c r="I212" t="s">
        <v>47</v>
      </c>
    </row>
    <row r="213" spans="1:9" x14ac:dyDescent="0.25">
      <c r="A213">
        <v>212</v>
      </c>
      <c r="B213" s="1">
        <v>45349</v>
      </c>
      <c r="C213" t="s">
        <v>51</v>
      </c>
      <c r="D213">
        <v>30</v>
      </c>
      <c r="E213" t="s">
        <v>15</v>
      </c>
      <c r="F213" t="s">
        <v>13</v>
      </c>
      <c r="G213">
        <f>MONTH(cleaned_personal_finance_data3[[#This Row],[date]])</f>
        <v>2</v>
      </c>
      <c r="H213">
        <f>YEAR(cleaned_personal_finance_data3[[#This Row],[date]])</f>
        <v>2024</v>
      </c>
      <c r="I213" t="s">
        <v>43</v>
      </c>
    </row>
    <row r="214" spans="1:9" x14ac:dyDescent="0.25">
      <c r="A214">
        <v>213</v>
      </c>
      <c r="B214" s="1">
        <v>45349</v>
      </c>
      <c r="C214" t="s">
        <v>54</v>
      </c>
      <c r="D214">
        <v>45</v>
      </c>
      <c r="E214" t="s">
        <v>15</v>
      </c>
      <c r="F214" t="s">
        <v>13</v>
      </c>
      <c r="G214">
        <f>MONTH(cleaned_personal_finance_data3[[#This Row],[date]])</f>
        <v>2</v>
      </c>
      <c r="H214">
        <f>YEAR(cleaned_personal_finance_data3[[#This Row],[date]])</f>
        <v>2024</v>
      </c>
      <c r="I214" t="s">
        <v>54</v>
      </c>
    </row>
    <row r="215" spans="1:9" x14ac:dyDescent="0.25">
      <c r="A215">
        <v>214</v>
      </c>
      <c r="B215" s="1">
        <v>45349</v>
      </c>
      <c r="C215" t="s">
        <v>80</v>
      </c>
      <c r="D215">
        <v>130</v>
      </c>
      <c r="E215" t="s">
        <v>15</v>
      </c>
      <c r="F215" t="s">
        <v>13</v>
      </c>
      <c r="G215">
        <f>MONTH(cleaned_personal_finance_data3[[#This Row],[date]])</f>
        <v>2</v>
      </c>
      <c r="H215">
        <f>YEAR(cleaned_personal_finance_data3[[#This Row],[date]])</f>
        <v>2024</v>
      </c>
      <c r="I215" t="s">
        <v>43</v>
      </c>
    </row>
    <row r="216" spans="1:9" x14ac:dyDescent="0.25">
      <c r="A216">
        <v>215</v>
      </c>
      <c r="B216" s="1">
        <v>45349</v>
      </c>
      <c r="C216" t="s">
        <v>128</v>
      </c>
      <c r="D216">
        <v>13</v>
      </c>
      <c r="E216" t="s">
        <v>15</v>
      </c>
      <c r="F216" t="s">
        <v>13</v>
      </c>
      <c r="G216">
        <f>MONTH(cleaned_personal_finance_data3[[#This Row],[date]])</f>
        <v>2</v>
      </c>
      <c r="H216">
        <f>YEAR(cleaned_personal_finance_data3[[#This Row],[date]])</f>
        <v>2024</v>
      </c>
      <c r="I216" t="s">
        <v>43</v>
      </c>
    </row>
    <row r="217" spans="1:9" x14ac:dyDescent="0.25">
      <c r="A217">
        <v>216</v>
      </c>
      <c r="B217" s="1">
        <v>45349</v>
      </c>
      <c r="C217" t="s">
        <v>129</v>
      </c>
      <c r="D217">
        <v>13</v>
      </c>
      <c r="E217" t="s">
        <v>15</v>
      </c>
      <c r="F217" t="s">
        <v>13</v>
      </c>
      <c r="G217">
        <f>MONTH(cleaned_personal_finance_data3[[#This Row],[date]])</f>
        <v>2</v>
      </c>
      <c r="H217">
        <f>YEAR(cleaned_personal_finance_data3[[#This Row],[date]])</f>
        <v>2024</v>
      </c>
      <c r="I217" t="s">
        <v>43</v>
      </c>
    </row>
    <row r="218" spans="1:9" x14ac:dyDescent="0.25">
      <c r="A218">
        <v>217</v>
      </c>
      <c r="B218" s="1">
        <v>45349</v>
      </c>
      <c r="C218" t="s">
        <v>106</v>
      </c>
      <c r="D218">
        <v>157</v>
      </c>
      <c r="E218" t="s">
        <v>15</v>
      </c>
      <c r="F218" t="s">
        <v>13</v>
      </c>
      <c r="G218">
        <f>MONTH(cleaned_personal_finance_data3[[#This Row],[date]])</f>
        <v>2</v>
      </c>
      <c r="H218">
        <f>YEAR(cleaned_personal_finance_data3[[#This Row],[date]])</f>
        <v>2024</v>
      </c>
      <c r="I218" t="s">
        <v>106</v>
      </c>
    </row>
    <row r="219" spans="1:9" x14ac:dyDescent="0.25">
      <c r="A219">
        <v>218</v>
      </c>
      <c r="B219" s="1">
        <v>45349</v>
      </c>
      <c r="C219" t="s">
        <v>130</v>
      </c>
      <c r="D219">
        <v>899</v>
      </c>
      <c r="E219" t="s">
        <v>15</v>
      </c>
      <c r="F219" t="s">
        <v>13</v>
      </c>
      <c r="G219">
        <f>MONTH(cleaned_personal_finance_data3[[#This Row],[date]])</f>
        <v>2</v>
      </c>
      <c r="H219">
        <f>YEAR(cleaned_personal_finance_data3[[#This Row],[date]])</f>
        <v>2024</v>
      </c>
      <c r="I219" t="s">
        <v>130</v>
      </c>
    </row>
    <row r="220" spans="1:9" x14ac:dyDescent="0.25">
      <c r="A220">
        <v>219</v>
      </c>
      <c r="B220" s="1">
        <v>45349</v>
      </c>
      <c r="C220" t="s">
        <v>61</v>
      </c>
      <c r="D220">
        <v>130</v>
      </c>
      <c r="E220" t="s">
        <v>15</v>
      </c>
      <c r="F220" t="s">
        <v>13</v>
      </c>
      <c r="G220">
        <f>MONTH(cleaned_personal_finance_data3[[#This Row],[date]])</f>
        <v>2</v>
      </c>
      <c r="H220">
        <f>YEAR(cleaned_personal_finance_data3[[#This Row],[date]])</f>
        <v>2024</v>
      </c>
      <c r="I220" t="s">
        <v>43</v>
      </c>
    </row>
    <row r="221" spans="1:9" x14ac:dyDescent="0.25">
      <c r="A221">
        <v>220</v>
      </c>
      <c r="B221" s="1">
        <v>45349</v>
      </c>
      <c r="C221" t="s">
        <v>76</v>
      </c>
      <c r="D221">
        <v>100</v>
      </c>
      <c r="E221" t="s">
        <v>15</v>
      </c>
      <c r="F221" t="s">
        <v>13</v>
      </c>
      <c r="G221">
        <f>MONTH(cleaned_personal_finance_data3[[#This Row],[date]])</f>
        <v>2</v>
      </c>
      <c r="H221">
        <f>YEAR(cleaned_personal_finance_data3[[#This Row],[date]])</f>
        <v>2024</v>
      </c>
      <c r="I221" t="s">
        <v>43</v>
      </c>
    </row>
    <row r="222" spans="1:9" hidden="1" x14ac:dyDescent="0.25">
      <c r="A222">
        <v>221</v>
      </c>
      <c r="B222" s="1">
        <v>45351</v>
      </c>
      <c r="C222" t="s">
        <v>131</v>
      </c>
      <c r="D222">
        <v>12598</v>
      </c>
      <c r="E222" t="s">
        <v>7</v>
      </c>
      <c r="F222" t="s">
        <v>8</v>
      </c>
      <c r="G222">
        <f>MONTH(cleaned_personal_finance_data3[[#This Row],[date]])</f>
        <v>2</v>
      </c>
      <c r="H222">
        <f>YEAR(cleaned_personal_finance_data3[[#This Row],[date]])</f>
        <v>2024</v>
      </c>
      <c r="I222" t="s">
        <v>318</v>
      </c>
    </row>
    <row r="223" spans="1:9" x14ac:dyDescent="0.25">
      <c r="A223">
        <v>222</v>
      </c>
      <c r="B223" s="1">
        <v>45353</v>
      </c>
      <c r="C223" t="s">
        <v>132</v>
      </c>
      <c r="D223">
        <v>20</v>
      </c>
      <c r="E223" t="s">
        <v>15</v>
      </c>
      <c r="F223" t="s">
        <v>13</v>
      </c>
      <c r="G223">
        <f>MONTH(cleaned_personal_finance_data3[[#This Row],[date]])</f>
        <v>3</v>
      </c>
      <c r="H223">
        <f>YEAR(cleaned_personal_finance_data3[[#This Row],[date]])</f>
        <v>2024</v>
      </c>
      <c r="I223" t="s">
        <v>262</v>
      </c>
    </row>
    <row r="224" spans="1:9" x14ac:dyDescent="0.25">
      <c r="A224">
        <v>223</v>
      </c>
      <c r="B224" s="1">
        <v>45353</v>
      </c>
      <c r="C224" t="s">
        <v>28</v>
      </c>
      <c r="D224">
        <v>125</v>
      </c>
      <c r="E224" t="s">
        <v>15</v>
      </c>
      <c r="F224" t="s">
        <v>21</v>
      </c>
      <c r="G224">
        <f>MONTH(cleaned_personal_finance_data3[[#This Row],[date]])</f>
        <v>3</v>
      </c>
      <c r="H224">
        <f>YEAR(cleaned_personal_finance_data3[[#This Row],[date]])</f>
        <v>2024</v>
      </c>
      <c r="I224" t="s">
        <v>28</v>
      </c>
    </row>
    <row r="225" spans="1:9" x14ac:dyDescent="0.25">
      <c r="A225">
        <v>224</v>
      </c>
      <c r="B225" s="1">
        <v>45354</v>
      </c>
      <c r="C225" t="s">
        <v>103</v>
      </c>
      <c r="D225">
        <v>260</v>
      </c>
      <c r="E225" t="s">
        <v>15</v>
      </c>
      <c r="F225" t="s">
        <v>13</v>
      </c>
      <c r="G225">
        <f>MONTH(cleaned_personal_finance_data3[[#This Row],[date]])</f>
        <v>3</v>
      </c>
      <c r="H225">
        <f>YEAR(cleaned_personal_finance_data3[[#This Row],[date]])</f>
        <v>2024</v>
      </c>
      <c r="I225" t="s">
        <v>329</v>
      </c>
    </row>
    <row r="226" spans="1:9" x14ac:dyDescent="0.25">
      <c r="A226">
        <v>225</v>
      </c>
      <c r="B226" s="1">
        <v>45354</v>
      </c>
      <c r="C226" t="s">
        <v>133</v>
      </c>
      <c r="D226">
        <v>2560</v>
      </c>
      <c r="E226" t="s">
        <v>15</v>
      </c>
      <c r="F226" t="s">
        <v>13</v>
      </c>
      <c r="G226">
        <f>MONTH(cleaned_personal_finance_data3[[#This Row],[date]])</f>
        <v>3</v>
      </c>
      <c r="H226">
        <f>YEAR(cleaned_personal_finance_data3[[#This Row],[date]])</f>
        <v>2024</v>
      </c>
      <c r="I226" t="s">
        <v>159</v>
      </c>
    </row>
    <row r="227" spans="1:9" x14ac:dyDescent="0.25">
      <c r="A227">
        <v>226</v>
      </c>
      <c r="B227" s="1">
        <v>45354</v>
      </c>
      <c r="C227" t="s">
        <v>134</v>
      </c>
      <c r="D227">
        <v>5000</v>
      </c>
      <c r="E227" t="s">
        <v>15</v>
      </c>
      <c r="F227" t="s">
        <v>13</v>
      </c>
      <c r="G227">
        <f>MONTH(cleaned_personal_finance_data3[[#This Row],[date]])</f>
        <v>3</v>
      </c>
      <c r="H227">
        <f>YEAR(cleaned_personal_finance_data3[[#This Row],[date]])</f>
        <v>2024</v>
      </c>
      <c r="I227" t="s">
        <v>145</v>
      </c>
    </row>
    <row r="228" spans="1:9" x14ac:dyDescent="0.25">
      <c r="A228">
        <v>227</v>
      </c>
      <c r="B228" s="1">
        <v>45354</v>
      </c>
      <c r="C228" t="s">
        <v>38</v>
      </c>
      <c r="D228">
        <v>1500</v>
      </c>
      <c r="E228" t="s">
        <v>15</v>
      </c>
      <c r="F228" t="s">
        <v>13</v>
      </c>
      <c r="G228">
        <f>MONTH(cleaned_personal_finance_data3[[#This Row],[date]])</f>
        <v>3</v>
      </c>
      <c r="H228">
        <f>YEAR(cleaned_personal_finance_data3[[#This Row],[date]])</f>
        <v>2024</v>
      </c>
      <c r="I228" t="s">
        <v>38</v>
      </c>
    </row>
    <row r="229" spans="1:9" x14ac:dyDescent="0.25">
      <c r="A229">
        <v>228</v>
      </c>
      <c r="B229" s="1">
        <v>45354</v>
      </c>
      <c r="C229" t="s">
        <v>135</v>
      </c>
      <c r="D229">
        <v>30</v>
      </c>
      <c r="E229" t="s">
        <v>15</v>
      </c>
      <c r="F229" t="s">
        <v>13</v>
      </c>
      <c r="G229">
        <f>MONTH(cleaned_personal_finance_data3[[#This Row],[date]])</f>
        <v>3</v>
      </c>
      <c r="H229">
        <f>YEAR(cleaned_personal_finance_data3[[#This Row],[date]])</f>
        <v>2024</v>
      </c>
      <c r="I229" t="s">
        <v>135</v>
      </c>
    </row>
    <row r="230" spans="1:9" x14ac:dyDescent="0.25">
      <c r="A230">
        <v>229</v>
      </c>
      <c r="B230" s="1">
        <v>45356</v>
      </c>
      <c r="C230" t="s">
        <v>37</v>
      </c>
      <c r="D230">
        <v>48</v>
      </c>
      <c r="E230" t="s">
        <v>15</v>
      </c>
      <c r="F230" t="s">
        <v>13</v>
      </c>
      <c r="G230">
        <f>MONTH(cleaned_personal_finance_data3[[#This Row],[date]])</f>
        <v>3</v>
      </c>
      <c r="H230">
        <f>YEAR(cleaned_personal_finance_data3[[#This Row],[date]])</f>
        <v>2024</v>
      </c>
      <c r="I230" t="s">
        <v>47</v>
      </c>
    </row>
    <row r="231" spans="1:9" x14ac:dyDescent="0.25">
      <c r="A231">
        <v>230</v>
      </c>
      <c r="B231" s="1">
        <v>45356</v>
      </c>
      <c r="C231" t="s">
        <v>28</v>
      </c>
      <c r="D231">
        <v>50</v>
      </c>
      <c r="E231" t="s">
        <v>15</v>
      </c>
      <c r="F231" t="s">
        <v>21</v>
      </c>
      <c r="G231">
        <f>MONTH(cleaned_personal_finance_data3[[#This Row],[date]])</f>
        <v>3</v>
      </c>
      <c r="H231">
        <f>YEAR(cleaned_personal_finance_data3[[#This Row],[date]])</f>
        <v>2024</v>
      </c>
      <c r="I231" t="s">
        <v>28</v>
      </c>
    </row>
    <row r="232" spans="1:9" x14ac:dyDescent="0.25">
      <c r="A232">
        <v>231</v>
      </c>
      <c r="B232" s="1">
        <v>45356</v>
      </c>
      <c r="C232" t="s">
        <v>28</v>
      </c>
      <c r="D232">
        <v>125</v>
      </c>
      <c r="E232" t="s">
        <v>15</v>
      </c>
      <c r="F232" t="s">
        <v>21</v>
      </c>
      <c r="G232">
        <f>MONTH(cleaned_personal_finance_data3[[#This Row],[date]])</f>
        <v>3</v>
      </c>
      <c r="H232">
        <f>YEAR(cleaned_personal_finance_data3[[#This Row],[date]])</f>
        <v>2024</v>
      </c>
      <c r="I232" t="s">
        <v>28</v>
      </c>
    </row>
    <row r="233" spans="1:9" x14ac:dyDescent="0.25">
      <c r="A233">
        <v>232</v>
      </c>
      <c r="B233" s="1">
        <v>45357</v>
      </c>
      <c r="C233" t="s">
        <v>24</v>
      </c>
      <c r="D233">
        <v>239</v>
      </c>
      <c r="E233" t="s">
        <v>15</v>
      </c>
      <c r="F233" t="s">
        <v>21</v>
      </c>
      <c r="G233">
        <f>MONTH(cleaned_personal_finance_data3[[#This Row],[date]])</f>
        <v>3</v>
      </c>
      <c r="H233">
        <f>YEAR(cleaned_personal_finance_data3[[#This Row],[date]])</f>
        <v>2024</v>
      </c>
      <c r="I233" t="s">
        <v>24</v>
      </c>
    </row>
    <row r="234" spans="1:9" hidden="1" x14ac:dyDescent="0.25">
      <c r="A234">
        <v>233</v>
      </c>
      <c r="B234" s="1">
        <v>45361</v>
      </c>
      <c r="C234" t="s">
        <v>136</v>
      </c>
      <c r="D234">
        <v>19900</v>
      </c>
      <c r="E234" t="s">
        <v>10</v>
      </c>
      <c r="F234" t="s">
        <v>8</v>
      </c>
      <c r="G234">
        <f>MONTH(cleaned_personal_finance_data3[[#This Row],[date]])</f>
        <v>3</v>
      </c>
      <c r="H234">
        <f>YEAR(cleaned_personal_finance_data3[[#This Row],[date]])</f>
        <v>2024</v>
      </c>
      <c r="I234" t="s">
        <v>136</v>
      </c>
    </row>
    <row r="235" spans="1:9" x14ac:dyDescent="0.25">
      <c r="A235">
        <v>234</v>
      </c>
      <c r="B235" s="1">
        <v>45361</v>
      </c>
      <c r="C235" t="s">
        <v>137</v>
      </c>
      <c r="D235">
        <v>36</v>
      </c>
      <c r="E235" t="s">
        <v>15</v>
      </c>
      <c r="F235" t="s">
        <v>8</v>
      </c>
      <c r="G235">
        <f>MONTH(cleaned_personal_finance_data3[[#This Row],[date]])</f>
        <v>3</v>
      </c>
      <c r="H235">
        <f>YEAR(cleaned_personal_finance_data3[[#This Row],[date]])</f>
        <v>2024</v>
      </c>
      <c r="I235" t="s">
        <v>137</v>
      </c>
    </row>
    <row r="236" spans="1:9" x14ac:dyDescent="0.25">
      <c r="A236">
        <v>235</v>
      </c>
      <c r="B236" s="1">
        <v>45361</v>
      </c>
      <c r="C236" t="s">
        <v>138</v>
      </c>
      <c r="D236">
        <v>7000</v>
      </c>
      <c r="E236" t="s">
        <v>15</v>
      </c>
      <c r="F236" t="s">
        <v>13</v>
      </c>
      <c r="G236">
        <f>MONTH(cleaned_personal_finance_data3[[#This Row],[date]])</f>
        <v>3</v>
      </c>
      <c r="H236">
        <f>YEAR(cleaned_personal_finance_data3[[#This Row],[date]])</f>
        <v>2024</v>
      </c>
      <c r="I236" t="s">
        <v>138</v>
      </c>
    </row>
    <row r="237" spans="1:9" hidden="1" x14ac:dyDescent="0.25">
      <c r="A237">
        <v>236</v>
      </c>
      <c r="B237" s="1">
        <v>45365</v>
      </c>
      <c r="C237" t="s">
        <v>131</v>
      </c>
      <c r="D237">
        <v>12579</v>
      </c>
      <c r="E237" t="s">
        <v>7</v>
      </c>
      <c r="F237" t="s">
        <v>8</v>
      </c>
      <c r="G237">
        <f>MONTH(cleaned_personal_finance_data3[[#This Row],[date]])</f>
        <v>3</v>
      </c>
      <c r="H237">
        <f>YEAR(cleaned_personal_finance_data3[[#This Row],[date]])</f>
        <v>2024</v>
      </c>
      <c r="I237" t="s">
        <v>318</v>
      </c>
    </row>
    <row r="238" spans="1:9" x14ac:dyDescent="0.25">
      <c r="A238">
        <v>237</v>
      </c>
      <c r="B238" s="1">
        <v>45365</v>
      </c>
      <c r="C238" t="s">
        <v>50</v>
      </c>
      <c r="D238">
        <v>599</v>
      </c>
      <c r="E238" t="s">
        <v>15</v>
      </c>
      <c r="F238" t="s">
        <v>21</v>
      </c>
      <c r="G238">
        <f>MONTH(cleaned_personal_finance_data3[[#This Row],[date]])</f>
        <v>3</v>
      </c>
      <c r="H238">
        <f>YEAR(cleaned_personal_finance_data3[[#This Row],[date]])</f>
        <v>2024</v>
      </c>
      <c r="I238" t="s">
        <v>50</v>
      </c>
    </row>
    <row r="239" spans="1:9" x14ac:dyDescent="0.25">
      <c r="A239">
        <v>238</v>
      </c>
      <c r="B239" s="1">
        <v>45369</v>
      </c>
      <c r="C239" t="s">
        <v>25</v>
      </c>
      <c r="D239">
        <v>30</v>
      </c>
      <c r="E239" t="s">
        <v>15</v>
      </c>
      <c r="F239" t="s">
        <v>13</v>
      </c>
      <c r="G239">
        <f>MONTH(cleaned_personal_finance_data3[[#This Row],[date]])</f>
        <v>3</v>
      </c>
      <c r="H239">
        <f>YEAR(cleaned_personal_finance_data3[[#This Row],[date]])</f>
        <v>2024</v>
      </c>
      <c r="I239" t="s">
        <v>25</v>
      </c>
    </row>
    <row r="240" spans="1:9" x14ac:dyDescent="0.25">
      <c r="A240">
        <v>239</v>
      </c>
      <c r="B240" s="1">
        <v>45373</v>
      </c>
      <c r="C240" t="s">
        <v>34</v>
      </c>
      <c r="D240">
        <v>129</v>
      </c>
      <c r="E240" t="s">
        <v>15</v>
      </c>
      <c r="F240" t="s">
        <v>21</v>
      </c>
      <c r="G240">
        <f>MONTH(cleaned_personal_finance_data3[[#This Row],[date]])</f>
        <v>3</v>
      </c>
      <c r="H240">
        <f>YEAR(cleaned_personal_finance_data3[[#This Row],[date]])</f>
        <v>2024</v>
      </c>
      <c r="I240" t="s">
        <v>34</v>
      </c>
    </row>
    <row r="241" spans="1:9" hidden="1" x14ac:dyDescent="0.25">
      <c r="A241">
        <v>240</v>
      </c>
      <c r="B241" s="1">
        <v>45374</v>
      </c>
      <c r="C241" t="s">
        <v>20</v>
      </c>
      <c r="D241">
        <v>3000</v>
      </c>
      <c r="E241" t="s">
        <v>10</v>
      </c>
      <c r="F241" t="s">
        <v>13</v>
      </c>
      <c r="G241">
        <f>MONTH(cleaned_personal_finance_data3[[#This Row],[date]])</f>
        <v>3</v>
      </c>
      <c r="H241">
        <f>YEAR(cleaned_personal_finance_data3[[#This Row],[date]])</f>
        <v>2024</v>
      </c>
      <c r="I241" t="s">
        <v>20</v>
      </c>
    </row>
    <row r="242" spans="1:9" hidden="1" x14ac:dyDescent="0.25">
      <c r="A242">
        <v>241</v>
      </c>
      <c r="B242" s="1">
        <v>45374</v>
      </c>
      <c r="C242" t="s">
        <v>20</v>
      </c>
      <c r="D242">
        <v>3000</v>
      </c>
      <c r="E242" t="s">
        <v>12</v>
      </c>
      <c r="F242" t="s">
        <v>21</v>
      </c>
      <c r="G242">
        <f>MONTH(cleaned_personal_finance_data3[[#This Row],[date]])</f>
        <v>3</v>
      </c>
      <c r="H242">
        <f>YEAR(cleaned_personal_finance_data3[[#This Row],[date]])</f>
        <v>2024</v>
      </c>
      <c r="I242" t="s">
        <v>20</v>
      </c>
    </row>
    <row r="243" spans="1:9" x14ac:dyDescent="0.25">
      <c r="A243">
        <v>242</v>
      </c>
      <c r="B243" s="1">
        <v>45374</v>
      </c>
      <c r="C243" t="s">
        <v>35</v>
      </c>
      <c r="D243">
        <v>280</v>
      </c>
      <c r="E243" t="s">
        <v>15</v>
      </c>
      <c r="F243" t="s">
        <v>21</v>
      </c>
      <c r="G243">
        <f>MONTH(cleaned_personal_finance_data3[[#This Row],[date]])</f>
        <v>3</v>
      </c>
      <c r="H243">
        <f>YEAR(cleaned_personal_finance_data3[[#This Row],[date]])</f>
        <v>2024</v>
      </c>
      <c r="I243" t="s">
        <v>35</v>
      </c>
    </row>
    <row r="244" spans="1:9" x14ac:dyDescent="0.25">
      <c r="A244">
        <v>243</v>
      </c>
      <c r="B244" s="1">
        <v>45378</v>
      </c>
      <c r="C244" t="s">
        <v>139</v>
      </c>
      <c r="D244">
        <v>25</v>
      </c>
      <c r="E244" t="s">
        <v>15</v>
      </c>
      <c r="F244" t="s">
        <v>13</v>
      </c>
      <c r="G244">
        <f>MONTH(cleaned_personal_finance_data3[[#This Row],[date]])</f>
        <v>3</v>
      </c>
      <c r="H244">
        <f>YEAR(cleaned_personal_finance_data3[[#This Row],[date]])</f>
        <v>2024</v>
      </c>
      <c r="I244" t="s">
        <v>139</v>
      </c>
    </row>
    <row r="245" spans="1:9" x14ac:dyDescent="0.25">
      <c r="A245">
        <v>244</v>
      </c>
      <c r="B245" s="1">
        <v>45378</v>
      </c>
      <c r="C245" t="s">
        <v>127</v>
      </c>
      <c r="D245">
        <v>90</v>
      </c>
      <c r="E245" t="s">
        <v>15</v>
      </c>
      <c r="F245" t="s">
        <v>13</v>
      </c>
      <c r="G245">
        <f>MONTH(cleaned_personal_finance_data3[[#This Row],[date]])</f>
        <v>3</v>
      </c>
      <c r="H245">
        <f>YEAR(cleaned_personal_finance_data3[[#This Row],[date]])</f>
        <v>2024</v>
      </c>
      <c r="I245" t="s">
        <v>262</v>
      </c>
    </row>
    <row r="246" spans="1:9" x14ac:dyDescent="0.25">
      <c r="A246">
        <v>245</v>
      </c>
      <c r="B246" s="1">
        <v>45378</v>
      </c>
      <c r="C246" t="s">
        <v>18</v>
      </c>
      <c r="D246">
        <v>56</v>
      </c>
      <c r="E246" t="s">
        <v>15</v>
      </c>
      <c r="F246" t="s">
        <v>13</v>
      </c>
      <c r="G246">
        <f>MONTH(cleaned_personal_finance_data3[[#This Row],[date]])</f>
        <v>3</v>
      </c>
      <c r="H246">
        <f>YEAR(cleaned_personal_finance_data3[[#This Row],[date]])</f>
        <v>2024</v>
      </c>
      <c r="I246" t="s">
        <v>18</v>
      </c>
    </row>
    <row r="247" spans="1:9" hidden="1" x14ac:dyDescent="0.25">
      <c r="A247">
        <v>246</v>
      </c>
      <c r="B247" s="1">
        <v>45378</v>
      </c>
      <c r="C247" t="s">
        <v>131</v>
      </c>
      <c r="D247">
        <v>12616</v>
      </c>
      <c r="E247" t="s">
        <v>7</v>
      </c>
      <c r="F247" t="s">
        <v>8</v>
      </c>
      <c r="G247">
        <f>MONTH(cleaned_personal_finance_data3[[#This Row],[date]])</f>
        <v>3</v>
      </c>
      <c r="H247">
        <f>YEAR(cleaned_personal_finance_data3[[#This Row],[date]])</f>
        <v>2024</v>
      </c>
      <c r="I247" t="s">
        <v>318</v>
      </c>
    </row>
    <row r="248" spans="1:9" x14ac:dyDescent="0.25">
      <c r="A248">
        <v>247</v>
      </c>
      <c r="B248" s="1">
        <v>45378</v>
      </c>
      <c r="C248" t="s">
        <v>64</v>
      </c>
      <c r="D248">
        <v>199</v>
      </c>
      <c r="E248" t="s">
        <v>15</v>
      </c>
      <c r="F248" t="s">
        <v>21</v>
      </c>
      <c r="G248">
        <f>MONTH(cleaned_personal_finance_data3[[#This Row],[date]])</f>
        <v>3</v>
      </c>
      <c r="H248">
        <f>YEAR(cleaned_personal_finance_data3[[#This Row],[date]])</f>
        <v>2024</v>
      </c>
      <c r="I248" t="s">
        <v>64</v>
      </c>
    </row>
    <row r="249" spans="1:9" x14ac:dyDescent="0.25">
      <c r="A249">
        <v>248</v>
      </c>
      <c r="B249" s="1">
        <v>45381</v>
      </c>
      <c r="C249" t="s">
        <v>140</v>
      </c>
      <c r="D249">
        <v>200</v>
      </c>
      <c r="E249" t="s">
        <v>15</v>
      </c>
      <c r="F249" t="s">
        <v>13</v>
      </c>
      <c r="G249">
        <f>MONTH(cleaned_personal_finance_data3[[#This Row],[date]])</f>
        <v>3</v>
      </c>
      <c r="H249">
        <f>YEAR(cleaned_personal_finance_data3[[#This Row],[date]])</f>
        <v>2024</v>
      </c>
      <c r="I249" t="s">
        <v>140</v>
      </c>
    </row>
    <row r="250" spans="1:9" x14ac:dyDescent="0.25">
      <c r="A250">
        <v>249</v>
      </c>
      <c r="B250" s="1">
        <v>45381</v>
      </c>
      <c r="C250" t="s">
        <v>141</v>
      </c>
      <c r="D250">
        <v>50</v>
      </c>
      <c r="E250" t="s">
        <v>15</v>
      </c>
      <c r="F250" t="s">
        <v>13</v>
      </c>
      <c r="G250">
        <f>MONTH(cleaned_personal_finance_data3[[#This Row],[date]])</f>
        <v>3</v>
      </c>
      <c r="H250">
        <f>YEAR(cleaned_personal_finance_data3[[#This Row],[date]])</f>
        <v>2024</v>
      </c>
      <c r="I250" t="s">
        <v>141</v>
      </c>
    </row>
    <row r="251" spans="1:9" x14ac:dyDescent="0.25">
      <c r="A251">
        <v>250</v>
      </c>
      <c r="B251" s="1">
        <v>45382</v>
      </c>
      <c r="C251" t="s">
        <v>142</v>
      </c>
      <c r="D251">
        <v>8</v>
      </c>
      <c r="E251" t="s">
        <v>15</v>
      </c>
      <c r="F251" t="s">
        <v>13</v>
      </c>
      <c r="G251">
        <f>MONTH(cleaned_personal_finance_data3[[#This Row],[date]])</f>
        <v>3</v>
      </c>
      <c r="H251">
        <f>YEAR(cleaned_personal_finance_data3[[#This Row],[date]])</f>
        <v>2024</v>
      </c>
      <c r="I251" t="s">
        <v>237</v>
      </c>
    </row>
    <row r="252" spans="1:9" x14ac:dyDescent="0.25">
      <c r="A252">
        <v>251</v>
      </c>
      <c r="B252" s="1">
        <v>45382</v>
      </c>
      <c r="C252" t="s">
        <v>36</v>
      </c>
      <c r="D252">
        <v>130</v>
      </c>
      <c r="E252" t="s">
        <v>15</v>
      </c>
      <c r="F252" t="s">
        <v>13</v>
      </c>
      <c r="G252">
        <f>MONTH(cleaned_personal_finance_data3[[#This Row],[date]])</f>
        <v>3</v>
      </c>
      <c r="H252">
        <f>YEAR(cleaned_personal_finance_data3[[#This Row],[date]])</f>
        <v>2024</v>
      </c>
      <c r="I252" t="s">
        <v>329</v>
      </c>
    </row>
    <row r="253" spans="1:9" x14ac:dyDescent="0.25">
      <c r="A253">
        <v>252</v>
      </c>
      <c r="B253" s="1">
        <v>45384</v>
      </c>
      <c r="C253" t="s">
        <v>38</v>
      </c>
      <c r="D253">
        <v>1500</v>
      </c>
      <c r="E253" t="s">
        <v>15</v>
      </c>
      <c r="F253" t="s">
        <v>13</v>
      </c>
      <c r="G253">
        <f>MONTH(cleaned_personal_finance_data3[[#This Row],[date]])</f>
        <v>4</v>
      </c>
      <c r="H253">
        <f>YEAR(cleaned_personal_finance_data3[[#This Row],[date]])</f>
        <v>2024</v>
      </c>
      <c r="I253" t="s">
        <v>38</v>
      </c>
    </row>
    <row r="254" spans="1:9" x14ac:dyDescent="0.25">
      <c r="A254">
        <v>253</v>
      </c>
      <c r="B254" s="1">
        <v>45384</v>
      </c>
      <c r="C254" t="s">
        <v>28</v>
      </c>
      <c r="D254">
        <v>50</v>
      </c>
      <c r="E254" t="s">
        <v>15</v>
      </c>
      <c r="F254" t="s">
        <v>21</v>
      </c>
      <c r="G254">
        <f>MONTH(cleaned_personal_finance_data3[[#This Row],[date]])</f>
        <v>4</v>
      </c>
      <c r="H254">
        <f>YEAR(cleaned_personal_finance_data3[[#This Row],[date]])</f>
        <v>2024</v>
      </c>
      <c r="I254" t="s">
        <v>28</v>
      </c>
    </row>
    <row r="255" spans="1:9" x14ac:dyDescent="0.25">
      <c r="A255">
        <v>254</v>
      </c>
      <c r="B255" s="1">
        <v>45387</v>
      </c>
      <c r="C255" t="s">
        <v>28</v>
      </c>
      <c r="D255">
        <v>125</v>
      </c>
      <c r="E255" t="s">
        <v>15</v>
      </c>
      <c r="F255" t="s">
        <v>21</v>
      </c>
      <c r="G255">
        <f>MONTH(cleaned_personal_finance_data3[[#This Row],[date]])</f>
        <v>4</v>
      </c>
      <c r="H255">
        <f>YEAR(cleaned_personal_finance_data3[[#This Row],[date]])</f>
        <v>2024</v>
      </c>
      <c r="I255" t="s">
        <v>28</v>
      </c>
    </row>
    <row r="256" spans="1:9" x14ac:dyDescent="0.25">
      <c r="A256">
        <v>255</v>
      </c>
      <c r="B256" s="1">
        <v>45387</v>
      </c>
      <c r="C256" t="s">
        <v>143</v>
      </c>
      <c r="D256">
        <v>40</v>
      </c>
      <c r="E256" t="s">
        <v>15</v>
      </c>
      <c r="F256" t="s">
        <v>13</v>
      </c>
      <c r="G256">
        <f>MONTH(cleaned_personal_finance_data3[[#This Row],[date]])</f>
        <v>4</v>
      </c>
      <c r="H256">
        <f>YEAR(cleaned_personal_finance_data3[[#This Row],[date]])</f>
        <v>2024</v>
      </c>
      <c r="I256" t="s">
        <v>143</v>
      </c>
    </row>
    <row r="257" spans="1:9" x14ac:dyDescent="0.25">
      <c r="A257">
        <v>256</v>
      </c>
      <c r="B257" s="1">
        <v>45388</v>
      </c>
      <c r="C257" t="s">
        <v>24</v>
      </c>
      <c r="D257">
        <v>239</v>
      </c>
      <c r="E257" t="s">
        <v>15</v>
      </c>
      <c r="F257" t="s">
        <v>21</v>
      </c>
      <c r="G257">
        <f>MONTH(cleaned_personal_finance_data3[[#This Row],[date]])</f>
        <v>4</v>
      </c>
      <c r="H257">
        <f>YEAR(cleaned_personal_finance_data3[[#This Row],[date]])</f>
        <v>2024</v>
      </c>
      <c r="I257" t="s">
        <v>24</v>
      </c>
    </row>
    <row r="258" spans="1:9" x14ac:dyDescent="0.25">
      <c r="A258">
        <v>257</v>
      </c>
      <c r="B258" s="1">
        <v>45389</v>
      </c>
      <c r="C258" t="s">
        <v>144</v>
      </c>
      <c r="D258">
        <v>2560</v>
      </c>
      <c r="E258" t="s">
        <v>15</v>
      </c>
      <c r="F258" t="s">
        <v>13</v>
      </c>
      <c r="G258">
        <f>MONTH(cleaned_personal_finance_data3[[#This Row],[date]])</f>
        <v>4</v>
      </c>
      <c r="H258">
        <f>YEAR(cleaned_personal_finance_data3[[#This Row],[date]])</f>
        <v>2024</v>
      </c>
      <c r="I258" t="s">
        <v>159</v>
      </c>
    </row>
    <row r="259" spans="1:9" x14ac:dyDescent="0.25">
      <c r="A259">
        <v>258</v>
      </c>
      <c r="B259" s="1">
        <v>45389</v>
      </c>
      <c r="C259" t="s">
        <v>145</v>
      </c>
      <c r="D259">
        <v>5000</v>
      </c>
      <c r="E259" t="s">
        <v>15</v>
      </c>
      <c r="F259" t="s">
        <v>13</v>
      </c>
      <c r="G259">
        <f>MONTH(cleaned_personal_finance_data3[[#This Row],[date]])</f>
        <v>4</v>
      </c>
      <c r="H259">
        <f>YEAR(cleaned_personal_finance_data3[[#This Row],[date]])</f>
        <v>2024</v>
      </c>
      <c r="I259" t="s">
        <v>145</v>
      </c>
    </row>
    <row r="260" spans="1:9" x14ac:dyDescent="0.25">
      <c r="A260">
        <v>259</v>
      </c>
      <c r="B260" s="1">
        <v>45391</v>
      </c>
      <c r="C260" t="s">
        <v>146</v>
      </c>
      <c r="D260">
        <v>50</v>
      </c>
      <c r="E260" t="s">
        <v>15</v>
      </c>
      <c r="F260" t="s">
        <v>13</v>
      </c>
      <c r="G260">
        <f>MONTH(cleaned_personal_finance_data3[[#This Row],[date]])</f>
        <v>4</v>
      </c>
      <c r="H260">
        <f>YEAR(cleaned_personal_finance_data3[[#This Row],[date]])</f>
        <v>2024</v>
      </c>
      <c r="I260" t="s">
        <v>146</v>
      </c>
    </row>
    <row r="261" spans="1:9" hidden="1" x14ac:dyDescent="0.25">
      <c r="A261">
        <v>260</v>
      </c>
      <c r="B261" s="1">
        <v>45391</v>
      </c>
      <c r="C261" t="s">
        <v>136</v>
      </c>
      <c r="D261">
        <v>12995</v>
      </c>
      <c r="E261" t="s">
        <v>10</v>
      </c>
      <c r="F261" t="s">
        <v>8</v>
      </c>
      <c r="G261">
        <f>MONTH(cleaned_personal_finance_data3[[#This Row],[date]])</f>
        <v>4</v>
      </c>
      <c r="H261">
        <f>YEAR(cleaned_personal_finance_data3[[#This Row],[date]])</f>
        <v>2024</v>
      </c>
      <c r="I261" t="s">
        <v>136</v>
      </c>
    </row>
    <row r="262" spans="1:9" x14ac:dyDescent="0.25">
      <c r="A262">
        <v>261</v>
      </c>
      <c r="B262" s="1">
        <v>45391</v>
      </c>
      <c r="C262" t="s">
        <v>137</v>
      </c>
      <c r="D262">
        <v>100</v>
      </c>
      <c r="E262" t="s">
        <v>15</v>
      </c>
      <c r="F262" t="s">
        <v>13</v>
      </c>
      <c r="G262">
        <f>MONTH(cleaned_personal_finance_data3[[#This Row],[date]])</f>
        <v>4</v>
      </c>
      <c r="H262">
        <f>YEAR(cleaned_personal_finance_data3[[#This Row],[date]])</f>
        <v>2024</v>
      </c>
      <c r="I262" t="s">
        <v>137</v>
      </c>
    </row>
    <row r="263" spans="1:9" hidden="1" x14ac:dyDescent="0.25">
      <c r="A263">
        <v>262</v>
      </c>
      <c r="B263" s="1">
        <v>45391</v>
      </c>
      <c r="C263" t="s">
        <v>147</v>
      </c>
      <c r="D263">
        <v>6000</v>
      </c>
      <c r="E263" t="s">
        <v>7</v>
      </c>
      <c r="F263" t="s">
        <v>8</v>
      </c>
      <c r="G263">
        <f>MONTH(cleaned_personal_finance_data3[[#This Row],[date]])</f>
        <v>4</v>
      </c>
      <c r="H263">
        <f>YEAR(cleaned_personal_finance_data3[[#This Row],[date]])</f>
        <v>2024</v>
      </c>
      <c r="I263" t="s">
        <v>147</v>
      </c>
    </row>
    <row r="264" spans="1:9" x14ac:dyDescent="0.25">
      <c r="A264">
        <v>263</v>
      </c>
      <c r="B264" s="1">
        <v>45392</v>
      </c>
      <c r="C264" t="s">
        <v>127</v>
      </c>
      <c r="D264">
        <v>80</v>
      </c>
      <c r="E264" t="s">
        <v>15</v>
      </c>
      <c r="F264" t="s">
        <v>13</v>
      </c>
      <c r="G264">
        <f>MONTH(cleaned_personal_finance_data3[[#This Row],[date]])</f>
        <v>4</v>
      </c>
      <c r="H264">
        <f>YEAR(cleaned_personal_finance_data3[[#This Row],[date]])</f>
        <v>2024</v>
      </c>
      <c r="I264" t="s">
        <v>262</v>
      </c>
    </row>
    <row r="265" spans="1:9" hidden="1" x14ac:dyDescent="0.25">
      <c r="A265">
        <v>264</v>
      </c>
      <c r="B265" s="1">
        <v>45397</v>
      </c>
      <c r="C265" t="s">
        <v>131</v>
      </c>
      <c r="D265">
        <v>13615</v>
      </c>
      <c r="E265" t="s">
        <v>7</v>
      </c>
      <c r="F265" t="s">
        <v>8</v>
      </c>
      <c r="G265">
        <f>MONTH(cleaned_personal_finance_data3[[#This Row],[date]])</f>
        <v>4</v>
      </c>
      <c r="H265">
        <f>YEAR(cleaned_personal_finance_data3[[#This Row],[date]])</f>
        <v>2024</v>
      </c>
      <c r="I265" t="s">
        <v>318</v>
      </c>
    </row>
    <row r="266" spans="1:9" x14ac:dyDescent="0.25">
      <c r="A266">
        <v>265</v>
      </c>
      <c r="B266" s="1">
        <v>45398</v>
      </c>
      <c r="C266" t="s">
        <v>36</v>
      </c>
      <c r="D266">
        <v>130</v>
      </c>
      <c r="E266" t="s">
        <v>15</v>
      </c>
      <c r="F266" t="s">
        <v>13</v>
      </c>
      <c r="G266">
        <f>MONTH(cleaned_personal_finance_data3[[#This Row],[date]])</f>
        <v>4</v>
      </c>
      <c r="H266">
        <f>YEAR(cleaned_personal_finance_data3[[#This Row],[date]])</f>
        <v>2024</v>
      </c>
      <c r="I266" t="s">
        <v>329</v>
      </c>
    </row>
    <row r="267" spans="1:9" x14ac:dyDescent="0.25">
      <c r="A267">
        <v>266</v>
      </c>
      <c r="B267" s="1">
        <v>45398</v>
      </c>
      <c r="C267" t="s">
        <v>148</v>
      </c>
      <c r="D267">
        <v>43</v>
      </c>
      <c r="E267" t="s">
        <v>15</v>
      </c>
      <c r="F267" t="s">
        <v>13</v>
      </c>
      <c r="G267">
        <f>MONTH(cleaned_personal_finance_data3[[#This Row],[date]])</f>
        <v>4</v>
      </c>
      <c r="H267">
        <f>YEAR(cleaned_personal_finance_data3[[#This Row],[date]])</f>
        <v>2024</v>
      </c>
      <c r="I267" t="s">
        <v>237</v>
      </c>
    </row>
    <row r="268" spans="1:9" x14ac:dyDescent="0.25">
      <c r="A268">
        <v>267</v>
      </c>
      <c r="B268" s="1">
        <v>45398</v>
      </c>
      <c r="C268" t="s">
        <v>37</v>
      </c>
      <c r="D268">
        <v>25</v>
      </c>
      <c r="E268" t="s">
        <v>15</v>
      </c>
      <c r="F268" t="s">
        <v>13</v>
      </c>
      <c r="G268">
        <f>MONTH(cleaned_personal_finance_data3[[#This Row],[date]])</f>
        <v>4</v>
      </c>
      <c r="H268">
        <f>YEAR(cleaned_personal_finance_data3[[#This Row],[date]])</f>
        <v>2024</v>
      </c>
      <c r="I268" t="s">
        <v>47</v>
      </c>
    </row>
    <row r="269" spans="1:9" x14ac:dyDescent="0.25">
      <c r="A269">
        <v>268</v>
      </c>
      <c r="B269" s="1">
        <v>45398</v>
      </c>
      <c r="C269" t="s">
        <v>28</v>
      </c>
      <c r="D269">
        <v>125</v>
      </c>
      <c r="E269" t="s">
        <v>15</v>
      </c>
      <c r="F269" t="s">
        <v>21</v>
      </c>
      <c r="G269">
        <f>MONTH(cleaned_personal_finance_data3[[#This Row],[date]])</f>
        <v>4</v>
      </c>
      <c r="H269">
        <f>YEAR(cleaned_personal_finance_data3[[#This Row],[date]])</f>
        <v>2024</v>
      </c>
      <c r="I269" t="s">
        <v>28</v>
      </c>
    </row>
    <row r="270" spans="1:9" x14ac:dyDescent="0.25">
      <c r="A270">
        <v>269</v>
      </c>
      <c r="B270" s="1">
        <v>45402</v>
      </c>
      <c r="C270" t="s">
        <v>50</v>
      </c>
      <c r="D270">
        <v>599</v>
      </c>
      <c r="E270" t="s">
        <v>15</v>
      </c>
      <c r="F270" t="s">
        <v>21</v>
      </c>
      <c r="G270">
        <f>MONTH(cleaned_personal_finance_data3[[#This Row],[date]])</f>
        <v>4</v>
      </c>
      <c r="H270">
        <f>YEAR(cleaned_personal_finance_data3[[#This Row],[date]])</f>
        <v>2024</v>
      </c>
      <c r="I270" t="s">
        <v>50</v>
      </c>
    </row>
    <row r="271" spans="1:9" x14ac:dyDescent="0.25">
      <c r="A271">
        <v>270</v>
      </c>
      <c r="B271" s="1">
        <v>45403</v>
      </c>
      <c r="C271" t="s">
        <v>37</v>
      </c>
      <c r="D271">
        <v>25</v>
      </c>
      <c r="E271" t="s">
        <v>15</v>
      </c>
      <c r="F271" t="s">
        <v>13</v>
      </c>
      <c r="G271">
        <f>MONTH(cleaned_personal_finance_data3[[#This Row],[date]])</f>
        <v>4</v>
      </c>
      <c r="H271">
        <f>YEAR(cleaned_personal_finance_data3[[#This Row],[date]])</f>
        <v>2024</v>
      </c>
      <c r="I271" t="s">
        <v>47</v>
      </c>
    </row>
    <row r="272" spans="1:9" x14ac:dyDescent="0.25">
      <c r="A272">
        <v>271</v>
      </c>
      <c r="B272" s="1">
        <v>45403</v>
      </c>
      <c r="C272" t="s">
        <v>35</v>
      </c>
      <c r="D272">
        <v>280</v>
      </c>
      <c r="E272" t="s">
        <v>15</v>
      </c>
      <c r="F272" t="s">
        <v>21</v>
      </c>
      <c r="G272">
        <f>MONTH(cleaned_personal_finance_data3[[#This Row],[date]])</f>
        <v>4</v>
      </c>
      <c r="H272">
        <f>YEAR(cleaned_personal_finance_data3[[#This Row],[date]])</f>
        <v>2024</v>
      </c>
      <c r="I272" t="s">
        <v>35</v>
      </c>
    </row>
    <row r="273" spans="1:9" x14ac:dyDescent="0.25">
      <c r="A273">
        <v>272</v>
      </c>
      <c r="B273" s="1">
        <v>45404</v>
      </c>
      <c r="C273" t="s">
        <v>34</v>
      </c>
      <c r="D273">
        <v>129</v>
      </c>
      <c r="E273" t="s">
        <v>15</v>
      </c>
      <c r="F273" t="s">
        <v>21</v>
      </c>
      <c r="G273">
        <f>MONTH(cleaned_personal_finance_data3[[#This Row],[date]])</f>
        <v>4</v>
      </c>
      <c r="H273">
        <f>YEAR(cleaned_personal_finance_data3[[#This Row],[date]])</f>
        <v>2024</v>
      </c>
      <c r="I273" t="s">
        <v>34</v>
      </c>
    </row>
    <row r="274" spans="1:9" x14ac:dyDescent="0.25">
      <c r="A274">
        <v>273</v>
      </c>
      <c r="B274" s="1">
        <v>45404</v>
      </c>
      <c r="C274" t="s">
        <v>64</v>
      </c>
      <c r="D274">
        <v>199</v>
      </c>
      <c r="E274" t="s">
        <v>15</v>
      </c>
      <c r="F274" t="s">
        <v>21</v>
      </c>
      <c r="G274">
        <f>MONTH(cleaned_personal_finance_data3[[#This Row],[date]])</f>
        <v>4</v>
      </c>
      <c r="H274">
        <f>YEAR(cleaned_personal_finance_data3[[#This Row],[date]])</f>
        <v>2024</v>
      </c>
      <c r="I274" t="s">
        <v>64</v>
      </c>
    </row>
    <row r="275" spans="1:9" x14ac:dyDescent="0.25">
      <c r="A275">
        <v>274</v>
      </c>
      <c r="B275" s="1">
        <v>45412</v>
      </c>
      <c r="C275" t="s">
        <v>149</v>
      </c>
      <c r="D275">
        <v>500</v>
      </c>
      <c r="E275" t="s">
        <v>15</v>
      </c>
      <c r="F275" t="s">
        <v>21</v>
      </c>
      <c r="G275">
        <f>MONTH(cleaned_personal_finance_data3[[#This Row],[date]])</f>
        <v>4</v>
      </c>
      <c r="H275">
        <f>YEAR(cleaned_personal_finance_data3[[#This Row],[date]])</f>
        <v>2024</v>
      </c>
      <c r="I275" t="s">
        <v>149</v>
      </c>
    </row>
    <row r="276" spans="1:9" x14ac:dyDescent="0.25">
      <c r="A276">
        <v>275</v>
      </c>
      <c r="B276" s="1">
        <v>45412</v>
      </c>
      <c r="C276" t="s">
        <v>150</v>
      </c>
      <c r="D276">
        <v>1000</v>
      </c>
      <c r="E276" t="s">
        <v>15</v>
      </c>
      <c r="F276" t="s">
        <v>13</v>
      </c>
      <c r="G276">
        <f>MONTH(cleaned_personal_finance_data3[[#This Row],[date]])</f>
        <v>4</v>
      </c>
      <c r="H276">
        <f>YEAR(cleaned_personal_finance_data3[[#This Row],[date]])</f>
        <v>2024</v>
      </c>
      <c r="I276" t="s">
        <v>150</v>
      </c>
    </row>
    <row r="277" spans="1:9" x14ac:dyDescent="0.25">
      <c r="A277">
        <v>276</v>
      </c>
      <c r="B277" s="1">
        <v>45412</v>
      </c>
      <c r="C277" t="s">
        <v>151</v>
      </c>
      <c r="D277">
        <v>2000</v>
      </c>
      <c r="E277" t="s">
        <v>15</v>
      </c>
      <c r="F277" t="s">
        <v>13</v>
      </c>
      <c r="G277">
        <f>MONTH(cleaned_personal_finance_data3[[#This Row],[date]])</f>
        <v>4</v>
      </c>
      <c r="H277">
        <f>YEAR(cleaned_personal_finance_data3[[#This Row],[date]])</f>
        <v>2024</v>
      </c>
      <c r="I277" t="s">
        <v>151</v>
      </c>
    </row>
    <row r="278" spans="1:9" x14ac:dyDescent="0.25">
      <c r="A278">
        <v>277</v>
      </c>
      <c r="B278" s="1">
        <v>45412</v>
      </c>
      <c r="C278" t="s">
        <v>152</v>
      </c>
      <c r="D278">
        <v>1000</v>
      </c>
      <c r="E278" t="s">
        <v>15</v>
      </c>
      <c r="F278" t="s">
        <v>13</v>
      </c>
      <c r="G278">
        <f>MONTH(cleaned_personal_finance_data3[[#This Row],[date]])</f>
        <v>4</v>
      </c>
      <c r="H278">
        <f>YEAR(cleaned_personal_finance_data3[[#This Row],[date]])</f>
        <v>2024</v>
      </c>
      <c r="I278" t="s">
        <v>152</v>
      </c>
    </row>
    <row r="279" spans="1:9" hidden="1" x14ac:dyDescent="0.25">
      <c r="A279">
        <v>278</v>
      </c>
      <c r="B279" s="1">
        <v>45412</v>
      </c>
      <c r="C279" t="s">
        <v>6</v>
      </c>
      <c r="D279">
        <v>12616</v>
      </c>
      <c r="E279" t="s">
        <v>7</v>
      </c>
      <c r="F279" t="s">
        <v>8</v>
      </c>
      <c r="G279">
        <f>MONTH(cleaned_personal_finance_data3[[#This Row],[date]])</f>
        <v>4</v>
      </c>
      <c r="H279">
        <f>YEAR(cleaned_personal_finance_data3[[#This Row],[date]])</f>
        <v>2024</v>
      </c>
      <c r="I279" t="s">
        <v>318</v>
      </c>
    </row>
    <row r="280" spans="1:9" x14ac:dyDescent="0.25">
      <c r="A280">
        <v>279</v>
      </c>
      <c r="B280" s="1">
        <v>45412</v>
      </c>
      <c r="C280" t="s">
        <v>103</v>
      </c>
      <c r="D280">
        <v>260</v>
      </c>
      <c r="E280" t="s">
        <v>15</v>
      </c>
      <c r="F280" t="s">
        <v>13</v>
      </c>
      <c r="G280">
        <f>MONTH(cleaned_personal_finance_data3[[#This Row],[date]])</f>
        <v>4</v>
      </c>
      <c r="H280">
        <f>YEAR(cleaned_personal_finance_data3[[#This Row],[date]])</f>
        <v>2024</v>
      </c>
      <c r="I280" t="s">
        <v>329</v>
      </c>
    </row>
    <row r="281" spans="1:9" x14ac:dyDescent="0.25">
      <c r="A281">
        <v>280</v>
      </c>
      <c r="B281" s="1">
        <v>45415</v>
      </c>
      <c r="C281" t="s">
        <v>38</v>
      </c>
      <c r="D281">
        <v>1700</v>
      </c>
      <c r="E281" t="s">
        <v>15</v>
      </c>
      <c r="F281" t="s">
        <v>13</v>
      </c>
      <c r="G281">
        <f>MONTH(cleaned_personal_finance_data3[[#This Row],[date]])</f>
        <v>5</v>
      </c>
      <c r="H281">
        <f>YEAR(cleaned_personal_finance_data3[[#This Row],[date]])</f>
        <v>2024</v>
      </c>
      <c r="I281" t="s">
        <v>38</v>
      </c>
    </row>
    <row r="282" spans="1:9" x14ac:dyDescent="0.25">
      <c r="A282">
        <v>281</v>
      </c>
      <c r="B282" s="1">
        <v>45415</v>
      </c>
      <c r="C282" t="s">
        <v>28</v>
      </c>
      <c r="D282">
        <v>50</v>
      </c>
      <c r="E282" t="s">
        <v>15</v>
      </c>
      <c r="F282" t="s">
        <v>21</v>
      </c>
      <c r="G282">
        <f>MONTH(cleaned_personal_finance_data3[[#This Row],[date]])</f>
        <v>5</v>
      </c>
      <c r="H282">
        <f>YEAR(cleaned_personal_finance_data3[[#This Row],[date]])</f>
        <v>2024</v>
      </c>
      <c r="I282" t="s">
        <v>28</v>
      </c>
    </row>
    <row r="283" spans="1:9" x14ac:dyDescent="0.25">
      <c r="A283">
        <v>282</v>
      </c>
      <c r="B283" s="1">
        <v>45415</v>
      </c>
      <c r="C283" t="s">
        <v>28</v>
      </c>
      <c r="D283">
        <v>125</v>
      </c>
      <c r="E283" t="s">
        <v>15</v>
      </c>
      <c r="F283" t="s">
        <v>21</v>
      </c>
      <c r="G283">
        <f>MONTH(cleaned_personal_finance_data3[[#This Row],[date]])</f>
        <v>5</v>
      </c>
      <c r="H283">
        <f>YEAR(cleaned_personal_finance_data3[[#This Row],[date]])</f>
        <v>2024</v>
      </c>
      <c r="I283" t="s">
        <v>28</v>
      </c>
    </row>
    <row r="284" spans="1:9" x14ac:dyDescent="0.25">
      <c r="A284">
        <v>283</v>
      </c>
      <c r="B284" s="1">
        <v>45415</v>
      </c>
      <c r="C284" t="s">
        <v>64</v>
      </c>
      <c r="D284">
        <v>199</v>
      </c>
      <c r="E284" t="s">
        <v>15</v>
      </c>
      <c r="F284" t="s">
        <v>21</v>
      </c>
      <c r="G284">
        <f>MONTH(cleaned_personal_finance_data3[[#This Row],[date]])</f>
        <v>5</v>
      </c>
      <c r="H284">
        <f>YEAR(cleaned_personal_finance_data3[[#This Row],[date]])</f>
        <v>2024</v>
      </c>
      <c r="I284" t="s">
        <v>64</v>
      </c>
    </row>
    <row r="285" spans="1:9" hidden="1" x14ac:dyDescent="0.25">
      <c r="A285">
        <v>284</v>
      </c>
      <c r="B285" s="1">
        <v>45416</v>
      </c>
      <c r="C285" t="s">
        <v>136</v>
      </c>
      <c r="D285">
        <v>19000</v>
      </c>
      <c r="E285" t="s">
        <v>10</v>
      </c>
      <c r="F285" t="s">
        <v>8</v>
      </c>
      <c r="G285">
        <f>MONTH(cleaned_personal_finance_data3[[#This Row],[date]])</f>
        <v>5</v>
      </c>
      <c r="H285">
        <f>YEAR(cleaned_personal_finance_data3[[#This Row],[date]])</f>
        <v>2024</v>
      </c>
      <c r="I285" t="s">
        <v>136</v>
      </c>
    </row>
    <row r="286" spans="1:9" x14ac:dyDescent="0.25">
      <c r="A286">
        <v>285</v>
      </c>
      <c r="B286" s="1">
        <v>45416</v>
      </c>
      <c r="C286" t="s">
        <v>137</v>
      </c>
      <c r="D286">
        <v>236</v>
      </c>
      <c r="E286" t="s">
        <v>15</v>
      </c>
      <c r="F286" t="s">
        <v>8</v>
      </c>
      <c r="G286">
        <f>MONTH(cleaned_personal_finance_data3[[#This Row],[date]])</f>
        <v>5</v>
      </c>
      <c r="H286">
        <f>YEAR(cleaned_personal_finance_data3[[#This Row],[date]])</f>
        <v>2024</v>
      </c>
      <c r="I286" t="s">
        <v>137</v>
      </c>
    </row>
    <row r="287" spans="1:9" x14ac:dyDescent="0.25">
      <c r="A287">
        <v>286</v>
      </c>
      <c r="B287" s="1">
        <v>45416</v>
      </c>
      <c r="C287" t="s">
        <v>153</v>
      </c>
      <c r="D287">
        <v>2100</v>
      </c>
      <c r="E287" t="s">
        <v>15</v>
      </c>
      <c r="F287" t="s">
        <v>13</v>
      </c>
      <c r="G287">
        <f>MONTH(cleaned_personal_finance_data3[[#This Row],[date]])</f>
        <v>5</v>
      </c>
      <c r="H287">
        <f>YEAR(cleaned_personal_finance_data3[[#This Row],[date]])</f>
        <v>2024</v>
      </c>
      <c r="I287" t="s">
        <v>159</v>
      </c>
    </row>
    <row r="288" spans="1:9" x14ac:dyDescent="0.25">
      <c r="A288">
        <v>287</v>
      </c>
      <c r="B288" s="1">
        <v>45416</v>
      </c>
      <c r="C288" t="s">
        <v>145</v>
      </c>
      <c r="D288">
        <v>5000</v>
      </c>
      <c r="E288" t="s">
        <v>15</v>
      </c>
      <c r="F288" t="s">
        <v>13</v>
      </c>
      <c r="G288">
        <f>MONTH(cleaned_personal_finance_data3[[#This Row],[date]])</f>
        <v>5</v>
      </c>
      <c r="H288">
        <f>YEAR(cleaned_personal_finance_data3[[#This Row],[date]])</f>
        <v>2024</v>
      </c>
      <c r="I288" t="s">
        <v>145</v>
      </c>
    </row>
    <row r="289" spans="1:9" hidden="1" x14ac:dyDescent="0.25">
      <c r="A289">
        <v>288</v>
      </c>
      <c r="B289" s="1">
        <v>45416</v>
      </c>
      <c r="C289" t="s">
        <v>20</v>
      </c>
      <c r="D289">
        <v>3000</v>
      </c>
      <c r="E289" t="s">
        <v>10</v>
      </c>
      <c r="F289" t="s">
        <v>13</v>
      </c>
      <c r="G289">
        <f>MONTH(cleaned_personal_finance_data3[[#This Row],[date]])</f>
        <v>5</v>
      </c>
      <c r="H289">
        <f>YEAR(cleaned_personal_finance_data3[[#This Row],[date]])</f>
        <v>2024</v>
      </c>
      <c r="I289" t="s">
        <v>20</v>
      </c>
    </row>
    <row r="290" spans="1:9" hidden="1" x14ac:dyDescent="0.25">
      <c r="A290">
        <v>289</v>
      </c>
      <c r="B290" s="1">
        <v>45416</v>
      </c>
      <c r="C290" t="s">
        <v>20</v>
      </c>
      <c r="D290">
        <v>3000</v>
      </c>
      <c r="E290" t="s">
        <v>12</v>
      </c>
      <c r="F290" t="s">
        <v>21</v>
      </c>
      <c r="G290">
        <f>MONTH(cleaned_personal_finance_data3[[#This Row],[date]])</f>
        <v>5</v>
      </c>
      <c r="H290">
        <f>YEAR(cleaned_personal_finance_data3[[#This Row],[date]])</f>
        <v>2024</v>
      </c>
      <c r="I290" t="s">
        <v>20</v>
      </c>
    </row>
    <row r="291" spans="1:9" x14ac:dyDescent="0.25">
      <c r="A291">
        <v>290</v>
      </c>
      <c r="B291" s="1">
        <v>45418</v>
      </c>
      <c r="C291" t="s">
        <v>28</v>
      </c>
      <c r="D291">
        <v>125</v>
      </c>
      <c r="E291" t="s">
        <v>15</v>
      </c>
      <c r="F291" t="s">
        <v>21</v>
      </c>
      <c r="G291">
        <f>MONTH(cleaned_personal_finance_data3[[#This Row],[date]])</f>
        <v>5</v>
      </c>
      <c r="H291">
        <f>YEAR(cleaned_personal_finance_data3[[#This Row],[date]])</f>
        <v>2024</v>
      </c>
      <c r="I291" t="s">
        <v>28</v>
      </c>
    </row>
    <row r="292" spans="1:9" x14ac:dyDescent="0.25">
      <c r="A292">
        <v>291</v>
      </c>
      <c r="B292" s="1">
        <v>45418</v>
      </c>
      <c r="C292" t="s">
        <v>28</v>
      </c>
      <c r="D292">
        <v>50</v>
      </c>
      <c r="E292" t="s">
        <v>15</v>
      </c>
      <c r="F292" t="s">
        <v>21</v>
      </c>
      <c r="G292">
        <f>MONTH(cleaned_personal_finance_data3[[#This Row],[date]])</f>
        <v>5</v>
      </c>
      <c r="H292">
        <f>YEAR(cleaned_personal_finance_data3[[#This Row],[date]])</f>
        <v>2024</v>
      </c>
      <c r="I292" t="s">
        <v>28</v>
      </c>
    </row>
    <row r="293" spans="1:9" x14ac:dyDescent="0.25">
      <c r="A293">
        <v>292</v>
      </c>
      <c r="B293" s="1">
        <v>45419</v>
      </c>
      <c r="C293" t="s">
        <v>24</v>
      </c>
      <c r="D293">
        <v>239</v>
      </c>
      <c r="E293" t="s">
        <v>15</v>
      </c>
      <c r="F293" t="s">
        <v>21</v>
      </c>
      <c r="G293">
        <f>MONTH(cleaned_personal_finance_data3[[#This Row],[date]])</f>
        <v>5</v>
      </c>
      <c r="H293">
        <f>YEAR(cleaned_personal_finance_data3[[#This Row],[date]])</f>
        <v>2024</v>
      </c>
      <c r="I293" t="s">
        <v>24</v>
      </c>
    </row>
    <row r="294" spans="1:9" x14ac:dyDescent="0.25">
      <c r="A294">
        <v>293</v>
      </c>
      <c r="B294" s="1">
        <v>45420</v>
      </c>
      <c r="C294" t="s">
        <v>25</v>
      </c>
      <c r="D294">
        <v>30</v>
      </c>
      <c r="E294" t="s">
        <v>15</v>
      </c>
      <c r="F294" t="s">
        <v>13</v>
      </c>
      <c r="G294">
        <f>MONTH(cleaned_personal_finance_data3[[#This Row],[date]])</f>
        <v>5</v>
      </c>
      <c r="H294">
        <f>YEAR(cleaned_personal_finance_data3[[#This Row],[date]])</f>
        <v>2024</v>
      </c>
      <c r="I294" t="s">
        <v>25</v>
      </c>
    </row>
    <row r="295" spans="1:9" x14ac:dyDescent="0.25">
      <c r="A295">
        <v>294</v>
      </c>
      <c r="B295" s="1">
        <v>45425</v>
      </c>
      <c r="C295" t="s">
        <v>51</v>
      </c>
      <c r="D295">
        <v>30</v>
      </c>
      <c r="E295" t="s">
        <v>15</v>
      </c>
      <c r="F295" t="s">
        <v>13</v>
      </c>
      <c r="G295">
        <f>MONTH(cleaned_personal_finance_data3[[#This Row],[date]])</f>
        <v>5</v>
      </c>
      <c r="H295">
        <f>YEAR(cleaned_personal_finance_data3[[#This Row],[date]])</f>
        <v>2024</v>
      </c>
      <c r="I295" t="s">
        <v>43</v>
      </c>
    </row>
    <row r="296" spans="1:9" x14ac:dyDescent="0.25">
      <c r="A296">
        <v>295</v>
      </c>
      <c r="B296" s="1">
        <v>45425</v>
      </c>
      <c r="C296" t="s">
        <v>40</v>
      </c>
      <c r="D296">
        <v>37</v>
      </c>
      <c r="E296" t="s">
        <v>15</v>
      </c>
      <c r="F296" t="s">
        <v>13</v>
      </c>
      <c r="G296">
        <f>MONTH(cleaned_personal_finance_data3[[#This Row],[date]])</f>
        <v>5</v>
      </c>
      <c r="H296">
        <f>YEAR(cleaned_personal_finance_data3[[#This Row],[date]])</f>
        <v>2024</v>
      </c>
      <c r="I296" t="s">
        <v>40</v>
      </c>
    </row>
    <row r="297" spans="1:9" x14ac:dyDescent="0.25">
      <c r="A297">
        <v>296</v>
      </c>
      <c r="B297" s="1">
        <v>45425</v>
      </c>
      <c r="C297" t="s">
        <v>106</v>
      </c>
      <c r="D297">
        <v>73</v>
      </c>
      <c r="E297" t="s">
        <v>15</v>
      </c>
      <c r="F297" t="s">
        <v>13</v>
      </c>
      <c r="G297">
        <f>MONTH(cleaned_personal_finance_data3[[#This Row],[date]])</f>
        <v>5</v>
      </c>
      <c r="H297">
        <f>YEAR(cleaned_personal_finance_data3[[#This Row],[date]])</f>
        <v>2024</v>
      </c>
      <c r="I297" t="s">
        <v>106</v>
      </c>
    </row>
    <row r="298" spans="1:9" x14ac:dyDescent="0.25">
      <c r="A298">
        <v>297</v>
      </c>
      <c r="B298" s="1">
        <v>45425</v>
      </c>
      <c r="C298" t="s">
        <v>76</v>
      </c>
      <c r="D298">
        <v>40</v>
      </c>
      <c r="E298" t="s">
        <v>15</v>
      </c>
      <c r="F298" t="s">
        <v>13</v>
      </c>
      <c r="G298">
        <f>MONTH(cleaned_personal_finance_data3[[#This Row],[date]])</f>
        <v>5</v>
      </c>
      <c r="H298">
        <f>YEAR(cleaned_personal_finance_data3[[#This Row],[date]])</f>
        <v>2024</v>
      </c>
      <c r="I298" t="s">
        <v>43</v>
      </c>
    </row>
    <row r="299" spans="1:9" x14ac:dyDescent="0.25">
      <c r="A299">
        <v>298</v>
      </c>
      <c r="B299" s="1">
        <v>45425</v>
      </c>
      <c r="C299" t="s">
        <v>154</v>
      </c>
      <c r="D299">
        <v>399</v>
      </c>
      <c r="E299" t="s">
        <v>15</v>
      </c>
      <c r="F299" t="s">
        <v>21</v>
      </c>
      <c r="G299">
        <f>MONTH(cleaned_personal_finance_data3[[#This Row],[date]])</f>
        <v>5</v>
      </c>
      <c r="H299">
        <f>YEAR(cleaned_personal_finance_data3[[#This Row],[date]])</f>
        <v>2024</v>
      </c>
      <c r="I299" t="s">
        <v>154</v>
      </c>
    </row>
    <row r="300" spans="1:9" hidden="1" x14ac:dyDescent="0.25">
      <c r="A300">
        <v>299</v>
      </c>
      <c r="B300" s="1">
        <v>45426</v>
      </c>
      <c r="C300" t="s">
        <v>6</v>
      </c>
      <c r="D300">
        <v>12615</v>
      </c>
      <c r="E300" t="s">
        <v>7</v>
      </c>
      <c r="F300" t="s">
        <v>8</v>
      </c>
      <c r="G300">
        <f>MONTH(cleaned_personal_finance_data3[[#This Row],[date]])</f>
        <v>5</v>
      </c>
      <c r="H300">
        <f>YEAR(cleaned_personal_finance_data3[[#This Row],[date]])</f>
        <v>2024</v>
      </c>
      <c r="I300" t="s">
        <v>318</v>
      </c>
    </row>
    <row r="301" spans="1:9" x14ac:dyDescent="0.25">
      <c r="A301">
        <v>300</v>
      </c>
      <c r="B301" s="1">
        <v>45427</v>
      </c>
      <c r="C301" t="s">
        <v>25</v>
      </c>
      <c r="D301">
        <v>30</v>
      </c>
      <c r="E301" t="s">
        <v>15</v>
      </c>
      <c r="F301" t="s">
        <v>13</v>
      </c>
      <c r="G301">
        <f>MONTH(cleaned_personal_finance_data3[[#This Row],[date]])</f>
        <v>5</v>
      </c>
      <c r="H301">
        <f>YEAR(cleaned_personal_finance_data3[[#This Row],[date]])</f>
        <v>2024</v>
      </c>
      <c r="I301" t="s">
        <v>25</v>
      </c>
    </row>
    <row r="302" spans="1:9" hidden="1" x14ac:dyDescent="0.25">
      <c r="A302">
        <v>301</v>
      </c>
      <c r="B302" s="1">
        <v>45428</v>
      </c>
      <c r="C302" t="s">
        <v>155</v>
      </c>
      <c r="D302">
        <v>27000</v>
      </c>
      <c r="E302" t="s">
        <v>7</v>
      </c>
      <c r="F302" t="s">
        <v>8</v>
      </c>
      <c r="G302">
        <f>MONTH(cleaned_personal_finance_data3[[#This Row],[date]])</f>
        <v>5</v>
      </c>
      <c r="H302">
        <f>YEAR(cleaned_personal_finance_data3[[#This Row],[date]])</f>
        <v>2024</v>
      </c>
      <c r="I302" t="s">
        <v>330</v>
      </c>
    </row>
    <row r="303" spans="1:9" x14ac:dyDescent="0.25">
      <c r="A303">
        <v>302</v>
      </c>
      <c r="B303" s="1">
        <v>45430</v>
      </c>
      <c r="C303" t="s">
        <v>28</v>
      </c>
      <c r="D303">
        <v>50</v>
      </c>
      <c r="E303" t="s">
        <v>15</v>
      </c>
      <c r="F303" t="s">
        <v>21</v>
      </c>
      <c r="G303">
        <f>MONTH(cleaned_personal_finance_data3[[#This Row],[date]])</f>
        <v>5</v>
      </c>
      <c r="H303">
        <f>YEAR(cleaned_personal_finance_data3[[#This Row],[date]])</f>
        <v>2024</v>
      </c>
      <c r="I303" t="s">
        <v>28</v>
      </c>
    </row>
    <row r="304" spans="1:9" x14ac:dyDescent="0.25">
      <c r="A304">
        <v>303</v>
      </c>
      <c r="B304" s="1">
        <v>45434</v>
      </c>
      <c r="C304" t="s">
        <v>34</v>
      </c>
      <c r="D304">
        <v>129</v>
      </c>
      <c r="E304" t="s">
        <v>15</v>
      </c>
      <c r="F304" t="s">
        <v>21</v>
      </c>
      <c r="G304">
        <f>MONTH(cleaned_personal_finance_data3[[#This Row],[date]])</f>
        <v>5</v>
      </c>
      <c r="H304">
        <f>YEAR(cleaned_personal_finance_data3[[#This Row],[date]])</f>
        <v>2024</v>
      </c>
      <c r="I304" t="s">
        <v>34</v>
      </c>
    </row>
    <row r="305" spans="1:9" x14ac:dyDescent="0.25">
      <c r="A305">
        <v>304</v>
      </c>
      <c r="B305" s="1">
        <v>45434</v>
      </c>
      <c r="C305" t="s">
        <v>35</v>
      </c>
      <c r="D305">
        <v>280</v>
      </c>
      <c r="E305" t="s">
        <v>15</v>
      </c>
      <c r="F305" t="s">
        <v>21</v>
      </c>
      <c r="G305">
        <f>MONTH(cleaned_personal_finance_data3[[#This Row],[date]])</f>
        <v>5</v>
      </c>
      <c r="H305">
        <f>YEAR(cleaned_personal_finance_data3[[#This Row],[date]])</f>
        <v>2024</v>
      </c>
      <c r="I305" t="s">
        <v>35</v>
      </c>
    </row>
    <row r="306" spans="1:9" x14ac:dyDescent="0.25">
      <c r="A306">
        <v>305</v>
      </c>
      <c r="B306" s="1">
        <v>45435</v>
      </c>
      <c r="C306" t="s">
        <v>156</v>
      </c>
      <c r="D306">
        <v>50</v>
      </c>
      <c r="E306" t="s">
        <v>15</v>
      </c>
      <c r="F306" t="s">
        <v>13</v>
      </c>
      <c r="G306">
        <f>MONTH(cleaned_personal_finance_data3[[#This Row],[date]])</f>
        <v>5</v>
      </c>
      <c r="H306">
        <f>YEAR(cleaned_personal_finance_data3[[#This Row],[date]])</f>
        <v>2024</v>
      </c>
      <c r="I306" t="s">
        <v>156</v>
      </c>
    </row>
    <row r="307" spans="1:9" x14ac:dyDescent="0.25">
      <c r="A307">
        <v>306</v>
      </c>
      <c r="B307" s="1">
        <v>45435</v>
      </c>
      <c r="C307" t="s">
        <v>103</v>
      </c>
      <c r="D307">
        <v>260</v>
      </c>
      <c r="E307" t="s">
        <v>15</v>
      </c>
      <c r="F307" t="s">
        <v>13</v>
      </c>
      <c r="G307">
        <f>MONTH(cleaned_personal_finance_data3[[#This Row],[date]])</f>
        <v>5</v>
      </c>
      <c r="H307">
        <f>YEAR(cleaned_personal_finance_data3[[#This Row],[date]])</f>
        <v>2024</v>
      </c>
      <c r="I307" t="s">
        <v>329</v>
      </c>
    </row>
    <row r="308" spans="1:9" x14ac:dyDescent="0.25">
      <c r="A308">
        <v>307</v>
      </c>
      <c r="B308" s="1">
        <v>45435</v>
      </c>
      <c r="C308" t="s">
        <v>64</v>
      </c>
      <c r="D308">
        <v>199</v>
      </c>
      <c r="E308" t="s">
        <v>15</v>
      </c>
      <c r="F308" t="s">
        <v>21</v>
      </c>
      <c r="G308">
        <f>MONTH(cleaned_personal_finance_data3[[#This Row],[date]])</f>
        <v>5</v>
      </c>
      <c r="H308">
        <f>YEAR(cleaned_personal_finance_data3[[#This Row],[date]])</f>
        <v>2024</v>
      </c>
      <c r="I308" t="s">
        <v>64</v>
      </c>
    </row>
    <row r="309" spans="1:9" x14ac:dyDescent="0.25">
      <c r="A309">
        <v>308</v>
      </c>
      <c r="B309" s="1">
        <v>45440</v>
      </c>
      <c r="C309" t="s">
        <v>157</v>
      </c>
      <c r="D309">
        <v>246</v>
      </c>
      <c r="E309" t="s">
        <v>15</v>
      </c>
      <c r="F309" t="s">
        <v>13</v>
      </c>
      <c r="G309">
        <f>MONTH(cleaned_personal_finance_data3[[#This Row],[date]])</f>
        <v>5</v>
      </c>
      <c r="H309">
        <f>YEAR(cleaned_personal_finance_data3[[#This Row],[date]])</f>
        <v>2024</v>
      </c>
      <c r="I309" t="s">
        <v>319</v>
      </c>
    </row>
    <row r="310" spans="1:9" x14ac:dyDescent="0.25">
      <c r="A310">
        <v>309</v>
      </c>
      <c r="B310" s="1">
        <v>45440</v>
      </c>
      <c r="C310" t="s">
        <v>158</v>
      </c>
      <c r="D310">
        <v>440</v>
      </c>
      <c r="E310" t="s">
        <v>15</v>
      </c>
      <c r="F310" t="s">
        <v>13</v>
      </c>
      <c r="G310">
        <f>MONTH(cleaned_personal_finance_data3[[#This Row],[date]])</f>
        <v>5</v>
      </c>
      <c r="H310">
        <f>YEAR(cleaned_personal_finance_data3[[#This Row],[date]])</f>
        <v>2024</v>
      </c>
      <c r="I310" t="s">
        <v>319</v>
      </c>
    </row>
    <row r="311" spans="1:9" x14ac:dyDescent="0.25">
      <c r="A311">
        <v>310</v>
      </c>
      <c r="B311" s="1">
        <v>45440</v>
      </c>
      <c r="C311" t="s">
        <v>28</v>
      </c>
      <c r="D311">
        <v>125</v>
      </c>
      <c r="E311" t="s">
        <v>15</v>
      </c>
      <c r="F311" t="s">
        <v>21</v>
      </c>
      <c r="G311">
        <f>MONTH(cleaned_personal_finance_data3[[#This Row],[date]])</f>
        <v>5</v>
      </c>
      <c r="H311">
        <f>YEAR(cleaned_personal_finance_data3[[#This Row],[date]])</f>
        <v>2024</v>
      </c>
      <c r="I311" t="s">
        <v>28</v>
      </c>
    </row>
    <row r="312" spans="1:9" hidden="1" x14ac:dyDescent="0.25">
      <c r="A312">
        <v>311</v>
      </c>
      <c r="B312" s="1">
        <v>45442</v>
      </c>
      <c r="C312" t="s">
        <v>6</v>
      </c>
      <c r="D312">
        <v>12615</v>
      </c>
      <c r="E312" t="s">
        <v>7</v>
      </c>
      <c r="F312" t="s">
        <v>8</v>
      </c>
      <c r="G312">
        <f>MONTH(cleaned_personal_finance_data3[[#This Row],[date]])</f>
        <v>5</v>
      </c>
      <c r="H312">
        <f>YEAR(cleaned_personal_finance_data3[[#This Row],[date]])</f>
        <v>2024</v>
      </c>
      <c r="I312" t="s">
        <v>318</v>
      </c>
    </row>
    <row r="313" spans="1:9" x14ac:dyDescent="0.25">
      <c r="A313">
        <v>312</v>
      </c>
      <c r="B313" s="1">
        <v>45445</v>
      </c>
      <c r="C313" t="s">
        <v>67</v>
      </c>
      <c r="D313">
        <v>105</v>
      </c>
      <c r="E313" t="s">
        <v>15</v>
      </c>
      <c r="F313" t="s">
        <v>13</v>
      </c>
      <c r="G313">
        <f>MONTH(cleaned_personal_finance_data3[[#This Row],[date]])</f>
        <v>6</v>
      </c>
      <c r="H313">
        <f>YEAR(cleaned_personal_finance_data3[[#This Row],[date]])</f>
        <v>2024</v>
      </c>
      <c r="I313" t="s">
        <v>67</v>
      </c>
    </row>
    <row r="314" spans="1:9" x14ac:dyDescent="0.25">
      <c r="A314">
        <v>313</v>
      </c>
      <c r="B314" s="1">
        <v>45447</v>
      </c>
      <c r="C314" t="s">
        <v>28</v>
      </c>
      <c r="D314">
        <v>125</v>
      </c>
      <c r="E314" t="s">
        <v>15</v>
      </c>
      <c r="F314" t="s">
        <v>21</v>
      </c>
      <c r="G314">
        <f>MONTH(cleaned_personal_finance_data3[[#This Row],[date]])</f>
        <v>6</v>
      </c>
      <c r="H314">
        <f>YEAR(cleaned_personal_finance_data3[[#This Row],[date]])</f>
        <v>2024</v>
      </c>
      <c r="I314" t="s">
        <v>28</v>
      </c>
    </row>
    <row r="315" spans="1:9" x14ac:dyDescent="0.25">
      <c r="A315">
        <v>314</v>
      </c>
      <c r="B315" s="1">
        <v>45448</v>
      </c>
      <c r="C315" t="s">
        <v>50</v>
      </c>
      <c r="D315">
        <v>699</v>
      </c>
      <c r="E315" t="s">
        <v>15</v>
      </c>
      <c r="F315" t="s">
        <v>21</v>
      </c>
      <c r="G315">
        <f>MONTH(cleaned_personal_finance_data3[[#This Row],[date]])</f>
        <v>6</v>
      </c>
      <c r="H315">
        <f>YEAR(cleaned_personal_finance_data3[[#This Row],[date]])</f>
        <v>2024</v>
      </c>
      <c r="I315" t="s">
        <v>50</v>
      </c>
    </row>
    <row r="316" spans="1:9" x14ac:dyDescent="0.25">
      <c r="A316">
        <v>315</v>
      </c>
      <c r="B316" s="1">
        <v>45449</v>
      </c>
      <c r="C316" t="s">
        <v>28</v>
      </c>
      <c r="D316">
        <v>125</v>
      </c>
      <c r="E316" t="s">
        <v>15</v>
      </c>
      <c r="F316" t="s">
        <v>21</v>
      </c>
      <c r="G316">
        <f>MONTH(cleaned_personal_finance_data3[[#This Row],[date]])</f>
        <v>6</v>
      </c>
      <c r="H316">
        <f>YEAR(cleaned_personal_finance_data3[[#This Row],[date]])</f>
        <v>2024</v>
      </c>
      <c r="I316" t="s">
        <v>28</v>
      </c>
    </row>
    <row r="317" spans="1:9" x14ac:dyDescent="0.25">
      <c r="A317">
        <v>316</v>
      </c>
      <c r="B317" s="1">
        <v>45449</v>
      </c>
      <c r="C317" t="s">
        <v>38</v>
      </c>
      <c r="D317">
        <v>1500</v>
      </c>
      <c r="E317" t="s">
        <v>15</v>
      </c>
      <c r="F317" t="s">
        <v>13</v>
      </c>
      <c r="G317">
        <f>MONTH(cleaned_personal_finance_data3[[#This Row],[date]])</f>
        <v>6</v>
      </c>
      <c r="H317">
        <f>YEAR(cleaned_personal_finance_data3[[#This Row],[date]])</f>
        <v>2024</v>
      </c>
      <c r="I317" t="s">
        <v>38</v>
      </c>
    </row>
    <row r="318" spans="1:9" x14ac:dyDescent="0.25">
      <c r="A318">
        <v>317</v>
      </c>
      <c r="B318" s="1">
        <v>45449</v>
      </c>
      <c r="C318" t="s">
        <v>24</v>
      </c>
      <c r="D318">
        <v>239</v>
      </c>
      <c r="E318" t="s">
        <v>15</v>
      </c>
      <c r="F318" t="s">
        <v>21</v>
      </c>
      <c r="G318">
        <f>MONTH(cleaned_personal_finance_data3[[#This Row],[date]])</f>
        <v>6</v>
      </c>
      <c r="H318">
        <f>YEAR(cleaned_personal_finance_data3[[#This Row],[date]])</f>
        <v>2024</v>
      </c>
      <c r="I318" t="s">
        <v>24</v>
      </c>
    </row>
    <row r="319" spans="1:9" x14ac:dyDescent="0.25">
      <c r="A319">
        <v>318</v>
      </c>
      <c r="B319" s="1">
        <v>45450</v>
      </c>
      <c r="C319" t="s">
        <v>145</v>
      </c>
      <c r="D319">
        <v>5000</v>
      </c>
      <c r="E319" t="s">
        <v>15</v>
      </c>
      <c r="F319" t="s">
        <v>13</v>
      </c>
      <c r="G319">
        <f>MONTH(cleaned_personal_finance_data3[[#This Row],[date]])</f>
        <v>6</v>
      </c>
      <c r="H319">
        <f>YEAR(cleaned_personal_finance_data3[[#This Row],[date]])</f>
        <v>2024</v>
      </c>
      <c r="I319" t="s">
        <v>145</v>
      </c>
    </row>
    <row r="320" spans="1:9" x14ac:dyDescent="0.25">
      <c r="A320">
        <v>319</v>
      </c>
      <c r="B320" s="1">
        <v>45450</v>
      </c>
      <c r="C320" t="s">
        <v>159</v>
      </c>
      <c r="D320">
        <v>2400</v>
      </c>
      <c r="E320" t="s">
        <v>15</v>
      </c>
      <c r="F320" t="s">
        <v>13</v>
      </c>
      <c r="G320">
        <f>MONTH(cleaned_personal_finance_data3[[#This Row],[date]])</f>
        <v>6</v>
      </c>
      <c r="H320">
        <f>YEAR(cleaned_personal_finance_data3[[#This Row],[date]])</f>
        <v>2024</v>
      </c>
      <c r="I320" t="s">
        <v>159</v>
      </c>
    </row>
    <row r="321" spans="1:9" x14ac:dyDescent="0.25">
      <c r="A321">
        <v>320</v>
      </c>
      <c r="B321" s="1">
        <v>45450</v>
      </c>
      <c r="C321" t="s">
        <v>37</v>
      </c>
      <c r="D321">
        <v>25</v>
      </c>
      <c r="E321" t="s">
        <v>15</v>
      </c>
      <c r="F321" t="s">
        <v>13</v>
      </c>
      <c r="G321">
        <f>MONTH(cleaned_personal_finance_data3[[#This Row],[date]])</f>
        <v>6</v>
      </c>
      <c r="H321">
        <f>YEAR(cleaned_personal_finance_data3[[#This Row],[date]])</f>
        <v>2024</v>
      </c>
      <c r="I321" t="s">
        <v>47</v>
      </c>
    </row>
    <row r="322" spans="1:9" x14ac:dyDescent="0.25">
      <c r="A322">
        <v>321</v>
      </c>
      <c r="B322" s="1">
        <v>45450</v>
      </c>
      <c r="C322" t="s">
        <v>28</v>
      </c>
      <c r="D322">
        <v>25</v>
      </c>
      <c r="E322" t="s">
        <v>15</v>
      </c>
      <c r="F322" t="s">
        <v>21</v>
      </c>
      <c r="G322">
        <f>MONTH(cleaned_personal_finance_data3[[#This Row],[date]])</f>
        <v>6</v>
      </c>
      <c r="H322">
        <f>YEAR(cleaned_personal_finance_data3[[#This Row],[date]])</f>
        <v>2024</v>
      </c>
      <c r="I322" t="s">
        <v>28</v>
      </c>
    </row>
    <row r="323" spans="1:9" x14ac:dyDescent="0.25">
      <c r="A323">
        <v>322</v>
      </c>
      <c r="B323" s="1">
        <v>45450</v>
      </c>
      <c r="C323" t="s">
        <v>28</v>
      </c>
      <c r="D323">
        <v>125</v>
      </c>
      <c r="E323" t="s">
        <v>15</v>
      </c>
      <c r="F323" t="s">
        <v>21</v>
      </c>
      <c r="G323">
        <f>MONTH(cleaned_personal_finance_data3[[#This Row],[date]])</f>
        <v>6</v>
      </c>
      <c r="H323">
        <f>YEAR(cleaned_personal_finance_data3[[#This Row],[date]])</f>
        <v>2024</v>
      </c>
      <c r="I323" t="s">
        <v>28</v>
      </c>
    </row>
    <row r="324" spans="1:9" x14ac:dyDescent="0.25">
      <c r="A324">
        <v>323</v>
      </c>
      <c r="B324" s="1">
        <v>45450</v>
      </c>
      <c r="C324" t="s">
        <v>28</v>
      </c>
      <c r="D324">
        <v>50</v>
      </c>
      <c r="E324" t="s">
        <v>15</v>
      </c>
      <c r="F324" t="s">
        <v>21</v>
      </c>
      <c r="G324">
        <f>MONTH(cleaned_personal_finance_data3[[#This Row],[date]])</f>
        <v>6</v>
      </c>
      <c r="H324">
        <f>YEAR(cleaned_personal_finance_data3[[#This Row],[date]])</f>
        <v>2024</v>
      </c>
      <c r="I324" t="s">
        <v>28</v>
      </c>
    </row>
    <row r="325" spans="1:9" x14ac:dyDescent="0.25">
      <c r="A325">
        <v>324</v>
      </c>
      <c r="B325" s="1">
        <v>45453</v>
      </c>
      <c r="C325" t="s">
        <v>160</v>
      </c>
      <c r="D325">
        <v>240</v>
      </c>
      <c r="E325" t="s">
        <v>15</v>
      </c>
      <c r="F325" t="s">
        <v>13</v>
      </c>
      <c r="G325">
        <f>MONTH(cleaned_personal_finance_data3[[#This Row],[date]])</f>
        <v>6</v>
      </c>
      <c r="H325">
        <f>YEAR(cleaned_personal_finance_data3[[#This Row],[date]])</f>
        <v>2024</v>
      </c>
      <c r="I325" t="s">
        <v>43</v>
      </c>
    </row>
    <row r="326" spans="1:9" x14ac:dyDescent="0.25">
      <c r="A326">
        <v>325</v>
      </c>
      <c r="B326" s="1">
        <v>45453</v>
      </c>
      <c r="C326" t="s">
        <v>161</v>
      </c>
      <c r="D326">
        <v>328</v>
      </c>
      <c r="E326" t="s">
        <v>15</v>
      </c>
      <c r="F326" t="s">
        <v>13</v>
      </c>
      <c r="G326">
        <f>MONTH(cleaned_personal_finance_data3[[#This Row],[date]])</f>
        <v>6</v>
      </c>
      <c r="H326">
        <f>YEAR(cleaned_personal_finance_data3[[#This Row],[date]])</f>
        <v>2024</v>
      </c>
      <c r="I326" t="s">
        <v>161</v>
      </c>
    </row>
    <row r="327" spans="1:9" hidden="1" x14ac:dyDescent="0.25">
      <c r="A327">
        <v>326</v>
      </c>
      <c r="B327" s="1">
        <v>45453</v>
      </c>
      <c r="C327" t="s">
        <v>162</v>
      </c>
      <c r="D327">
        <v>19000</v>
      </c>
      <c r="E327" t="s">
        <v>10</v>
      </c>
      <c r="F327" t="s">
        <v>8</v>
      </c>
      <c r="G327">
        <f>MONTH(cleaned_personal_finance_data3[[#This Row],[date]])</f>
        <v>6</v>
      </c>
      <c r="H327">
        <f>YEAR(cleaned_personal_finance_data3[[#This Row],[date]])</f>
        <v>2024</v>
      </c>
      <c r="I327" t="s">
        <v>162</v>
      </c>
    </row>
    <row r="328" spans="1:9" x14ac:dyDescent="0.25">
      <c r="A328">
        <v>327</v>
      </c>
      <c r="B328" s="1">
        <v>45453</v>
      </c>
      <c r="C328" t="s">
        <v>163</v>
      </c>
      <c r="D328">
        <v>38</v>
      </c>
      <c r="E328" t="s">
        <v>15</v>
      </c>
      <c r="F328" t="s">
        <v>8</v>
      </c>
      <c r="G328">
        <f>MONTH(cleaned_personal_finance_data3[[#This Row],[date]])</f>
        <v>6</v>
      </c>
      <c r="H328">
        <f>YEAR(cleaned_personal_finance_data3[[#This Row],[date]])</f>
        <v>2024</v>
      </c>
      <c r="I328" t="s">
        <v>163</v>
      </c>
    </row>
    <row r="329" spans="1:9" hidden="1" x14ac:dyDescent="0.25">
      <c r="A329">
        <v>328</v>
      </c>
      <c r="B329" s="1">
        <v>45453</v>
      </c>
      <c r="C329" t="s">
        <v>164</v>
      </c>
      <c r="D329">
        <v>19000</v>
      </c>
      <c r="E329" t="s">
        <v>12</v>
      </c>
      <c r="F329" t="s">
        <v>13</v>
      </c>
      <c r="G329">
        <f>MONTH(cleaned_personal_finance_data3[[#This Row],[date]])</f>
        <v>6</v>
      </c>
      <c r="H329">
        <f>YEAR(cleaned_personal_finance_data3[[#This Row],[date]])</f>
        <v>2024</v>
      </c>
      <c r="I329" t="s">
        <v>164</v>
      </c>
    </row>
    <row r="330" spans="1:9" x14ac:dyDescent="0.25">
      <c r="A330">
        <v>329</v>
      </c>
      <c r="B330" s="1">
        <v>45453</v>
      </c>
      <c r="C330" t="s">
        <v>165</v>
      </c>
      <c r="D330">
        <v>170</v>
      </c>
      <c r="E330" t="s">
        <v>15</v>
      </c>
      <c r="F330" t="s">
        <v>13</v>
      </c>
      <c r="G330">
        <f>MONTH(cleaned_personal_finance_data3[[#This Row],[date]])</f>
        <v>6</v>
      </c>
      <c r="H330">
        <f>YEAR(cleaned_personal_finance_data3[[#This Row],[date]])</f>
        <v>2024</v>
      </c>
      <c r="I330" t="s">
        <v>320</v>
      </c>
    </row>
    <row r="331" spans="1:9" x14ac:dyDescent="0.25">
      <c r="A331">
        <v>330</v>
      </c>
      <c r="B331" s="1">
        <v>45453</v>
      </c>
      <c r="C331" t="s">
        <v>166</v>
      </c>
      <c r="D331">
        <v>15</v>
      </c>
      <c r="E331" t="s">
        <v>15</v>
      </c>
      <c r="F331" t="s">
        <v>13</v>
      </c>
      <c r="G331">
        <f>MONTH(cleaned_personal_finance_data3[[#This Row],[date]])</f>
        <v>6</v>
      </c>
      <c r="H331">
        <f>YEAR(cleaned_personal_finance_data3[[#This Row],[date]])</f>
        <v>2024</v>
      </c>
      <c r="I331" t="s">
        <v>43</v>
      </c>
    </row>
    <row r="332" spans="1:9" x14ac:dyDescent="0.25">
      <c r="A332">
        <v>331</v>
      </c>
      <c r="B332" s="1">
        <v>45453</v>
      </c>
      <c r="C332" t="s">
        <v>167</v>
      </c>
      <c r="D332">
        <v>451</v>
      </c>
      <c r="E332" t="s">
        <v>15</v>
      </c>
      <c r="F332" t="s">
        <v>13</v>
      </c>
      <c r="G332">
        <f>MONTH(cleaned_personal_finance_data3[[#This Row],[date]])</f>
        <v>6</v>
      </c>
      <c r="H332">
        <f>YEAR(cleaned_personal_finance_data3[[#This Row],[date]])</f>
        <v>2024</v>
      </c>
      <c r="I332" t="s">
        <v>167</v>
      </c>
    </row>
    <row r="333" spans="1:9" x14ac:dyDescent="0.25">
      <c r="A333">
        <v>332</v>
      </c>
      <c r="B333" s="1">
        <v>45453</v>
      </c>
      <c r="C333" t="s">
        <v>168</v>
      </c>
      <c r="D333">
        <v>5000</v>
      </c>
      <c r="E333" t="s">
        <v>15</v>
      </c>
      <c r="F333" t="s">
        <v>13</v>
      </c>
      <c r="G333">
        <f>MONTH(cleaned_personal_finance_data3[[#This Row],[date]])</f>
        <v>6</v>
      </c>
      <c r="H333">
        <f>YEAR(cleaned_personal_finance_data3[[#This Row],[date]])</f>
        <v>2024</v>
      </c>
      <c r="I333" t="s">
        <v>323</v>
      </c>
    </row>
    <row r="334" spans="1:9" x14ac:dyDescent="0.25">
      <c r="A334">
        <v>333</v>
      </c>
      <c r="B334" s="1">
        <v>45453</v>
      </c>
      <c r="C334" t="s">
        <v>169</v>
      </c>
      <c r="D334">
        <v>70</v>
      </c>
      <c r="E334" t="s">
        <v>15</v>
      </c>
      <c r="F334" t="s">
        <v>13</v>
      </c>
      <c r="G334">
        <f>MONTH(cleaned_personal_finance_data3[[#This Row],[date]])</f>
        <v>6</v>
      </c>
      <c r="H334">
        <f>YEAR(cleaned_personal_finance_data3[[#This Row],[date]])</f>
        <v>2024</v>
      </c>
      <c r="I334" t="s">
        <v>169</v>
      </c>
    </row>
    <row r="335" spans="1:9" x14ac:dyDescent="0.25">
      <c r="A335">
        <v>334</v>
      </c>
      <c r="B335" s="1">
        <v>45453</v>
      </c>
      <c r="C335" t="s">
        <v>170</v>
      </c>
      <c r="D335">
        <v>320</v>
      </c>
      <c r="E335" t="s">
        <v>15</v>
      </c>
      <c r="F335" t="s">
        <v>13</v>
      </c>
      <c r="G335">
        <f>MONTH(cleaned_personal_finance_data3[[#This Row],[date]])</f>
        <v>6</v>
      </c>
      <c r="H335">
        <f>YEAR(cleaned_personal_finance_data3[[#This Row],[date]])</f>
        <v>2024</v>
      </c>
      <c r="I335" t="s">
        <v>170</v>
      </c>
    </row>
    <row r="336" spans="1:9" x14ac:dyDescent="0.25">
      <c r="A336">
        <v>335</v>
      </c>
      <c r="B336" s="1">
        <v>45453</v>
      </c>
      <c r="C336" t="s">
        <v>171</v>
      </c>
      <c r="D336">
        <v>360</v>
      </c>
      <c r="E336" t="s">
        <v>15</v>
      </c>
      <c r="F336" t="s">
        <v>13</v>
      </c>
      <c r="G336">
        <f>MONTH(cleaned_personal_finance_data3[[#This Row],[date]])</f>
        <v>6</v>
      </c>
      <c r="H336">
        <f>YEAR(cleaned_personal_finance_data3[[#This Row],[date]])</f>
        <v>2024</v>
      </c>
      <c r="I336" t="s">
        <v>43</v>
      </c>
    </row>
    <row r="337" spans="1:9" hidden="1" x14ac:dyDescent="0.25">
      <c r="A337">
        <v>336</v>
      </c>
      <c r="B337" s="1">
        <v>45453</v>
      </c>
      <c r="C337" t="s">
        <v>20</v>
      </c>
      <c r="D337">
        <v>200</v>
      </c>
      <c r="E337" t="s">
        <v>10</v>
      </c>
      <c r="F337" t="s">
        <v>13</v>
      </c>
      <c r="G337">
        <f>MONTH(cleaned_personal_finance_data3[[#This Row],[date]])</f>
        <v>6</v>
      </c>
      <c r="H337">
        <f>YEAR(cleaned_personal_finance_data3[[#This Row],[date]])</f>
        <v>2024</v>
      </c>
      <c r="I337" t="s">
        <v>20</v>
      </c>
    </row>
    <row r="338" spans="1:9" hidden="1" x14ac:dyDescent="0.25">
      <c r="A338">
        <v>337</v>
      </c>
      <c r="B338" s="1">
        <v>45453</v>
      </c>
      <c r="C338" t="s">
        <v>20</v>
      </c>
      <c r="D338">
        <v>200</v>
      </c>
      <c r="E338" t="s">
        <v>12</v>
      </c>
      <c r="F338" t="s">
        <v>21</v>
      </c>
      <c r="G338">
        <f>MONTH(cleaned_personal_finance_data3[[#This Row],[date]])</f>
        <v>6</v>
      </c>
      <c r="H338">
        <f>YEAR(cleaned_personal_finance_data3[[#This Row],[date]])</f>
        <v>2024</v>
      </c>
      <c r="I338" t="s">
        <v>20</v>
      </c>
    </row>
    <row r="339" spans="1:9" x14ac:dyDescent="0.25">
      <c r="A339">
        <v>338</v>
      </c>
      <c r="B339" s="1">
        <v>45453</v>
      </c>
      <c r="C339" t="s">
        <v>64</v>
      </c>
      <c r="D339">
        <v>199</v>
      </c>
      <c r="E339" t="s">
        <v>15</v>
      </c>
      <c r="F339" t="s">
        <v>21</v>
      </c>
      <c r="G339">
        <f>MONTH(cleaned_personal_finance_data3[[#This Row],[date]])</f>
        <v>6</v>
      </c>
      <c r="H339">
        <f>YEAR(cleaned_personal_finance_data3[[#This Row],[date]])</f>
        <v>2024</v>
      </c>
      <c r="I339" t="s">
        <v>64</v>
      </c>
    </row>
    <row r="340" spans="1:9" hidden="1" x14ac:dyDescent="0.25">
      <c r="A340">
        <v>339</v>
      </c>
      <c r="B340" s="1">
        <v>45454</v>
      </c>
      <c r="C340" t="s">
        <v>172</v>
      </c>
      <c r="D340">
        <v>1500</v>
      </c>
      <c r="E340" t="s">
        <v>12</v>
      </c>
      <c r="F340" t="s">
        <v>21</v>
      </c>
      <c r="G340">
        <f>MONTH(cleaned_personal_finance_data3[[#This Row],[date]])</f>
        <v>6</v>
      </c>
      <c r="H340">
        <f>YEAR(cleaned_personal_finance_data3[[#This Row],[date]])</f>
        <v>2024</v>
      </c>
      <c r="I340" t="s">
        <v>20</v>
      </c>
    </row>
    <row r="341" spans="1:9" hidden="1" x14ac:dyDescent="0.25">
      <c r="A341">
        <v>340</v>
      </c>
      <c r="B341" s="1">
        <v>45454</v>
      </c>
      <c r="C341" t="s">
        <v>173</v>
      </c>
      <c r="D341">
        <v>750</v>
      </c>
      <c r="E341" t="s">
        <v>10</v>
      </c>
      <c r="F341" t="s">
        <v>21</v>
      </c>
      <c r="G341">
        <f>MONTH(cleaned_personal_finance_data3[[#This Row],[date]])</f>
        <v>6</v>
      </c>
      <c r="H341">
        <f>YEAR(cleaned_personal_finance_data3[[#This Row],[date]])</f>
        <v>2024</v>
      </c>
      <c r="I341" t="s">
        <v>173</v>
      </c>
    </row>
    <row r="342" spans="1:9" hidden="1" x14ac:dyDescent="0.25">
      <c r="A342">
        <v>341</v>
      </c>
      <c r="B342" s="1">
        <v>45456</v>
      </c>
      <c r="C342" t="s">
        <v>131</v>
      </c>
      <c r="D342">
        <v>12615</v>
      </c>
      <c r="E342" t="s">
        <v>7</v>
      </c>
      <c r="F342" t="s">
        <v>8</v>
      </c>
      <c r="G342">
        <f>MONTH(cleaned_personal_finance_data3[[#This Row],[date]])</f>
        <v>6</v>
      </c>
      <c r="H342">
        <f>YEAR(cleaned_personal_finance_data3[[#This Row],[date]])</f>
        <v>2024</v>
      </c>
      <c r="I342" t="s">
        <v>318</v>
      </c>
    </row>
    <row r="343" spans="1:9" x14ac:dyDescent="0.25">
      <c r="A343">
        <v>342</v>
      </c>
      <c r="B343" s="1">
        <v>45456</v>
      </c>
      <c r="C343" t="s">
        <v>28</v>
      </c>
      <c r="D343">
        <v>125</v>
      </c>
      <c r="E343" t="s">
        <v>15</v>
      </c>
      <c r="F343" t="s">
        <v>21</v>
      </c>
      <c r="G343">
        <f>MONTH(cleaned_personal_finance_data3[[#This Row],[date]])</f>
        <v>6</v>
      </c>
      <c r="H343">
        <f>YEAR(cleaned_personal_finance_data3[[#This Row],[date]])</f>
        <v>2024</v>
      </c>
      <c r="I343" t="s">
        <v>28</v>
      </c>
    </row>
    <row r="344" spans="1:9" x14ac:dyDescent="0.25">
      <c r="A344">
        <v>343</v>
      </c>
      <c r="B344" s="1">
        <v>45457</v>
      </c>
      <c r="C344" t="s">
        <v>28</v>
      </c>
      <c r="D344">
        <v>50</v>
      </c>
      <c r="E344" t="s">
        <v>15</v>
      </c>
      <c r="F344" t="s">
        <v>21</v>
      </c>
      <c r="G344">
        <f>MONTH(cleaned_personal_finance_data3[[#This Row],[date]])</f>
        <v>6</v>
      </c>
      <c r="H344">
        <f>YEAR(cleaned_personal_finance_data3[[#This Row],[date]])</f>
        <v>2024</v>
      </c>
      <c r="I344" t="s">
        <v>28</v>
      </c>
    </row>
    <row r="345" spans="1:9" x14ac:dyDescent="0.25">
      <c r="A345">
        <v>344</v>
      </c>
      <c r="B345" s="1">
        <v>45458</v>
      </c>
      <c r="C345" t="s">
        <v>103</v>
      </c>
      <c r="D345">
        <v>260</v>
      </c>
      <c r="E345" t="s">
        <v>15</v>
      </c>
      <c r="F345" t="s">
        <v>13</v>
      </c>
      <c r="G345">
        <f>MONTH(cleaned_personal_finance_data3[[#This Row],[date]])</f>
        <v>6</v>
      </c>
      <c r="H345">
        <f>YEAR(cleaned_personal_finance_data3[[#This Row],[date]])</f>
        <v>2024</v>
      </c>
      <c r="I345" t="s">
        <v>329</v>
      </c>
    </row>
    <row r="346" spans="1:9" hidden="1" x14ac:dyDescent="0.25">
      <c r="A346">
        <v>345</v>
      </c>
      <c r="B346" s="1">
        <v>45458</v>
      </c>
      <c r="C346" t="s">
        <v>20</v>
      </c>
      <c r="D346">
        <v>3000</v>
      </c>
      <c r="E346" t="s">
        <v>10</v>
      </c>
      <c r="F346" t="s">
        <v>13</v>
      </c>
      <c r="G346">
        <f>MONTH(cleaned_personal_finance_data3[[#This Row],[date]])</f>
        <v>6</v>
      </c>
      <c r="H346">
        <f>YEAR(cleaned_personal_finance_data3[[#This Row],[date]])</f>
        <v>2024</v>
      </c>
      <c r="I346" t="s">
        <v>20</v>
      </c>
    </row>
    <row r="347" spans="1:9" hidden="1" x14ac:dyDescent="0.25">
      <c r="A347">
        <v>346</v>
      </c>
      <c r="B347" s="1">
        <v>45458</v>
      </c>
      <c r="C347" t="s">
        <v>174</v>
      </c>
      <c r="D347">
        <v>3000</v>
      </c>
      <c r="E347" t="s">
        <v>12</v>
      </c>
      <c r="F347" t="s">
        <v>21</v>
      </c>
      <c r="G347">
        <f>MONTH(cleaned_personal_finance_data3[[#This Row],[date]])</f>
        <v>6</v>
      </c>
      <c r="H347">
        <f>YEAR(cleaned_personal_finance_data3[[#This Row],[date]])</f>
        <v>2024</v>
      </c>
      <c r="I347" t="s">
        <v>174</v>
      </c>
    </row>
    <row r="348" spans="1:9" x14ac:dyDescent="0.25">
      <c r="A348">
        <v>347</v>
      </c>
      <c r="B348" s="1">
        <v>45462</v>
      </c>
      <c r="C348" t="s">
        <v>87</v>
      </c>
      <c r="D348">
        <v>250</v>
      </c>
      <c r="E348" t="s">
        <v>15</v>
      </c>
      <c r="F348" t="s">
        <v>13</v>
      </c>
      <c r="G348">
        <f>MONTH(cleaned_personal_finance_data3[[#This Row],[date]])</f>
        <v>6</v>
      </c>
      <c r="H348">
        <f>YEAR(cleaned_personal_finance_data3[[#This Row],[date]])</f>
        <v>2024</v>
      </c>
      <c r="I348" t="s">
        <v>87</v>
      </c>
    </row>
    <row r="349" spans="1:9" x14ac:dyDescent="0.25">
      <c r="A349">
        <v>348</v>
      </c>
      <c r="B349" s="1">
        <v>45462</v>
      </c>
      <c r="C349" t="s">
        <v>175</v>
      </c>
      <c r="D349">
        <v>75</v>
      </c>
      <c r="E349" t="s">
        <v>15</v>
      </c>
      <c r="F349" t="s">
        <v>13</v>
      </c>
      <c r="G349">
        <f>MONTH(cleaned_personal_finance_data3[[#This Row],[date]])</f>
        <v>6</v>
      </c>
      <c r="H349">
        <f>YEAR(cleaned_personal_finance_data3[[#This Row],[date]])</f>
        <v>2024</v>
      </c>
      <c r="I349" t="s">
        <v>159</v>
      </c>
    </row>
    <row r="350" spans="1:9" x14ac:dyDescent="0.25">
      <c r="A350">
        <v>349</v>
      </c>
      <c r="B350" s="1">
        <v>45463</v>
      </c>
      <c r="C350" t="s">
        <v>64</v>
      </c>
      <c r="D350">
        <v>199</v>
      </c>
      <c r="E350" t="s">
        <v>15</v>
      </c>
      <c r="F350" t="s">
        <v>21</v>
      </c>
      <c r="G350">
        <f>MONTH(cleaned_personal_finance_data3[[#This Row],[date]])</f>
        <v>6</v>
      </c>
      <c r="H350">
        <f>YEAR(cleaned_personal_finance_data3[[#This Row],[date]])</f>
        <v>2024</v>
      </c>
      <c r="I350" t="s">
        <v>64</v>
      </c>
    </row>
    <row r="351" spans="1:9" x14ac:dyDescent="0.25">
      <c r="A351">
        <v>350</v>
      </c>
      <c r="B351" s="1">
        <v>45463</v>
      </c>
      <c r="C351" t="s">
        <v>28</v>
      </c>
      <c r="D351">
        <v>50</v>
      </c>
      <c r="E351" t="s">
        <v>15</v>
      </c>
      <c r="F351" t="s">
        <v>21</v>
      </c>
      <c r="G351">
        <f>MONTH(cleaned_personal_finance_data3[[#This Row],[date]])</f>
        <v>6</v>
      </c>
      <c r="H351">
        <f>YEAR(cleaned_personal_finance_data3[[#This Row],[date]])</f>
        <v>2024</v>
      </c>
      <c r="I351" t="s">
        <v>28</v>
      </c>
    </row>
    <row r="352" spans="1:9" x14ac:dyDescent="0.25">
      <c r="A352">
        <v>351</v>
      </c>
      <c r="B352" s="1">
        <v>45464</v>
      </c>
      <c r="C352" t="s">
        <v>34</v>
      </c>
      <c r="D352">
        <v>129</v>
      </c>
      <c r="E352" t="s">
        <v>15</v>
      </c>
      <c r="F352" t="s">
        <v>21</v>
      </c>
      <c r="G352">
        <f>MONTH(cleaned_personal_finance_data3[[#This Row],[date]])</f>
        <v>6</v>
      </c>
      <c r="H352">
        <f>YEAR(cleaned_personal_finance_data3[[#This Row],[date]])</f>
        <v>2024</v>
      </c>
      <c r="I352" t="s">
        <v>34</v>
      </c>
    </row>
    <row r="353" spans="1:9" x14ac:dyDescent="0.25">
      <c r="A353">
        <v>352</v>
      </c>
      <c r="B353" s="1">
        <v>45465</v>
      </c>
      <c r="C353" t="s">
        <v>176</v>
      </c>
      <c r="D353">
        <v>129</v>
      </c>
      <c r="E353" t="s">
        <v>15</v>
      </c>
      <c r="F353" t="s">
        <v>21</v>
      </c>
      <c r="G353">
        <f>MONTH(cleaned_personal_finance_data3[[#This Row],[date]])</f>
        <v>6</v>
      </c>
      <c r="H353">
        <f>YEAR(cleaned_personal_finance_data3[[#This Row],[date]])</f>
        <v>2024</v>
      </c>
      <c r="I353" t="s">
        <v>176</v>
      </c>
    </row>
    <row r="354" spans="1:9" x14ac:dyDescent="0.25">
      <c r="A354">
        <v>353</v>
      </c>
      <c r="B354" s="1">
        <v>45466</v>
      </c>
      <c r="C354" t="s">
        <v>28</v>
      </c>
      <c r="D354">
        <v>50</v>
      </c>
      <c r="E354" t="s">
        <v>15</v>
      </c>
      <c r="F354" t="s">
        <v>21</v>
      </c>
      <c r="G354">
        <f>MONTH(cleaned_personal_finance_data3[[#This Row],[date]])</f>
        <v>6</v>
      </c>
      <c r="H354">
        <f>YEAR(cleaned_personal_finance_data3[[#This Row],[date]])</f>
        <v>2024</v>
      </c>
      <c r="I354" t="s">
        <v>28</v>
      </c>
    </row>
    <row r="355" spans="1:9" x14ac:dyDescent="0.25">
      <c r="A355">
        <v>354</v>
      </c>
      <c r="B355" s="1">
        <v>45466</v>
      </c>
      <c r="C355" t="s">
        <v>28</v>
      </c>
      <c r="D355">
        <v>50</v>
      </c>
      <c r="E355" t="s">
        <v>15</v>
      </c>
      <c r="F355" t="s">
        <v>21</v>
      </c>
      <c r="G355">
        <f>MONTH(cleaned_personal_finance_data3[[#This Row],[date]])</f>
        <v>6</v>
      </c>
      <c r="H355">
        <f>YEAR(cleaned_personal_finance_data3[[#This Row],[date]])</f>
        <v>2024</v>
      </c>
      <c r="I355" t="s">
        <v>28</v>
      </c>
    </row>
    <row r="356" spans="1:9" x14ac:dyDescent="0.25">
      <c r="A356">
        <v>355</v>
      </c>
      <c r="B356" s="1">
        <v>45466</v>
      </c>
      <c r="C356" t="s">
        <v>28</v>
      </c>
      <c r="D356">
        <v>125</v>
      </c>
      <c r="E356" t="s">
        <v>15</v>
      </c>
      <c r="F356" t="s">
        <v>21</v>
      </c>
      <c r="G356">
        <f>MONTH(cleaned_personal_finance_data3[[#This Row],[date]])</f>
        <v>6</v>
      </c>
      <c r="H356">
        <f>YEAR(cleaned_personal_finance_data3[[#This Row],[date]])</f>
        <v>2024</v>
      </c>
      <c r="I356" t="s">
        <v>28</v>
      </c>
    </row>
    <row r="357" spans="1:9" x14ac:dyDescent="0.25">
      <c r="A357">
        <v>356</v>
      </c>
      <c r="B357" s="1">
        <v>45466</v>
      </c>
      <c r="C357" t="s">
        <v>87</v>
      </c>
      <c r="D357">
        <v>240</v>
      </c>
      <c r="E357" t="s">
        <v>15</v>
      </c>
      <c r="F357" t="s">
        <v>13</v>
      </c>
      <c r="G357">
        <f>MONTH(cleaned_personal_finance_data3[[#This Row],[date]])</f>
        <v>6</v>
      </c>
      <c r="H357">
        <f>YEAR(cleaned_personal_finance_data3[[#This Row],[date]])</f>
        <v>2024</v>
      </c>
      <c r="I357" t="s">
        <v>87</v>
      </c>
    </row>
    <row r="358" spans="1:9" hidden="1" x14ac:dyDescent="0.25">
      <c r="A358">
        <v>357</v>
      </c>
      <c r="B358" s="1">
        <v>45470</v>
      </c>
      <c r="C358" t="s">
        <v>6</v>
      </c>
      <c r="D358">
        <v>12616</v>
      </c>
      <c r="E358" t="s">
        <v>7</v>
      </c>
      <c r="F358" t="s">
        <v>13</v>
      </c>
      <c r="G358">
        <f>MONTH(cleaned_personal_finance_data3[[#This Row],[date]])</f>
        <v>6</v>
      </c>
      <c r="H358">
        <f>YEAR(cleaned_personal_finance_data3[[#This Row],[date]])</f>
        <v>2024</v>
      </c>
      <c r="I358" t="s">
        <v>318</v>
      </c>
    </row>
    <row r="359" spans="1:9" x14ac:dyDescent="0.25">
      <c r="A359">
        <v>358</v>
      </c>
      <c r="B359" s="1">
        <v>45470</v>
      </c>
      <c r="C359" t="s">
        <v>28</v>
      </c>
      <c r="D359">
        <v>50</v>
      </c>
      <c r="E359" t="s">
        <v>15</v>
      </c>
      <c r="F359" t="s">
        <v>21</v>
      </c>
      <c r="G359">
        <f>MONTH(cleaned_personal_finance_data3[[#This Row],[date]])</f>
        <v>6</v>
      </c>
      <c r="H359">
        <f>YEAR(cleaned_personal_finance_data3[[#This Row],[date]])</f>
        <v>2024</v>
      </c>
      <c r="I359" t="s">
        <v>28</v>
      </c>
    </row>
    <row r="360" spans="1:9" x14ac:dyDescent="0.25">
      <c r="A360">
        <v>359</v>
      </c>
      <c r="B360" s="1">
        <v>45470</v>
      </c>
      <c r="C360" t="s">
        <v>28</v>
      </c>
      <c r="D360">
        <v>50</v>
      </c>
      <c r="E360" t="s">
        <v>15</v>
      </c>
      <c r="F360" t="s">
        <v>21</v>
      </c>
      <c r="G360">
        <f>MONTH(cleaned_personal_finance_data3[[#This Row],[date]])</f>
        <v>6</v>
      </c>
      <c r="H360">
        <f>YEAR(cleaned_personal_finance_data3[[#This Row],[date]])</f>
        <v>2024</v>
      </c>
      <c r="I360" t="s">
        <v>28</v>
      </c>
    </row>
    <row r="361" spans="1:9" x14ac:dyDescent="0.25">
      <c r="A361">
        <v>360</v>
      </c>
      <c r="B361" s="1">
        <v>45471</v>
      </c>
      <c r="C361" t="s">
        <v>176</v>
      </c>
      <c r="D361">
        <v>129</v>
      </c>
      <c r="E361" t="s">
        <v>15</v>
      </c>
      <c r="F361" t="s">
        <v>21</v>
      </c>
      <c r="G361">
        <f>MONTH(cleaned_personal_finance_data3[[#This Row],[date]])</f>
        <v>6</v>
      </c>
      <c r="H361">
        <f>YEAR(cleaned_personal_finance_data3[[#This Row],[date]])</f>
        <v>2024</v>
      </c>
      <c r="I361" t="s">
        <v>176</v>
      </c>
    </row>
    <row r="362" spans="1:9" x14ac:dyDescent="0.25">
      <c r="A362">
        <v>361</v>
      </c>
      <c r="B362" s="1">
        <v>45471</v>
      </c>
      <c r="C362" t="s">
        <v>28</v>
      </c>
      <c r="D362">
        <v>125</v>
      </c>
      <c r="E362" t="s">
        <v>15</v>
      </c>
      <c r="F362" t="s">
        <v>21</v>
      </c>
      <c r="G362">
        <f>MONTH(cleaned_personal_finance_data3[[#This Row],[date]])</f>
        <v>6</v>
      </c>
      <c r="H362">
        <f>YEAR(cleaned_personal_finance_data3[[#This Row],[date]])</f>
        <v>2024</v>
      </c>
      <c r="I362" t="s">
        <v>28</v>
      </c>
    </row>
    <row r="363" spans="1:9" x14ac:dyDescent="0.25">
      <c r="A363">
        <v>362</v>
      </c>
      <c r="B363" s="1">
        <v>45471</v>
      </c>
      <c r="C363" t="s">
        <v>177</v>
      </c>
      <c r="D363">
        <v>150</v>
      </c>
      <c r="E363" t="s">
        <v>15</v>
      </c>
      <c r="F363" t="s">
        <v>21</v>
      </c>
      <c r="G363">
        <f>MONTH(cleaned_personal_finance_data3[[#This Row],[date]])</f>
        <v>6</v>
      </c>
      <c r="H363">
        <f>YEAR(cleaned_personal_finance_data3[[#This Row],[date]])</f>
        <v>2024</v>
      </c>
      <c r="I363" t="s">
        <v>323</v>
      </c>
    </row>
    <row r="364" spans="1:9" x14ac:dyDescent="0.25">
      <c r="A364">
        <v>363</v>
      </c>
      <c r="B364" s="1">
        <v>45471</v>
      </c>
      <c r="C364" t="s">
        <v>178</v>
      </c>
      <c r="D364">
        <v>150</v>
      </c>
      <c r="E364" t="s">
        <v>15</v>
      </c>
      <c r="F364" t="s">
        <v>13</v>
      </c>
      <c r="G364">
        <f>MONTH(cleaned_personal_finance_data3[[#This Row],[date]])</f>
        <v>6</v>
      </c>
      <c r="H364">
        <f>YEAR(cleaned_personal_finance_data3[[#This Row],[date]])</f>
        <v>2024</v>
      </c>
      <c r="I364" t="s">
        <v>43</v>
      </c>
    </row>
    <row r="365" spans="1:9" x14ac:dyDescent="0.25">
      <c r="A365">
        <v>364</v>
      </c>
      <c r="B365" s="1">
        <v>45471</v>
      </c>
      <c r="C365" t="s">
        <v>167</v>
      </c>
      <c r="D365">
        <v>178</v>
      </c>
      <c r="E365" t="s">
        <v>15</v>
      </c>
      <c r="F365" t="s">
        <v>13</v>
      </c>
      <c r="G365">
        <f>MONTH(cleaned_personal_finance_data3[[#This Row],[date]])</f>
        <v>6</v>
      </c>
      <c r="H365">
        <f>YEAR(cleaned_personal_finance_data3[[#This Row],[date]])</f>
        <v>2024</v>
      </c>
      <c r="I365" t="s">
        <v>167</v>
      </c>
    </row>
    <row r="366" spans="1:9" x14ac:dyDescent="0.25">
      <c r="A366">
        <v>365</v>
      </c>
      <c r="B366" s="1">
        <v>45471</v>
      </c>
      <c r="C366" t="s">
        <v>179</v>
      </c>
      <c r="D366">
        <v>16</v>
      </c>
      <c r="E366" t="s">
        <v>15</v>
      </c>
      <c r="F366" t="s">
        <v>13</v>
      </c>
      <c r="G366">
        <f>MONTH(cleaned_personal_finance_data3[[#This Row],[date]])</f>
        <v>6</v>
      </c>
      <c r="H366">
        <f>YEAR(cleaned_personal_finance_data3[[#This Row],[date]])</f>
        <v>2024</v>
      </c>
      <c r="I366" t="s">
        <v>179</v>
      </c>
    </row>
    <row r="367" spans="1:9" x14ac:dyDescent="0.25">
      <c r="A367">
        <v>366</v>
      </c>
      <c r="B367" s="1">
        <v>45471</v>
      </c>
      <c r="C367" t="s">
        <v>180</v>
      </c>
      <c r="D367">
        <v>10</v>
      </c>
      <c r="E367" t="s">
        <v>15</v>
      </c>
      <c r="F367" t="s">
        <v>13</v>
      </c>
      <c r="G367">
        <f>MONTH(cleaned_personal_finance_data3[[#This Row],[date]])</f>
        <v>6</v>
      </c>
      <c r="H367">
        <f>YEAR(cleaned_personal_finance_data3[[#This Row],[date]])</f>
        <v>2024</v>
      </c>
      <c r="I367" t="s">
        <v>43</v>
      </c>
    </row>
    <row r="368" spans="1:9" x14ac:dyDescent="0.25">
      <c r="A368">
        <v>367</v>
      </c>
      <c r="B368" s="1">
        <v>45471</v>
      </c>
      <c r="C368" t="s">
        <v>67</v>
      </c>
      <c r="D368">
        <v>12</v>
      </c>
      <c r="E368" t="s">
        <v>15</v>
      </c>
      <c r="F368" t="s">
        <v>13</v>
      </c>
      <c r="G368">
        <f>MONTH(cleaned_personal_finance_data3[[#This Row],[date]])</f>
        <v>6</v>
      </c>
      <c r="H368">
        <f>YEAR(cleaned_personal_finance_data3[[#This Row],[date]])</f>
        <v>2024</v>
      </c>
      <c r="I368" t="s">
        <v>67</v>
      </c>
    </row>
    <row r="369" spans="1:9" x14ac:dyDescent="0.25">
      <c r="A369">
        <v>368</v>
      </c>
      <c r="B369" s="1">
        <v>45471</v>
      </c>
      <c r="C369" t="s">
        <v>181</v>
      </c>
      <c r="D369">
        <v>150</v>
      </c>
      <c r="E369" t="s">
        <v>15</v>
      </c>
      <c r="F369" t="s">
        <v>13</v>
      </c>
      <c r="G369">
        <f>MONTH(cleaned_personal_finance_data3[[#This Row],[date]])</f>
        <v>6</v>
      </c>
      <c r="H369">
        <f>YEAR(cleaned_personal_finance_data3[[#This Row],[date]])</f>
        <v>2024</v>
      </c>
      <c r="I369" t="s">
        <v>43</v>
      </c>
    </row>
    <row r="370" spans="1:9" x14ac:dyDescent="0.25">
      <c r="A370">
        <v>369</v>
      </c>
      <c r="B370" s="1">
        <v>45471</v>
      </c>
      <c r="C370" t="s">
        <v>76</v>
      </c>
      <c r="D370">
        <v>50</v>
      </c>
      <c r="E370" t="s">
        <v>15</v>
      </c>
      <c r="F370" t="s">
        <v>13</v>
      </c>
      <c r="G370">
        <f>MONTH(cleaned_personal_finance_data3[[#This Row],[date]])</f>
        <v>6</v>
      </c>
      <c r="H370">
        <f>YEAR(cleaned_personal_finance_data3[[#This Row],[date]])</f>
        <v>2024</v>
      </c>
      <c r="I370" t="s">
        <v>43</v>
      </c>
    </row>
    <row r="371" spans="1:9" hidden="1" x14ac:dyDescent="0.25">
      <c r="A371">
        <v>370</v>
      </c>
      <c r="B371" s="1">
        <v>45471</v>
      </c>
      <c r="C371" t="s">
        <v>136</v>
      </c>
      <c r="D371">
        <v>220000</v>
      </c>
      <c r="E371" t="s">
        <v>10</v>
      </c>
      <c r="F371" t="s">
        <v>8</v>
      </c>
      <c r="G371">
        <f>MONTH(cleaned_personal_finance_data3[[#This Row],[date]])</f>
        <v>6</v>
      </c>
      <c r="H371">
        <f>YEAR(cleaned_personal_finance_data3[[#This Row],[date]])</f>
        <v>2024</v>
      </c>
      <c r="I371" t="s">
        <v>136</v>
      </c>
    </row>
    <row r="372" spans="1:9" hidden="1" x14ac:dyDescent="0.25">
      <c r="A372">
        <v>371</v>
      </c>
      <c r="B372" s="1">
        <v>45471</v>
      </c>
      <c r="C372" t="s">
        <v>11</v>
      </c>
      <c r="D372">
        <v>220000</v>
      </c>
      <c r="E372" t="s">
        <v>12</v>
      </c>
      <c r="F372" t="s">
        <v>13</v>
      </c>
      <c r="G372">
        <f>MONTH(cleaned_personal_finance_data3[[#This Row],[date]])</f>
        <v>6</v>
      </c>
      <c r="H372">
        <f>YEAR(cleaned_personal_finance_data3[[#This Row],[date]])</f>
        <v>2024</v>
      </c>
      <c r="I372" t="s">
        <v>11</v>
      </c>
    </row>
    <row r="373" spans="1:9" x14ac:dyDescent="0.25">
      <c r="A373">
        <v>372</v>
      </c>
      <c r="B373" s="1">
        <v>45474</v>
      </c>
      <c r="C373" t="s">
        <v>64</v>
      </c>
      <c r="D373">
        <v>199</v>
      </c>
      <c r="E373" t="s">
        <v>15</v>
      </c>
      <c r="F373" t="s">
        <v>21</v>
      </c>
      <c r="G373">
        <f>MONTH(cleaned_personal_finance_data3[[#This Row],[date]])</f>
        <v>7</v>
      </c>
      <c r="H373">
        <f>YEAR(cleaned_personal_finance_data3[[#This Row],[date]])</f>
        <v>2024</v>
      </c>
      <c r="I373" t="s">
        <v>64</v>
      </c>
    </row>
    <row r="374" spans="1:9" x14ac:dyDescent="0.25">
      <c r="A374">
        <v>373</v>
      </c>
      <c r="B374" s="1">
        <v>45477</v>
      </c>
      <c r="C374" t="s">
        <v>145</v>
      </c>
      <c r="D374">
        <v>5000</v>
      </c>
      <c r="E374" t="s">
        <v>15</v>
      </c>
      <c r="F374" t="s">
        <v>13</v>
      </c>
      <c r="G374">
        <f>MONTH(cleaned_personal_finance_data3[[#This Row],[date]])</f>
        <v>7</v>
      </c>
      <c r="H374">
        <f>YEAR(cleaned_personal_finance_data3[[#This Row],[date]])</f>
        <v>2024</v>
      </c>
      <c r="I374" t="s">
        <v>145</v>
      </c>
    </row>
    <row r="375" spans="1:9" x14ac:dyDescent="0.25">
      <c r="A375">
        <v>374</v>
      </c>
      <c r="B375" s="1">
        <v>45477</v>
      </c>
      <c r="C375" t="s">
        <v>103</v>
      </c>
      <c r="D375">
        <v>260</v>
      </c>
      <c r="E375" t="s">
        <v>15</v>
      </c>
      <c r="F375" t="s">
        <v>13</v>
      </c>
      <c r="G375">
        <f>MONTH(cleaned_personal_finance_data3[[#This Row],[date]])</f>
        <v>7</v>
      </c>
      <c r="H375">
        <f>YEAR(cleaned_personal_finance_data3[[#This Row],[date]])</f>
        <v>2024</v>
      </c>
      <c r="I375" t="s">
        <v>329</v>
      </c>
    </row>
    <row r="376" spans="1:9" x14ac:dyDescent="0.25">
      <c r="A376">
        <v>375</v>
      </c>
      <c r="B376" s="1">
        <v>45479</v>
      </c>
      <c r="C376" t="s">
        <v>24</v>
      </c>
      <c r="D376">
        <v>239</v>
      </c>
      <c r="E376" t="s">
        <v>15</v>
      </c>
      <c r="F376" t="s">
        <v>21</v>
      </c>
      <c r="G376">
        <f>MONTH(cleaned_personal_finance_data3[[#This Row],[date]])</f>
        <v>7</v>
      </c>
      <c r="H376">
        <f>YEAR(cleaned_personal_finance_data3[[#This Row],[date]])</f>
        <v>2024</v>
      </c>
      <c r="I376" t="s">
        <v>24</v>
      </c>
    </row>
    <row r="377" spans="1:9" x14ac:dyDescent="0.25">
      <c r="A377">
        <v>376</v>
      </c>
      <c r="B377" s="1">
        <v>45483</v>
      </c>
      <c r="C377" t="s">
        <v>182</v>
      </c>
      <c r="D377">
        <v>144</v>
      </c>
      <c r="E377" t="s">
        <v>15</v>
      </c>
      <c r="F377" t="s">
        <v>13</v>
      </c>
      <c r="G377">
        <f>MONTH(cleaned_personal_finance_data3[[#This Row],[date]])</f>
        <v>7</v>
      </c>
      <c r="H377">
        <f>YEAR(cleaned_personal_finance_data3[[#This Row],[date]])</f>
        <v>2024</v>
      </c>
      <c r="I377" t="s">
        <v>47</v>
      </c>
    </row>
    <row r="378" spans="1:9" x14ac:dyDescent="0.25">
      <c r="A378">
        <v>377</v>
      </c>
      <c r="B378" s="1">
        <v>45483</v>
      </c>
      <c r="C378" t="s">
        <v>183</v>
      </c>
      <c r="D378">
        <v>188</v>
      </c>
      <c r="E378" t="s">
        <v>15</v>
      </c>
      <c r="F378" t="s">
        <v>21</v>
      </c>
      <c r="G378">
        <f>MONTH(cleaned_personal_finance_data3[[#This Row],[date]])</f>
        <v>7</v>
      </c>
      <c r="H378">
        <f>YEAR(cleaned_personal_finance_data3[[#This Row],[date]])</f>
        <v>2024</v>
      </c>
      <c r="I378" t="s">
        <v>324</v>
      </c>
    </row>
    <row r="379" spans="1:9" x14ac:dyDescent="0.25">
      <c r="A379">
        <v>378</v>
      </c>
      <c r="B379" s="1">
        <v>45483</v>
      </c>
      <c r="C379" t="s">
        <v>184</v>
      </c>
      <c r="D379">
        <v>50</v>
      </c>
      <c r="E379" t="s">
        <v>15</v>
      </c>
      <c r="F379" t="s">
        <v>21</v>
      </c>
      <c r="G379">
        <f>MONTH(cleaned_personal_finance_data3[[#This Row],[date]])</f>
        <v>7</v>
      </c>
      <c r="H379">
        <f>YEAR(cleaned_personal_finance_data3[[#This Row],[date]])</f>
        <v>2024</v>
      </c>
      <c r="I379" t="s">
        <v>28</v>
      </c>
    </row>
    <row r="380" spans="1:9" x14ac:dyDescent="0.25">
      <c r="A380">
        <v>379</v>
      </c>
      <c r="B380" s="1">
        <v>45483</v>
      </c>
      <c r="C380" t="s">
        <v>184</v>
      </c>
      <c r="D380">
        <v>125</v>
      </c>
      <c r="E380" t="s">
        <v>15</v>
      </c>
      <c r="F380" t="s">
        <v>21</v>
      </c>
      <c r="G380">
        <f>MONTH(cleaned_personal_finance_data3[[#This Row],[date]])</f>
        <v>7</v>
      </c>
      <c r="H380">
        <f>YEAR(cleaned_personal_finance_data3[[#This Row],[date]])</f>
        <v>2024</v>
      </c>
      <c r="I380" t="s">
        <v>28</v>
      </c>
    </row>
    <row r="381" spans="1:9" x14ac:dyDescent="0.25">
      <c r="A381">
        <v>380</v>
      </c>
      <c r="B381" s="1">
        <v>45484</v>
      </c>
      <c r="C381" t="s">
        <v>185</v>
      </c>
      <c r="D381">
        <v>2542</v>
      </c>
      <c r="E381" t="s">
        <v>15</v>
      </c>
      <c r="F381" t="s">
        <v>13</v>
      </c>
      <c r="G381">
        <f>MONTH(cleaned_personal_finance_data3[[#This Row],[date]])</f>
        <v>7</v>
      </c>
      <c r="H381">
        <f>YEAR(cleaned_personal_finance_data3[[#This Row],[date]])</f>
        <v>2024</v>
      </c>
      <c r="I381" t="s">
        <v>185</v>
      </c>
    </row>
    <row r="382" spans="1:9" x14ac:dyDescent="0.25">
      <c r="A382">
        <v>381</v>
      </c>
      <c r="B382" s="1">
        <v>45485</v>
      </c>
      <c r="C382" t="s">
        <v>28</v>
      </c>
      <c r="D382">
        <v>50</v>
      </c>
      <c r="E382" t="s">
        <v>15</v>
      </c>
      <c r="F382" t="s">
        <v>21</v>
      </c>
      <c r="G382">
        <f>MONTH(cleaned_personal_finance_data3[[#This Row],[date]])</f>
        <v>7</v>
      </c>
      <c r="H382">
        <f>YEAR(cleaned_personal_finance_data3[[#This Row],[date]])</f>
        <v>2024</v>
      </c>
      <c r="I382" t="s">
        <v>28</v>
      </c>
    </row>
    <row r="383" spans="1:9" x14ac:dyDescent="0.25">
      <c r="A383">
        <v>382</v>
      </c>
      <c r="B383" s="1">
        <v>45488</v>
      </c>
      <c r="C383" t="s">
        <v>186</v>
      </c>
      <c r="D383">
        <v>30</v>
      </c>
      <c r="E383" t="s">
        <v>15</v>
      </c>
      <c r="F383" t="s">
        <v>13</v>
      </c>
      <c r="G383">
        <f>MONTH(cleaned_personal_finance_data3[[#This Row],[date]])</f>
        <v>7</v>
      </c>
      <c r="H383">
        <f>YEAR(cleaned_personal_finance_data3[[#This Row],[date]])</f>
        <v>2024</v>
      </c>
      <c r="I383" t="s">
        <v>186</v>
      </c>
    </row>
    <row r="384" spans="1:9" hidden="1" x14ac:dyDescent="0.25">
      <c r="A384">
        <v>383</v>
      </c>
      <c r="B384" s="1">
        <v>45488</v>
      </c>
      <c r="C384" t="s">
        <v>6</v>
      </c>
      <c r="D384">
        <v>12663</v>
      </c>
      <c r="E384" t="s">
        <v>7</v>
      </c>
      <c r="F384" t="s">
        <v>8</v>
      </c>
      <c r="G384">
        <f>MONTH(cleaned_personal_finance_data3[[#This Row],[date]])</f>
        <v>7</v>
      </c>
      <c r="H384">
        <f>YEAR(cleaned_personal_finance_data3[[#This Row],[date]])</f>
        <v>2024</v>
      </c>
      <c r="I384" t="s">
        <v>318</v>
      </c>
    </row>
    <row r="385" spans="1:9" x14ac:dyDescent="0.25">
      <c r="A385">
        <v>384</v>
      </c>
      <c r="B385" s="1">
        <v>45489</v>
      </c>
      <c r="C385" t="s">
        <v>187</v>
      </c>
      <c r="D385">
        <v>45</v>
      </c>
      <c r="E385" t="s">
        <v>15</v>
      </c>
      <c r="F385" t="s">
        <v>13</v>
      </c>
      <c r="G385">
        <f>MONTH(cleaned_personal_finance_data3[[#This Row],[date]])</f>
        <v>7</v>
      </c>
      <c r="H385">
        <f>YEAR(cleaned_personal_finance_data3[[#This Row],[date]])</f>
        <v>2024</v>
      </c>
      <c r="I385" t="s">
        <v>187</v>
      </c>
    </row>
    <row r="386" spans="1:9" x14ac:dyDescent="0.25">
      <c r="A386">
        <v>385</v>
      </c>
      <c r="B386" s="1">
        <v>45489</v>
      </c>
      <c r="C386" t="s">
        <v>188</v>
      </c>
      <c r="D386">
        <v>1195</v>
      </c>
      <c r="E386" t="s">
        <v>15</v>
      </c>
      <c r="F386" t="s">
        <v>13</v>
      </c>
      <c r="G386">
        <f>MONTH(cleaned_personal_finance_data3[[#This Row],[date]])</f>
        <v>7</v>
      </c>
      <c r="H386">
        <f>YEAR(cleaned_personal_finance_data3[[#This Row],[date]])</f>
        <v>2024</v>
      </c>
      <c r="I386" t="s">
        <v>188</v>
      </c>
    </row>
    <row r="387" spans="1:9" x14ac:dyDescent="0.25">
      <c r="A387">
        <v>386</v>
      </c>
      <c r="B387" s="1">
        <v>45489</v>
      </c>
      <c r="C387" t="s">
        <v>189</v>
      </c>
      <c r="D387">
        <v>455</v>
      </c>
      <c r="E387" t="s">
        <v>15</v>
      </c>
      <c r="F387" t="s">
        <v>13</v>
      </c>
      <c r="G387">
        <f>MONTH(cleaned_personal_finance_data3[[#This Row],[date]])</f>
        <v>7</v>
      </c>
      <c r="H387">
        <f>YEAR(cleaned_personal_finance_data3[[#This Row],[date]])</f>
        <v>2024</v>
      </c>
      <c r="I387" t="s">
        <v>204</v>
      </c>
    </row>
    <row r="388" spans="1:9" x14ac:dyDescent="0.25">
      <c r="A388">
        <v>387</v>
      </c>
      <c r="B388" s="1">
        <v>45489</v>
      </c>
      <c r="C388" t="s">
        <v>190</v>
      </c>
      <c r="D388">
        <v>550</v>
      </c>
      <c r="E388" t="s">
        <v>15</v>
      </c>
      <c r="F388" t="s">
        <v>13</v>
      </c>
      <c r="G388">
        <f>MONTH(cleaned_personal_finance_data3[[#This Row],[date]])</f>
        <v>7</v>
      </c>
      <c r="H388">
        <f>YEAR(cleaned_personal_finance_data3[[#This Row],[date]])</f>
        <v>2024</v>
      </c>
      <c r="I388" t="s">
        <v>190</v>
      </c>
    </row>
    <row r="389" spans="1:9" x14ac:dyDescent="0.25">
      <c r="A389">
        <v>388</v>
      </c>
      <c r="B389" s="1">
        <v>45489</v>
      </c>
      <c r="C389" t="s">
        <v>191</v>
      </c>
      <c r="D389">
        <v>2000</v>
      </c>
      <c r="E389" t="s">
        <v>15</v>
      </c>
      <c r="F389" t="s">
        <v>13</v>
      </c>
      <c r="G389">
        <f>MONTH(cleaned_personal_finance_data3[[#This Row],[date]])</f>
        <v>7</v>
      </c>
      <c r="H389">
        <f>YEAR(cleaned_personal_finance_data3[[#This Row],[date]])</f>
        <v>2024</v>
      </c>
      <c r="I389" t="s">
        <v>191</v>
      </c>
    </row>
    <row r="390" spans="1:9" x14ac:dyDescent="0.25">
      <c r="A390">
        <v>389</v>
      </c>
      <c r="B390" s="1">
        <v>45490</v>
      </c>
      <c r="C390" t="s">
        <v>192</v>
      </c>
      <c r="D390">
        <v>237</v>
      </c>
      <c r="E390" t="s">
        <v>15</v>
      </c>
      <c r="F390" t="s">
        <v>13</v>
      </c>
      <c r="G390">
        <f>MONTH(cleaned_personal_finance_data3[[#This Row],[date]])</f>
        <v>7</v>
      </c>
      <c r="H390">
        <f>YEAR(cleaned_personal_finance_data3[[#This Row],[date]])</f>
        <v>2024</v>
      </c>
      <c r="I390" t="s">
        <v>167</v>
      </c>
    </row>
    <row r="391" spans="1:9" x14ac:dyDescent="0.25">
      <c r="A391">
        <v>390</v>
      </c>
      <c r="B391" s="1">
        <v>45490</v>
      </c>
      <c r="C391" t="s">
        <v>193</v>
      </c>
      <c r="D391">
        <v>160</v>
      </c>
      <c r="E391" t="s">
        <v>15</v>
      </c>
      <c r="F391" t="s">
        <v>13</v>
      </c>
      <c r="G391">
        <f>MONTH(cleaned_personal_finance_data3[[#This Row],[date]])</f>
        <v>7</v>
      </c>
      <c r="H391">
        <f>YEAR(cleaned_personal_finance_data3[[#This Row],[date]])</f>
        <v>2024</v>
      </c>
      <c r="I391" t="s">
        <v>167</v>
      </c>
    </row>
    <row r="392" spans="1:9" x14ac:dyDescent="0.25">
      <c r="A392">
        <v>391</v>
      </c>
      <c r="B392" s="1">
        <v>45490</v>
      </c>
      <c r="C392" t="s">
        <v>64</v>
      </c>
      <c r="D392">
        <v>199</v>
      </c>
      <c r="E392" t="s">
        <v>15</v>
      </c>
      <c r="F392" t="s">
        <v>21</v>
      </c>
      <c r="G392">
        <f>MONTH(cleaned_personal_finance_data3[[#This Row],[date]])</f>
        <v>7</v>
      </c>
      <c r="H392">
        <f>YEAR(cleaned_personal_finance_data3[[#This Row],[date]])</f>
        <v>2024</v>
      </c>
      <c r="I392" t="s">
        <v>64</v>
      </c>
    </row>
    <row r="393" spans="1:9" x14ac:dyDescent="0.25">
      <c r="A393">
        <v>392</v>
      </c>
      <c r="B393" s="1">
        <v>45490</v>
      </c>
      <c r="C393" t="s">
        <v>50</v>
      </c>
      <c r="D393">
        <v>699</v>
      </c>
      <c r="E393" t="s">
        <v>15</v>
      </c>
      <c r="F393" t="s">
        <v>21</v>
      </c>
      <c r="G393">
        <f>MONTH(cleaned_personal_finance_data3[[#This Row],[date]])</f>
        <v>7</v>
      </c>
      <c r="H393">
        <f>YEAR(cleaned_personal_finance_data3[[#This Row],[date]])</f>
        <v>2024</v>
      </c>
      <c r="I393" t="s">
        <v>50</v>
      </c>
    </row>
    <row r="394" spans="1:9" x14ac:dyDescent="0.25">
      <c r="A394">
        <v>393</v>
      </c>
      <c r="B394" s="1">
        <v>45492</v>
      </c>
      <c r="C394" t="s">
        <v>87</v>
      </c>
      <c r="D394">
        <v>600</v>
      </c>
      <c r="E394" t="s">
        <v>15</v>
      </c>
      <c r="F394" t="s">
        <v>13</v>
      </c>
      <c r="G394">
        <f>MONTH(cleaned_personal_finance_data3[[#This Row],[date]])</f>
        <v>7</v>
      </c>
      <c r="H394">
        <f>YEAR(cleaned_personal_finance_data3[[#This Row],[date]])</f>
        <v>2024</v>
      </c>
      <c r="I394" t="s">
        <v>87</v>
      </c>
    </row>
    <row r="395" spans="1:9" x14ac:dyDescent="0.25">
      <c r="A395">
        <v>394</v>
      </c>
      <c r="B395" s="1">
        <v>45492</v>
      </c>
      <c r="C395" t="s">
        <v>79</v>
      </c>
      <c r="D395">
        <v>150</v>
      </c>
      <c r="E395" t="s">
        <v>15</v>
      </c>
      <c r="F395" t="s">
        <v>13</v>
      </c>
      <c r="G395">
        <f>MONTH(cleaned_personal_finance_data3[[#This Row],[date]])</f>
        <v>7</v>
      </c>
      <c r="H395">
        <f>YEAR(cleaned_personal_finance_data3[[#This Row],[date]])</f>
        <v>2024</v>
      </c>
      <c r="I395" t="s">
        <v>79</v>
      </c>
    </row>
    <row r="396" spans="1:9" x14ac:dyDescent="0.25">
      <c r="A396">
        <v>395</v>
      </c>
      <c r="B396" s="1">
        <v>45492</v>
      </c>
      <c r="C396" t="s">
        <v>194</v>
      </c>
      <c r="D396">
        <v>4000</v>
      </c>
      <c r="E396" t="s">
        <v>15</v>
      </c>
      <c r="F396" t="s">
        <v>13</v>
      </c>
      <c r="G396">
        <f>MONTH(cleaned_personal_finance_data3[[#This Row],[date]])</f>
        <v>7</v>
      </c>
      <c r="H396">
        <f>YEAR(cleaned_personal_finance_data3[[#This Row],[date]])</f>
        <v>2024</v>
      </c>
      <c r="I396" t="s">
        <v>194</v>
      </c>
    </row>
    <row r="397" spans="1:9" x14ac:dyDescent="0.25">
      <c r="A397">
        <v>396</v>
      </c>
      <c r="B397" s="1">
        <v>45493</v>
      </c>
      <c r="C397" t="s">
        <v>87</v>
      </c>
      <c r="D397">
        <v>1200</v>
      </c>
      <c r="E397" t="s">
        <v>15</v>
      </c>
      <c r="F397" t="s">
        <v>13</v>
      </c>
      <c r="G397">
        <f>MONTH(cleaned_personal_finance_data3[[#This Row],[date]])</f>
        <v>7</v>
      </c>
      <c r="H397">
        <f>YEAR(cleaned_personal_finance_data3[[#This Row],[date]])</f>
        <v>2024</v>
      </c>
      <c r="I397" t="s">
        <v>87</v>
      </c>
    </row>
    <row r="398" spans="1:9" hidden="1" x14ac:dyDescent="0.25">
      <c r="A398">
        <v>397</v>
      </c>
      <c r="B398" s="1">
        <v>45494</v>
      </c>
      <c r="C398" t="s">
        <v>20</v>
      </c>
      <c r="D398">
        <v>3000</v>
      </c>
      <c r="E398" t="s">
        <v>10</v>
      </c>
      <c r="F398" t="s">
        <v>13</v>
      </c>
      <c r="G398">
        <f>MONTH(cleaned_personal_finance_data3[[#This Row],[date]])</f>
        <v>7</v>
      </c>
      <c r="H398">
        <f>YEAR(cleaned_personal_finance_data3[[#This Row],[date]])</f>
        <v>2024</v>
      </c>
      <c r="I398" t="s">
        <v>20</v>
      </c>
    </row>
    <row r="399" spans="1:9" hidden="1" x14ac:dyDescent="0.25">
      <c r="A399">
        <v>398</v>
      </c>
      <c r="B399" s="1">
        <v>45494</v>
      </c>
      <c r="C399" t="s">
        <v>20</v>
      </c>
      <c r="D399">
        <v>3400</v>
      </c>
      <c r="E399" t="s">
        <v>12</v>
      </c>
      <c r="F399" t="s">
        <v>21</v>
      </c>
      <c r="G399">
        <f>MONTH(cleaned_personal_finance_data3[[#This Row],[date]])</f>
        <v>7</v>
      </c>
      <c r="H399">
        <f>YEAR(cleaned_personal_finance_data3[[#This Row],[date]])</f>
        <v>2024</v>
      </c>
      <c r="I399" t="s">
        <v>20</v>
      </c>
    </row>
    <row r="400" spans="1:9" x14ac:dyDescent="0.25">
      <c r="A400">
        <v>399</v>
      </c>
      <c r="B400" s="1">
        <v>45495</v>
      </c>
      <c r="C400" t="s">
        <v>34</v>
      </c>
      <c r="D400">
        <v>129</v>
      </c>
      <c r="E400" t="s">
        <v>15</v>
      </c>
      <c r="F400" t="s">
        <v>21</v>
      </c>
      <c r="G400">
        <f>MONTH(cleaned_personal_finance_data3[[#This Row],[date]])</f>
        <v>7</v>
      </c>
      <c r="H400">
        <f>YEAR(cleaned_personal_finance_data3[[#This Row],[date]])</f>
        <v>2024</v>
      </c>
      <c r="I400" t="s">
        <v>34</v>
      </c>
    </row>
    <row r="401" spans="1:9" x14ac:dyDescent="0.25">
      <c r="A401">
        <v>400</v>
      </c>
      <c r="B401" s="1">
        <v>45495</v>
      </c>
      <c r="C401" t="s">
        <v>195</v>
      </c>
      <c r="D401">
        <v>650</v>
      </c>
      <c r="E401" t="s">
        <v>15</v>
      </c>
      <c r="F401" t="s">
        <v>21</v>
      </c>
      <c r="G401">
        <f>MONTH(cleaned_personal_finance_data3[[#This Row],[date]])</f>
        <v>7</v>
      </c>
      <c r="H401">
        <f>YEAR(cleaned_personal_finance_data3[[#This Row],[date]])</f>
        <v>2024</v>
      </c>
      <c r="I401" t="s">
        <v>195</v>
      </c>
    </row>
    <row r="402" spans="1:9" x14ac:dyDescent="0.25">
      <c r="A402">
        <v>401</v>
      </c>
      <c r="B402" s="1">
        <v>45496</v>
      </c>
      <c r="C402" t="s">
        <v>196</v>
      </c>
      <c r="D402">
        <v>150</v>
      </c>
      <c r="E402" t="s">
        <v>15</v>
      </c>
      <c r="F402" t="s">
        <v>13</v>
      </c>
      <c r="G402">
        <f>MONTH(cleaned_personal_finance_data3[[#This Row],[date]])</f>
        <v>7</v>
      </c>
      <c r="H402">
        <f>YEAR(cleaned_personal_finance_data3[[#This Row],[date]])</f>
        <v>2024</v>
      </c>
      <c r="I402" t="s">
        <v>196</v>
      </c>
    </row>
    <row r="403" spans="1:9" x14ac:dyDescent="0.25">
      <c r="A403">
        <v>402</v>
      </c>
      <c r="B403" s="1">
        <v>45498</v>
      </c>
      <c r="C403" t="s">
        <v>51</v>
      </c>
      <c r="D403">
        <v>30</v>
      </c>
      <c r="E403" t="s">
        <v>15</v>
      </c>
      <c r="F403" t="s">
        <v>13</v>
      </c>
      <c r="G403">
        <f>MONTH(cleaned_personal_finance_data3[[#This Row],[date]])</f>
        <v>7</v>
      </c>
      <c r="H403">
        <f>YEAR(cleaned_personal_finance_data3[[#This Row],[date]])</f>
        <v>2024</v>
      </c>
      <c r="I403" t="s">
        <v>43</v>
      </c>
    </row>
    <row r="404" spans="1:9" x14ac:dyDescent="0.25">
      <c r="A404">
        <v>403</v>
      </c>
      <c r="B404" s="1">
        <v>45498</v>
      </c>
      <c r="C404" t="s">
        <v>54</v>
      </c>
      <c r="D404">
        <v>30</v>
      </c>
      <c r="E404" t="s">
        <v>15</v>
      </c>
      <c r="F404" t="s">
        <v>13</v>
      </c>
      <c r="G404">
        <f>MONTH(cleaned_personal_finance_data3[[#This Row],[date]])</f>
        <v>7</v>
      </c>
      <c r="H404">
        <f>YEAR(cleaned_personal_finance_data3[[#This Row],[date]])</f>
        <v>2024</v>
      </c>
      <c r="I404" t="s">
        <v>54</v>
      </c>
    </row>
    <row r="405" spans="1:9" x14ac:dyDescent="0.25">
      <c r="A405">
        <v>404</v>
      </c>
      <c r="B405" s="1">
        <v>45498</v>
      </c>
      <c r="C405" t="s">
        <v>66</v>
      </c>
      <c r="D405">
        <v>10</v>
      </c>
      <c r="E405" t="s">
        <v>15</v>
      </c>
      <c r="F405" t="s">
        <v>13</v>
      </c>
      <c r="G405">
        <f>MONTH(cleaned_personal_finance_data3[[#This Row],[date]])</f>
        <v>7</v>
      </c>
      <c r="H405">
        <f>YEAR(cleaned_personal_finance_data3[[#This Row],[date]])</f>
        <v>2024</v>
      </c>
      <c r="I405" t="s">
        <v>66</v>
      </c>
    </row>
    <row r="406" spans="1:9" x14ac:dyDescent="0.25">
      <c r="A406">
        <v>405</v>
      </c>
      <c r="B406" s="1">
        <v>45498</v>
      </c>
      <c r="C406" t="s">
        <v>197</v>
      </c>
      <c r="D406">
        <v>30</v>
      </c>
      <c r="E406" t="s">
        <v>15</v>
      </c>
      <c r="F406" t="s">
        <v>13</v>
      </c>
      <c r="G406">
        <f>MONTH(cleaned_personal_finance_data3[[#This Row],[date]])</f>
        <v>7</v>
      </c>
      <c r="H406">
        <f>YEAR(cleaned_personal_finance_data3[[#This Row],[date]])</f>
        <v>2024</v>
      </c>
      <c r="I406" t="s">
        <v>197</v>
      </c>
    </row>
    <row r="407" spans="1:9" x14ac:dyDescent="0.25">
      <c r="A407">
        <v>406</v>
      </c>
      <c r="B407" s="1">
        <v>45498</v>
      </c>
      <c r="C407" t="s">
        <v>76</v>
      </c>
      <c r="D407">
        <v>30</v>
      </c>
      <c r="E407" t="s">
        <v>15</v>
      </c>
      <c r="F407" t="s">
        <v>13</v>
      </c>
      <c r="G407">
        <f>MONTH(cleaned_personal_finance_data3[[#This Row],[date]])</f>
        <v>7</v>
      </c>
      <c r="H407">
        <f>YEAR(cleaned_personal_finance_data3[[#This Row],[date]])</f>
        <v>2024</v>
      </c>
      <c r="I407" t="s">
        <v>43</v>
      </c>
    </row>
    <row r="408" spans="1:9" x14ac:dyDescent="0.25">
      <c r="A408">
        <v>407</v>
      </c>
      <c r="B408" s="1">
        <v>45498</v>
      </c>
      <c r="C408" t="s">
        <v>198</v>
      </c>
      <c r="D408">
        <v>125</v>
      </c>
      <c r="E408" t="s">
        <v>15</v>
      </c>
      <c r="F408" t="s">
        <v>21</v>
      </c>
      <c r="G408">
        <f>MONTH(cleaned_personal_finance_data3[[#This Row],[date]])</f>
        <v>7</v>
      </c>
      <c r="H408">
        <f>YEAR(cleaned_personal_finance_data3[[#This Row],[date]])</f>
        <v>2024</v>
      </c>
      <c r="I408" t="s">
        <v>198</v>
      </c>
    </row>
    <row r="409" spans="1:9" x14ac:dyDescent="0.25">
      <c r="A409">
        <v>408</v>
      </c>
      <c r="B409" s="1">
        <v>45499</v>
      </c>
      <c r="C409" t="s">
        <v>51</v>
      </c>
      <c r="D409">
        <v>30</v>
      </c>
      <c r="E409" t="s">
        <v>15</v>
      </c>
      <c r="F409" t="s">
        <v>13</v>
      </c>
      <c r="G409">
        <f>MONTH(cleaned_personal_finance_data3[[#This Row],[date]])</f>
        <v>7</v>
      </c>
      <c r="H409">
        <f>YEAR(cleaned_personal_finance_data3[[#This Row],[date]])</f>
        <v>2024</v>
      </c>
      <c r="I409" t="s">
        <v>43</v>
      </c>
    </row>
    <row r="410" spans="1:9" x14ac:dyDescent="0.25">
      <c r="A410">
        <v>409</v>
      </c>
      <c r="B410" s="1">
        <v>45499</v>
      </c>
      <c r="C410" t="s">
        <v>199</v>
      </c>
      <c r="D410">
        <v>14</v>
      </c>
      <c r="E410" t="s">
        <v>15</v>
      </c>
      <c r="F410" t="s">
        <v>13</v>
      </c>
      <c r="G410">
        <f>MONTH(cleaned_personal_finance_data3[[#This Row],[date]])</f>
        <v>7</v>
      </c>
      <c r="H410">
        <f>YEAR(cleaned_personal_finance_data3[[#This Row],[date]])</f>
        <v>2024</v>
      </c>
      <c r="I410" t="s">
        <v>199</v>
      </c>
    </row>
    <row r="411" spans="1:9" x14ac:dyDescent="0.25">
      <c r="A411">
        <v>410</v>
      </c>
      <c r="B411" s="1">
        <v>45499</v>
      </c>
      <c r="C411" t="s">
        <v>66</v>
      </c>
      <c r="D411">
        <v>10</v>
      </c>
      <c r="E411" t="s">
        <v>15</v>
      </c>
      <c r="F411" t="s">
        <v>13</v>
      </c>
      <c r="G411">
        <f>MONTH(cleaned_personal_finance_data3[[#This Row],[date]])</f>
        <v>7</v>
      </c>
      <c r="H411">
        <f>YEAR(cleaned_personal_finance_data3[[#This Row],[date]])</f>
        <v>2024</v>
      </c>
      <c r="I411" t="s">
        <v>66</v>
      </c>
    </row>
    <row r="412" spans="1:9" x14ac:dyDescent="0.25">
      <c r="A412">
        <v>411</v>
      </c>
      <c r="B412" s="1">
        <v>45499</v>
      </c>
      <c r="C412" t="s">
        <v>67</v>
      </c>
      <c r="D412">
        <v>15</v>
      </c>
      <c r="E412" t="s">
        <v>15</v>
      </c>
      <c r="F412" t="s">
        <v>13</v>
      </c>
      <c r="G412">
        <f>MONTH(cleaned_personal_finance_data3[[#This Row],[date]])</f>
        <v>7</v>
      </c>
      <c r="H412">
        <f>YEAR(cleaned_personal_finance_data3[[#This Row],[date]])</f>
        <v>2024</v>
      </c>
      <c r="I412" t="s">
        <v>67</v>
      </c>
    </row>
    <row r="413" spans="1:9" x14ac:dyDescent="0.25">
      <c r="A413">
        <v>412</v>
      </c>
      <c r="B413" s="1">
        <v>45499</v>
      </c>
      <c r="C413" t="s">
        <v>76</v>
      </c>
      <c r="D413">
        <v>15</v>
      </c>
      <c r="E413" t="s">
        <v>15</v>
      </c>
      <c r="F413" t="s">
        <v>13</v>
      </c>
      <c r="G413">
        <f>MONTH(cleaned_personal_finance_data3[[#This Row],[date]])</f>
        <v>7</v>
      </c>
      <c r="H413">
        <f>YEAR(cleaned_personal_finance_data3[[#This Row],[date]])</f>
        <v>2024</v>
      </c>
      <c r="I413" t="s">
        <v>43</v>
      </c>
    </row>
    <row r="414" spans="1:9" hidden="1" x14ac:dyDescent="0.25">
      <c r="A414">
        <v>413</v>
      </c>
      <c r="B414" s="1">
        <v>45499</v>
      </c>
      <c r="C414" t="s">
        <v>6</v>
      </c>
      <c r="D414">
        <v>12615</v>
      </c>
      <c r="E414" t="s">
        <v>7</v>
      </c>
      <c r="F414" t="s">
        <v>13</v>
      </c>
      <c r="G414">
        <f>MONTH(cleaned_personal_finance_data3[[#This Row],[date]])</f>
        <v>7</v>
      </c>
      <c r="H414">
        <f>YEAR(cleaned_personal_finance_data3[[#This Row],[date]])</f>
        <v>2024</v>
      </c>
      <c r="I414" t="s">
        <v>318</v>
      </c>
    </row>
    <row r="415" spans="1:9" x14ac:dyDescent="0.25">
      <c r="A415">
        <v>414</v>
      </c>
      <c r="B415" s="1">
        <v>45500</v>
      </c>
      <c r="C415" t="s">
        <v>51</v>
      </c>
      <c r="D415">
        <v>30</v>
      </c>
      <c r="E415" t="s">
        <v>15</v>
      </c>
      <c r="F415" t="s">
        <v>13</v>
      </c>
      <c r="G415">
        <f>MONTH(cleaned_personal_finance_data3[[#This Row],[date]])</f>
        <v>7</v>
      </c>
      <c r="H415">
        <f>YEAR(cleaned_personal_finance_data3[[#This Row],[date]])</f>
        <v>2024</v>
      </c>
      <c r="I415" t="s">
        <v>43</v>
      </c>
    </row>
    <row r="416" spans="1:9" x14ac:dyDescent="0.25">
      <c r="A416">
        <v>415</v>
      </c>
      <c r="B416" s="1">
        <v>45500</v>
      </c>
      <c r="C416" t="s">
        <v>66</v>
      </c>
      <c r="D416">
        <v>10</v>
      </c>
      <c r="E416" t="s">
        <v>15</v>
      </c>
      <c r="F416" t="s">
        <v>13</v>
      </c>
      <c r="G416">
        <f>MONTH(cleaned_personal_finance_data3[[#This Row],[date]])</f>
        <v>7</v>
      </c>
      <c r="H416">
        <f>YEAR(cleaned_personal_finance_data3[[#This Row],[date]])</f>
        <v>2024</v>
      </c>
      <c r="I416" t="s">
        <v>66</v>
      </c>
    </row>
    <row r="417" spans="1:9" x14ac:dyDescent="0.25">
      <c r="A417">
        <v>416</v>
      </c>
      <c r="B417" s="1">
        <v>45500</v>
      </c>
      <c r="C417" t="s">
        <v>67</v>
      </c>
      <c r="D417">
        <v>15</v>
      </c>
      <c r="E417" t="s">
        <v>15</v>
      </c>
      <c r="F417" t="s">
        <v>13</v>
      </c>
      <c r="G417">
        <f>MONTH(cleaned_personal_finance_data3[[#This Row],[date]])</f>
        <v>7</v>
      </c>
      <c r="H417">
        <f>YEAR(cleaned_personal_finance_data3[[#This Row],[date]])</f>
        <v>2024</v>
      </c>
      <c r="I417" t="s">
        <v>67</v>
      </c>
    </row>
    <row r="418" spans="1:9" x14ac:dyDescent="0.25">
      <c r="A418">
        <v>417</v>
      </c>
      <c r="B418" s="1">
        <v>45500</v>
      </c>
      <c r="C418" t="s">
        <v>76</v>
      </c>
      <c r="D418">
        <v>30</v>
      </c>
      <c r="E418" t="s">
        <v>15</v>
      </c>
      <c r="F418" t="s">
        <v>13</v>
      </c>
      <c r="G418">
        <f>MONTH(cleaned_personal_finance_data3[[#This Row],[date]])</f>
        <v>7</v>
      </c>
      <c r="H418">
        <f>YEAR(cleaned_personal_finance_data3[[#This Row],[date]])</f>
        <v>2024</v>
      </c>
      <c r="I418" t="s">
        <v>43</v>
      </c>
    </row>
    <row r="419" spans="1:9" hidden="1" x14ac:dyDescent="0.25">
      <c r="A419">
        <v>418</v>
      </c>
      <c r="B419" s="1">
        <v>45503</v>
      </c>
      <c r="C419" t="s">
        <v>200</v>
      </c>
      <c r="D419">
        <v>5000</v>
      </c>
      <c r="E419" t="s">
        <v>7</v>
      </c>
      <c r="F419" t="s">
        <v>8</v>
      </c>
      <c r="G419">
        <f>MONTH(cleaned_personal_finance_data3[[#This Row],[date]])</f>
        <v>7</v>
      </c>
      <c r="H419">
        <f>YEAR(cleaned_personal_finance_data3[[#This Row],[date]])</f>
        <v>2024</v>
      </c>
      <c r="I419" t="s">
        <v>200</v>
      </c>
    </row>
    <row r="420" spans="1:9" x14ac:dyDescent="0.25">
      <c r="A420">
        <v>419</v>
      </c>
      <c r="B420" s="1">
        <v>45503</v>
      </c>
      <c r="C420" t="s">
        <v>184</v>
      </c>
      <c r="D420">
        <v>125</v>
      </c>
      <c r="E420" t="s">
        <v>15</v>
      </c>
      <c r="F420" t="s">
        <v>21</v>
      </c>
      <c r="G420">
        <f>MONTH(cleaned_personal_finance_data3[[#This Row],[date]])</f>
        <v>7</v>
      </c>
      <c r="H420">
        <f>YEAR(cleaned_personal_finance_data3[[#This Row],[date]])</f>
        <v>2024</v>
      </c>
      <c r="I420" t="s">
        <v>28</v>
      </c>
    </row>
    <row r="421" spans="1:9" x14ac:dyDescent="0.25">
      <c r="A421">
        <v>420</v>
      </c>
      <c r="B421" s="1">
        <v>45503</v>
      </c>
      <c r="C421" t="s">
        <v>28</v>
      </c>
      <c r="D421">
        <v>125</v>
      </c>
      <c r="E421" t="s">
        <v>15</v>
      </c>
      <c r="F421" t="s">
        <v>21</v>
      </c>
      <c r="G421">
        <f>MONTH(cleaned_personal_finance_data3[[#This Row],[date]])</f>
        <v>7</v>
      </c>
      <c r="H421">
        <f>YEAR(cleaned_personal_finance_data3[[#This Row],[date]])</f>
        <v>2024</v>
      </c>
      <c r="I421" t="s">
        <v>28</v>
      </c>
    </row>
    <row r="422" spans="1:9" x14ac:dyDescent="0.25">
      <c r="A422">
        <v>421</v>
      </c>
      <c r="B422" s="1">
        <v>45504</v>
      </c>
      <c r="C422" t="s">
        <v>201</v>
      </c>
      <c r="D422">
        <v>65</v>
      </c>
      <c r="E422" t="s">
        <v>15</v>
      </c>
      <c r="F422" t="s">
        <v>13</v>
      </c>
      <c r="G422">
        <f>MONTH(cleaned_personal_finance_data3[[#This Row],[date]])</f>
        <v>7</v>
      </c>
      <c r="H422">
        <f>YEAR(cleaned_personal_finance_data3[[#This Row],[date]])</f>
        <v>2024</v>
      </c>
      <c r="I422" t="s">
        <v>201</v>
      </c>
    </row>
    <row r="423" spans="1:9" x14ac:dyDescent="0.25">
      <c r="A423">
        <v>422</v>
      </c>
      <c r="B423" s="1">
        <v>45505</v>
      </c>
      <c r="C423" t="s">
        <v>51</v>
      </c>
      <c r="D423">
        <v>30</v>
      </c>
      <c r="E423" t="s">
        <v>15</v>
      </c>
      <c r="F423" t="s">
        <v>13</v>
      </c>
      <c r="G423">
        <f>MONTH(cleaned_personal_finance_data3[[#This Row],[date]])</f>
        <v>8</v>
      </c>
      <c r="H423">
        <f>YEAR(cleaned_personal_finance_data3[[#This Row],[date]])</f>
        <v>2024</v>
      </c>
      <c r="I423" t="s">
        <v>43</v>
      </c>
    </row>
    <row r="424" spans="1:9" x14ac:dyDescent="0.25">
      <c r="A424">
        <v>423</v>
      </c>
      <c r="B424" s="1">
        <v>45505</v>
      </c>
      <c r="C424" t="s">
        <v>106</v>
      </c>
      <c r="D424">
        <v>70</v>
      </c>
      <c r="E424" t="s">
        <v>15</v>
      </c>
      <c r="F424" t="s">
        <v>13</v>
      </c>
      <c r="G424">
        <f>MONTH(cleaned_personal_finance_data3[[#This Row],[date]])</f>
        <v>8</v>
      </c>
      <c r="H424">
        <f>YEAR(cleaned_personal_finance_data3[[#This Row],[date]])</f>
        <v>2024</v>
      </c>
      <c r="I424" t="s">
        <v>106</v>
      </c>
    </row>
    <row r="425" spans="1:9" x14ac:dyDescent="0.25">
      <c r="A425">
        <v>424</v>
      </c>
      <c r="B425" s="1">
        <v>45506</v>
      </c>
      <c r="C425" t="s">
        <v>64</v>
      </c>
      <c r="D425">
        <v>199</v>
      </c>
      <c r="E425" t="s">
        <v>15</v>
      </c>
      <c r="F425" t="s">
        <v>21</v>
      </c>
      <c r="G425">
        <f>MONTH(cleaned_personal_finance_data3[[#This Row],[date]])</f>
        <v>8</v>
      </c>
      <c r="H425">
        <f>YEAR(cleaned_personal_finance_data3[[#This Row],[date]])</f>
        <v>2024</v>
      </c>
      <c r="I425" t="s">
        <v>64</v>
      </c>
    </row>
    <row r="426" spans="1:9" x14ac:dyDescent="0.25">
      <c r="A426">
        <v>425</v>
      </c>
      <c r="B426" s="1">
        <v>45507</v>
      </c>
      <c r="C426" t="s">
        <v>201</v>
      </c>
      <c r="D426">
        <v>75</v>
      </c>
      <c r="E426" t="s">
        <v>15</v>
      </c>
      <c r="F426" t="s">
        <v>13</v>
      </c>
      <c r="G426">
        <f>MONTH(cleaned_personal_finance_data3[[#This Row],[date]])</f>
        <v>8</v>
      </c>
      <c r="H426">
        <f>YEAR(cleaned_personal_finance_data3[[#This Row],[date]])</f>
        <v>2024</v>
      </c>
      <c r="I426" t="s">
        <v>201</v>
      </c>
    </row>
    <row r="427" spans="1:9" x14ac:dyDescent="0.25">
      <c r="A427">
        <v>426</v>
      </c>
      <c r="B427" s="1">
        <v>45507</v>
      </c>
      <c r="C427" t="s">
        <v>202</v>
      </c>
      <c r="D427">
        <v>25</v>
      </c>
      <c r="E427" t="s">
        <v>15</v>
      </c>
      <c r="F427" t="s">
        <v>13</v>
      </c>
      <c r="G427">
        <f>MONTH(cleaned_personal_finance_data3[[#This Row],[date]])</f>
        <v>8</v>
      </c>
      <c r="H427">
        <f>YEAR(cleaned_personal_finance_data3[[#This Row],[date]])</f>
        <v>2024</v>
      </c>
      <c r="I427" t="s">
        <v>202</v>
      </c>
    </row>
    <row r="428" spans="1:9" x14ac:dyDescent="0.25">
      <c r="A428">
        <v>427</v>
      </c>
      <c r="B428" s="1">
        <v>45508</v>
      </c>
      <c r="C428" t="s">
        <v>175</v>
      </c>
      <c r="D428">
        <v>750</v>
      </c>
      <c r="E428" t="s">
        <v>15</v>
      </c>
      <c r="F428" t="s">
        <v>13</v>
      </c>
      <c r="G428">
        <f>MONTH(cleaned_personal_finance_data3[[#This Row],[date]])</f>
        <v>8</v>
      </c>
      <c r="H428">
        <f>YEAR(cleaned_personal_finance_data3[[#This Row],[date]])</f>
        <v>2024</v>
      </c>
      <c r="I428" t="s">
        <v>159</v>
      </c>
    </row>
    <row r="429" spans="1:9" x14ac:dyDescent="0.25">
      <c r="A429">
        <v>428</v>
      </c>
      <c r="B429" s="1">
        <v>45508</v>
      </c>
      <c r="C429" t="s">
        <v>145</v>
      </c>
      <c r="D429">
        <v>5000</v>
      </c>
      <c r="E429" t="s">
        <v>15</v>
      </c>
      <c r="F429" t="s">
        <v>13</v>
      </c>
      <c r="G429">
        <f>MONTH(cleaned_personal_finance_data3[[#This Row],[date]])</f>
        <v>8</v>
      </c>
      <c r="H429">
        <f>YEAR(cleaned_personal_finance_data3[[#This Row],[date]])</f>
        <v>2024</v>
      </c>
      <c r="I429" t="s">
        <v>145</v>
      </c>
    </row>
    <row r="430" spans="1:9" x14ac:dyDescent="0.25">
      <c r="A430">
        <v>429</v>
      </c>
      <c r="B430" s="1">
        <v>45508</v>
      </c>
      <c r="C430" t="s">
        <v>203</v>
      </c>
      <c r="D430">
        <v>290</v>
      </c>
      <c r="E430" t="s">
        <v>15</v>
      </c>
      <c r="F430" t="s">
        <v>13</v>
      </c>
      <c r="G430">
        <f>MONTH(cleaned_personal_finance_data3[[#This Row],[date]])</f>
        <v>8</v>
      </c>
      <c r="H430">
        <f>YEAR(cleaned_personal_finance_data3[[#This Row],[date]])</f>
        <v>2024</v>
      </c>
      <c r="I430" t="s">
        <v>204</v>
      </c>
    </row>
    <row r="431" spans="1:9" x14ac:dyDescent="0.25">
      <c r="A431">
        <v>430</v>
      </c>
      <c r="B431" s="1">
        <v>45508</v>
      </c>
      <c r="C431" t="s">
        <v>204</v>
      </c>
      <c r="D431">
        <v>220</v>
      </c>
      <c r="E431" t="s">
        <v>15</v>
      </c>
      <c r="F431" t="s">
        <v>13</v>
      </c>
      <c r="G431">
        <f>MONTH(cleaned_personal_finance_data3[[#This Row],[date]])</f>
        <v>8</v>
      </c>
      <c r="H431">
        <f>YEAR(cleaned_personal_finance_data3[[#This Row],[date]])</f>
        <v>2024</v>
      </c>
      <c r="I431" t="s">
        <v>204</v>
      </c>
    </row>
    <row r="432" spans="1:9" x14ac:dyDescent="0.25">
      <c r="A432">
        <v>431</v>
      </c>
      <c r="B432" s="1">
        <v>45508</v>
      </c>
      <c r="C432" t="s">
        <v>205</v>
      </c>
      <c r="D432">
        <v>290</v>
      </c>
      <c r="E432" t="s">
        <v>15</v>
      </c>
      <c r="F432" t="s">
        <v>13</v>
      </c>
      <c r="G432">
        <f>MONTH(cleaned_personal_finance_data3[[#This Row],[date]])</f>
        <v>8</v>
      </c>
      <c r="H432">
        <f>YEAR(cleaned_personal_finance_data3[[#This Row],[date]])</f>
        <v>2024</v>
      </c>
      <c r="I432" t="s">
        <v>321</v>
      </c>
    </row>
    <row r="433" spans="1:9" x14ac:dyDescent="0.25">
      <c r="A433">
        <v>432</v>
      </c>
      <c r="B433" s="1">
        <v>45508</v>
      </c>
      <c r="C433" t="s">
        <v>206</v>
      </c>
      <c r="D433">
        <v>90</v>
      </c>
      <c r="E433" t="s">
        <v>15</v>
      </c>
      <c r="F433" t="s">
        <v>13</v>
      </c>
      <c r="G433">
        <f>MONTH(cleaned_personal_finance_data3[[#This Row],[date]])</f>
        <v>8</v>
      </c>
      <c r="H433">
        <f>YEAR(cleaned_personal_finance_data3[[#This Row],[date]])</f>
        <v>2024</v>
      </c>
      <c r="I433" t="s">
        <v>321</v>
      </c>
    </row>
    <row r="434" spans="1:9" x14ac:dyDescent="0.25">
      <c r="A434">
        <v>433</v>
      </c>
      <c r="B434" s="1">
        <v>45508</v>
      </c>
      <c r="C434" t="s">
        <v>207</v>
      </c>
      <c r="D434">
        <v>100</v>
      </c>
      <c r="E434" t="s">
        <v>15</v>
      </c>
      <c r="F434" t="s">
        <v>13</v>
      </c>
      <c r="G434">
        <f>MONTH(cleaned_personal_finance_data3[[#This Row],[date]])</f>
        <v>8</v>
      </c>
      <c r="H434">
        <f>YEAR(cleaned_personal_finance_data3[[#This Row],[date]])</f>
        <v>2024</v>
      </c>
      <c r="I434" t="s">
        <v>207</v>
      </c>
    </row>
    <row r="435" spans="1:9" x14ac:dyDescent="0.25">
      <c r="A435">
        <v>434</v>
      </c>
      <c r="B435" s="1">
        <v>45510</v>
      </c>
      <c r="C435" t="s">
        <v>24</v>
      </c>
      <c r="D435">
        <v>239</v>
      </c>
      <c r="E435" t="s">
        <v>15</v>
      </c>
      <c r="F435" t="s">
        <v>21</v>
      </c>
      <c r="G435">
        <f>MONTH(cleaned_personal_finance_data3[[#This Row],[date]])</f>
        <v>8</v>
      </c>
      <c r="H435">
        <f>YEAR(cleaned_personal_finance_data3[[#This Row],[date]])</f>
        <v>2024</v>
      </c>
      <c r="I435" t="s">
        <v>24</v>
      </c>
    </row>
    <row r="436" spans="1:9" x14ac:dyDescent="0.25">
      <c r="A436">
        <v>435</v>
      </c>
      <c r="B436" s="1">
        <v>45513</v>
      </c>
      <c r="C436" t="s">
        <v>51</v>
      </c>
      <c r="D436">
        <v>30</v>
      </c>
      <c r="E436" t="s">
        <v>15</v>
      </c>
      <c r="F436" t="s">
        <v>13</v>
      </c>
      <c r="G436">
        <f>MONTH(cleaned_personal_finance_data3[[#This Row],[date]])</f>
        <v>8</v>
      </c>
      <c r="H436">
        <f>YEAR(cleaned_personal_finance_data3[[#This Row],[date]])</f>
        <v>2024</v>
      </c>
      <c r="I436" t="s">
        <v>43</v>
      </c>
    </row>
    <row r="437" spans="1:9" x14ac:dyDescent="0.25">
      <c r="A437">
        <v>436</v>
      </c>
      <c r="B437" s="1">
        <v>45513</v>
      </c>
      <c r="C437" t="s">
        <v>54</v>
      </c>
      <c r="D437">
        <v>30</v>
      </c>
      <c r="E437" t="s">
        <v>15</v>
      </c>
      <c r="F437" t="s">
        <v>13</v>
      </c>
      <c r="G437">
        <f>MONTH(cleaned_personal_finance_data3[[#This Row],[date]])</f>
        <v>8</v>
      </c>
      <c r="H437">
        <f>YEAR(cleaned_personal_finance_data3[[#This Row],[date]])</f>
        <v>2024</v>
      </c>
      <c r="I437" t="s">
        <v>54</v>
      </c>
    </row>
    <row r="438" spans="1:9" x14ac:dyDescent="0.25">
      <c r="A438">
        <v>437</v>
      </c>
      <c r="B438" s="1">
        <v>45513</v>
      </c>
      <c r="C438" t="s">
        <v>201</v>
      </c>
      <c r="D438">
        <v>60</v>
      </c>
      <c r="E438" t="s">
        <v>15</v>
      </c>
      <c r="F438" t="s">
        <v>13</v>
      </c>
      <c r="G438">
        <f>MONTH(cleaned_personal_finance_data3[[#This Row],[date]])</f>
        <v>8</v>
      </c>
      <c r="H438">
        <f>YEAR(cleaned_personal_finance_data3[[#This Row],[date]])</f>
        <v>2024</v>
      </c>
      <c r="I438" t="s">
        <v>201</v>
      </c>
    </row>
    <row r="439" spans="1:9" x14ac:dyDescent="0.25">
      <c r="A439">
        <v>438</v>
      </c>
      <c r="B439" s="1">
        <v>45513</v>
      </c>
      <c r="C439" t="s">
        <v>76</v>
      </c>
      <c r="D439">
        <v>30</v>
      </c>
      <c r="E439" t="s">
        <v>15</v>
      </c>
      <c r="F439" t="s">
        <v>13</v>
      </c>
      <c r="G439">
        <f>MONTH(cleaned_personal_finance_data3[[#This Row],[date]])</f>
        <v>8</v>
      </c>
      <c r="H439">
        <f>YEAR(cleaned_personal_finance_data3[[#This Row],[date]])</f>
        <v>2024</v>
      </c>
      <c r="I439" t="s">
        <v>43</v>
      </c>
    </row>
    <row r="440" spans="1:9" x14ac:dyDescent="0.25">
      <c r="A440">
        <v>439</v>
      </c>
      <c r="B440" s="1">
        <v>45513</v>
      </c>
      <c r="C440" t="s">
        <v>64</v>
      </c>
      <c r="D440">
        <v>199</v>
      </c>
      <c r="E440" t="s">
        <v>15</v>
      </c>
      <c r="F440" t="s">
        <v>21</v>
      </c>
      <c r="G440">
        <f>MONTH(cleaned_personal_finance_data3[[#This Row],[date]])</f>
        <v>8</v>
      </c>
      <c r="H440">
        <f>YEAR(cleaned_personal_finance_data3[[#This Row],[date]])</f>
        <v>2024</v>
      </c>
      <c r="I440" t="s">
        <v>64</v>
      </c>
    </row>
    <row r="441" spans="1:9" x14ac:dyDescent="0.25">
      <c r="A441">
        <v>440</v>
      </c>
      <c r="B441" s="1">
        <v>45514</v>
      </c>
      <c r="C441" t="s">
        <v>51</v>
      </c>
      <c r="D441">
        <v>30</v>
      </c>
      <c r="E441" t="s">
        <v>15</v>
      </c>
      <c r="F441" t="s">
        <v>13</v>
      </c>
      <c r="G441">
        <f>MONTH(cleaned_personal_finance_data3[[#This Row],[date]])</f>
        <v>8</v>
      </c>
      <c r="H441">
        <f>YEAR(cleaned_personal_finance_data3[[#This Row],[date]])</f>
        <v>2024</v>
      </c>
      <c r="I441" t="s">
        <v>43</v>
      </c>
    </row>
    <row r="442" spans="1:9" x14ac:dyDescent="0.25">
      <c r="A442">
        <v>441</v>
      </c>
      <c r="B442" s="1">
        <v>45514</v>
      </c>
      <c r="C442" t="s">
        <v>66</v>
      </c>
      <c r="D442">
        <v>10</v>
      </c>
      <c r="E442" t="s">
        <v>15</v>
      </c>
      <c r="F442" t="s">
        <v>13</v>
      </c>
      <c r="G442">
        <f>MONTH(cleaned_personal_finance_data3[[#This Row],[date]])</f>
        <v>8</v>
      </c>
      <c r="H442">
        <f>YEAR(cleaned_personal_finance_data3[[#This Row],[date]])</f>
        <v>2024</v>
      </c>
      <c r="I442" t="s">
        <v>66</v>
      </c>
    </row>
    <row r="443" spans="1:9" x14ac:dyDescent="0.25">
      <c r="A443">
        <v>442</v>
      </c>
      <c r="B443" s="1">
        <v>45514</v>
      </c>
      <c r="C443" t="s">
        <v>67</v>
      </c>
      <c r="D443">
        <v>15</v>
      </c>
      <c r="E443" t="s">
        <v>15</v>
      </c>
      <c r="F443" t="s">
        <v>13</v>
      </c>
      <c r="G443">
        <f>MONTH(cleaned_personal_finance_data3[[#This Row],[date]])</f>
        <v>8</v>
      </c>
      <c r="H443">
        <f>YEAR(cleaned_personal_finance_data3[[#This Row],[date]])</f>
        <v>2024</v>
      </c>
      <c r="I443" t="s">
        <v>67</v>
      </c>
    </row>
    <row r="444" spans="1:9" x14ac:dyDescent="0.25">
      <c r="A444">
        <v>443</v>
      </c>
      <c r="B444" s="1">
        <v>45514</v>
      </c>
      <c r="C444" t="s">
        <v>208</v>
      </c>
      <c r="D444">
        <v>120</v>
      </c>
      <c r="E444" t="s">
        <v>15</v>
      </c>
      <c r="F444" t="s">
        <v>13</v>
      </c>
      <c r="G444">
        <f>MONTH(cleaned_personal_finance_data3[[#This Row],[date]])</f>
        <v>8</v>
      </c>
      <c r="H444">
        <f>YEAR(cleaned_personal_finance_data3[[#This Row],[date]])</f>
        <v>2024</v>
      </c>
      <c r="I444" t="s">
        <v>321</v>
      </c>
    </row>
    <row r="445" spans="1:9" x14ac:dyDescent="0.25">
      <c r="A445">
        <v>444</v>
      </c>
      <c r="B445" s="1">
        <v>45514</v>
      </c>
      <c r="C445" t="s">
        <v>209</v>
      </c>
      <c r="D445">
        <v>290</v>
      </c>
      <c r="E445" t="s">
        <v>15</v>
      </c>
      <c r="F445" t="s">
        <v>13</v>
      </c>
      <c r="G445">
        <f>MONTH(cleaned_personal_finance_data3[[#This Row],[date]])</f>
        <v>8</v>
      </c>
      <c r="H445">
        <f>YEAR(cleaned_personal_finance_data3[[#This Row],[date]])</f>
        <v>2024</v>
      </c>
      <c r="I445" t="s">
        <v>204</v>
      </c>
    </row>
    <row r="446" spans="1:9" hidden="1" x14ac:dyDescent="0.25">
      <c r="A446">
        <v>445</v>
      </c>
      <c r="B446" s="1">
        <v>45516</v>
      </c>
      <c r="C446" t="s">
        <v>210</v>
      </c>
      <c r="D446">
        <v>5000</v>
      </c>
      <c r="E446" t="s">
        <v>7</v>
      </c>
      <c r="F446" t="s">
        <v>8</v>
      </c>
      <c r="G446">
        <f>MONTH(cleaned_personal_finance_data3[[#This Row],[date]])</f>
        <v>8</v>
      </c>
      <c r="H446">
        <f>YEAR(cleaned_personal_finance_data3[[#This Row],[date]])</f>
        <v>2024</v>
      </c>
      <c r="I446" t="s">
        <v>210</v>
      </c>
    </row>
    <row r="447" spans="1:9" hidden="1" x14ac:dyDescent="0.25">
      <c r="A447">
        <v>446</v>
      </c>
      <c r="B447" s="1">
        <v>45516</v>
      </c>
      <c r="C447" t="s">
        <v>6</v>
      </c>
      <c r="D447">
        <v>12615</v>
      </c>
      <c r="E447" t="s">
        <v>7</v>
      </c>
      <c r="F447" t="s">
        <v>8</v>
      </c>
      <c r="G447">
        <f>MONTH(cleaned_personal_finance_data3[[#This Row],[date]])</f>
        <v>8</v>
      </c>
      <c r="H447">
        <f>YEAR(cleaned_personal_finance_data3[[#This Row],[date]])</f>
        <v>2024</v>
      </c>
      <c r="I447" t="s">
        <v>318</v>
      </c>
    </row>
    <row r="448" spans="1:9" x14ac:dyDescent="0.25">
      <c r="A448">
        <v>447</v>
      </c>
      <c r="B448" s="1">
        <v>45519</v>
      </c>
      <c r="C448" t="s">
        <v>28</v>
      </c>
      <c r="D448">
        <v>125</v>
      </c>
      <c r="E448" t="s">
        <v>15</v>
      </c>
      <c r="F448" t="s">
        <v>21</v>
      </c>
      <c r="G448">
        <f>MONTH(cleaned_personal_finance_data3[[#This Row],[date]])</f>
        <v>8</v>
      </c>
      <c r="H448">
        <f>YEAR(cleaned_personal_finance_data3[[#This Row],[date]])</f>
        <v>2024</v>
      </c>
      <c r="I448" t="s">
        <v>28</v>
      </c>
    </row>
    <row r="449" spans="1:9" x14ac:dyDescent="0.25">
      <c r="A449">
        <v>448</v>
      </c>
      <c r="B449" s="1">
        <v>45522</v>
      </c>
      <c r="C449" t="s">
        <v>32</v>
      </c>
      <c r="D449">
        <v>20</v>
      </c>
      <c r="E449" t="s">
        <v>15</v>
      </c>
      <c r="F449" t="s">
        <v>13</v>
      </c>
      <c r="G449">
        <f>MONTH(cleaned_personal_finance_data3[[#This Row],[date]])</f>
        <v>8</v>
      </c>
      <c r="H449">
        <f>YEAR(cleaned_personal_finance_data3[[#This Row],[date]])</f>
        <v>2024</v>
      </c>
      <c r="I449" t="s">
        <v>32</v>
      </c>
    </row>
    <row r="450" spans="1:9" x14ac:dyDescent="0.25">
      <c r="A450">
        <v>449</v>
      </c>
      <c r="B450" s="1">
        <v>45522</v>
      </c>
      <c r="C450" t="s">
        <v>201</v>
      </c>
      <c r="D450">
        <v>75</v>
      </c>
      <c r="E450" t="s">
        <v>15</v>
      </c>
      <c r="F450" t="s">
        <v>13</v>
      </c>
      <c r="G450">
        <f>MONTH(cleaned_personal_finance_data3[[#This Row],[date]])</f>
        <v>8</v>
      </c>
      <c r="H450">
        <f>YEAR(cleaned_personal_finance_data3[[#This Row],[date]])</f>
        <v>2024</v>
      </c>
      <c r="I450" t="s">
        <v>201</v>
      </c>
    </row>
    <row r="451" spans="1:9" x14ac:dyDescent="0.25">
      <c r="A451">
        <v>450</v>
      </c>
      <c r="B451" s="1">
        <v>45522</v>
      </c>
      <c r="C451" t="s">
        <v>211</v>
      </c>
      <c r="D451">
        <v>70</v>
      </c>
      <c r="E451" t="s">
        <v>15</v>
      </c>
      <c r="F451" t="s">
        <v>13</v>
      </c>
      <c r="G451">
        <f>MONTH(cleaned_personal_finance_data3[[#This Row],[date]])</f>
        <v>8</v>
      </c>
      <c r="H451">
        <f>YEAR(cleaned_personal_finance_data3[[#This Row],[date]])</f>
        <v>2024</v>
      </c>
      <c r="I451" t="s">
        <v>262</v>
      </c>
    </row>
    <row r="452" spans="1:9" x14ac:dyDescent="0.25">
      <c r="A452">
        <v>451</v>
      </c>
      <c r="B452" s="1">
        <v>45527</v>
      </c>
      <c r="C452" t="s">
        <v>103</v>
      </c>
      <c r="D452">
        <v>260</v>
      </c>
      <c r="E452" t="s">
        <v>15</v>
      </c>
      <c r="F452" t="s">
        <v>13</v>
      </c>
      <c r="G452">
        <f>MONTH(cleaned_personal_finance_data3[[#This Row],[date]])</f>
        <v>8</v>
      </c>
      <c r="H452">
        <f>YEAR(cleaned_personal_finance_data3[[#This Row],[date]])</f>
        <v>2024</v>
      </c>
      <c r="I452" t="s">
        <v>329</v>
      </c>
    </row>
    <row r="453" spans="1:9" x14ac:dyDescent="0.25">
      <c r="A453">
        <v>452</v>
      </c>
      <c r="B453" s="1">
        <v>45531</v>
      </c>
      <c r="C453" t="s">
        <v>212</v>
      </c>
      <c r="D453">
        <v>180</v>
      </c>
      <c r="E453" t="s">
        <v>15</v>
      </c>
      <c r="F453" t="s">
        <v>13</v>
      </c>
      <c r="G453">
        <f>MONTH(cleaned_personal_finance_data3[[#This Row],[date]])</f>
        <v>8</v>
      </c>
      <c r="H453">
        <f>YEAR(cleaned_personal_finance_data3[[#This Row],[date]])</f>
        <v>2024</v>
      </c>
      <c r="I453" t="s">
        <v>319</v>
      </c>
    </row>
    <row r="454" spans="1:9" x14ac:dyDescent="0.25">
      <c r="A454">
        <v>453</v>
      </c>
      <c r="B454" s="1">
        <v>45531</v>
      </c>
      <c r="C454" t="s">
        <v>213</v>
      </c>
      <c r="D454">
        <v>300</v>
      </c>
      <c r="E454" t="s">
        <v>15</v>
      </c>
      <c r="F454" t="s">
        <v>13</v>
      </c>
      <c r="G454">
        <f>MONTH(cleaned_personal_finance_data3[[#This Row],[date]])</f>
        <v>8</v>
      </c>
      <c r="H454">
        <f>YEAR(cleaned_personal_finance_data3[[#This Row],[date]])</f>
        <v>2024</v>
      </c>
      <c r="I454" t="s">
        <v>213</v>
      </c>
    </row>
    <row r="455" spans="1:9" x14ac:dyDescent="0.25">
      <c r="A455">
        <v>454</v>
      </c>
      <c r="B455" s="1">
        <v>45532</v>
      </c>
      <c r="C455" t="s">
        <v>37</v>
      </c>
      <c r="D455">
        <v>25</v>
      </c>
      <c r="E455" t="s">
        <v>15</v>
      </c>
      <c r="F455" t="s">
        <v>13</v>
      </c>
      <c r="G455">
        <f>MONTH(cleaned_personal_finance_data3[[#This Row],[date]])</f>
        <v>8</v>
      </c>
      <c r="H455">
        <f>YEAR(cleaned_personal_finance_data3[[#This Row],[date]])</f>
        <v>2024</v>
      </c>
      <c r="I455" t="s">
        <v>47</v>
      </c>
    </row>
    <row r="456" spans="1:9" x14ac:dyDescent="0.25">
      <c r="A456">
        <v>455</v>
      </c>
      <c r="B456" s="1">
        <v>45532</v>
      </c>
      <c r="C456" t="s">
        <v>214</v>
      </c>
      <c r="D456">
        <v>200</v>
      </c>
      <c r="E456" t="s">
        <v>15</v>
      </c>
      <c r="F456" t="s">
        <v>13</v>
      </c>
      <c r="G456">
        <f>MONTH(cleaned_personal_finance_data3[[#This Row],[date]])</f>
        <v>8</v>
      </c>
      <c r="H456">
        <f>YEAR(cleaned_personal_finance_data3[[#This Row],[date]])</f>
        <v>2024</v>
      </c>
      <c r="I456" t="s">
        <v>214</v>
      </c>
    </row>
    <row r="457" spans="1:9" x14ac:dyDescent="0.25">
      <c r="A457">
        <v>456</v>
      </c>
      <c r="B457" s="1">
        <v>45532</v>
      </c>
      <c r="C457" t="s">
        <v>215</v>
      </c>
      <c r="D457">
        <v>460</v>
      </c>
      <c r="E457" t="s">
        <v>15</v>
      </c>
      <c r="F457" t="s">
        <v>13</v>
      </c>
      <c r="G457">
        <f>MONTH(cleaned_personal_finance_data3[[#This Row],[date]])</f>
        <v>8</v>
      </c>
      <c r="H457">
        <f>YEAR(cleaned_personal_finance_data3[[#This Row],[date]])</f>
        <v>2024</v>
      </c>
      <c r="I457" t="s">
        <v>262</v>
      </c>
    </row>
    <row r="458" spans="1:9" x14ac:dyDescent="0.25">
      <c r="A458">
        <v>457</v>
      </c>
      <c r="B458" s="1">
        <v>45533</v>
      </c>
      <c r="C458" t="s">
        <v>216</v>
      </c>
      <c r="D458">
        <v>1000</v>
      </c>
      <c r="E458" t="s">
        <v>15</v>
      </c>
      <c r="F458" t="s">
        <v>21</v>
      </c>
      <c r="G458">
        <f>MONTH(cleaned_personal_finance_data3[[#This Row],[date]])</f>
        <v>8</v>
      </c>
      <c r="H458">
        <f>YEAR(cleaned_personal_finance_data3[[#This Row],[date]])</f>
        <v>2024</v>
      </c>
      <c r="I458" t="s">
        <v>216</v>
      </c>
    </row>
    <row r="459" spans="1:9" hidden="1" x14ac:dyDescent="0.25">
      <c r="A459">
        <v>458</v>
      </c>
      <c r="B459" s="1">
        <v>45534</v>
      </c>
      <c r="C459" t="s">
        <v>6</v>
      </c>
      <c r="D459">
        <v>12617</v>
      </c>
      <c r="E459" t="s">
        <v>7</v>
      </c>
      <c r="F459" t="s">
        <v>8</v>
      </c>
      <c r="G459">
        <f>MONTH(cleaned_personal_finance_data3[[#This Row],[date]])</f>
        <v>8</v>
      </c>
      <c r="H459">
        <f>YEAR(cleaned_personal_finance_data3[[#This Row],[date]])</f>
        <v>2024</v>
      </c>
      <c r="I459" t="s">
        <v>318</v>
      </c>
    </row>
    <row r="460" spans="1:9" hidden="1" x14ac:dyDescent="0.25">
      <c r="A460">
        <v>459</v>
      </c>
      <c r="B460" s="1">
        <v>45534</v>
      </c>
      <c r="C460" t="s">
        <v>217</v>
      </c>
      <c r="D460">
        <v>12400</v>
      </c>
      <c r="E460" t="s">
        <v>7</v>
      </c>
      <c r="F460" t="s">
        <v>8</v>
      </c>
      <c r="G460">
        <f>MONTH(cleaned_personal_finance_data3[[#This Row],[date]])</f>
        <v>8</v>
      </c>
      <c r="H460">
        <f>YEAR(cleaned_personal_finance_data3[[#This Row],[date]])</f>
        <v>2024</v>
      </c>
      <c r="I460" t="s">
        <v>325</v>
      </c>
    </row>
    <row r="461" spans="1:9" x14ac:dyDescent="0.25">
      <c r="A461">
        <v>460</v>
      </c>
      <c r="B461" s="1">
        <v>45535</v>
      </c>
      <c r="C461" t="s">
        <v>207</v>
      </c>
      <c r="D461">
        <v>200</v>
      </c>
      <c r="E461" t="s">
        <v>15</v>
      </c>
      <c r="F461" t="s">
        <v>13</v>
      </c>
      <c r="G461">
        <f>MONTH(cleaned_personal_finance_data3[[#This Row],[date]])</f>
        <v>8</v>
      </c>
      <c r="H461">
        <f>YEAR(cleaned_personal_finance_data3[[#This Row],[date]])</f>
        <v>2024</v>
      </c>
      <c r="I461" t="s">
        <v>207</v>
      </c>
    </row>
    <row r="462" spans="1:9" x14ac:dyDescent="0.25">
      <c r="A462">
        <v>461</v>
      </c>
      <c r="B462" s="1">
        <v>45537</v>
      </c>
      <c r="C462" t="s">
        <v>218</v>
      </c>
      <c r="D462">
        <v>40</v>
      </c>
      <c r="E462" t="s">
        <v>15</v>
      </c>
      <c r="F462" t="s">
        <v>13</v>
      </c>
      <c r="G462">
        <f>MONTH(cleaned_personal_finance_data3[[#This Row],[date]])</f>
        <v>9</v>
      </c>
      <c r="H462">
        <f>YEAR(cleaned_personal_finance_data3[[#This Row],[date]])</f>
        <v>2024</v>
      </c>
      <c r="I462" t="s">
        <v>218</v>
      </c>
    </row>
    <row r="463" spans="1:9" x14ac:dyDescent="0.25">
      <c r="A463">
        <v>462</v>
      </c>
      <c r="B463" s="1">
        <v>45539</v>
      </c>
      <c r="C463" t="s">
        <v>184</v>
      </c>
      <c r="D463">
        <v>125</v>
      </c>
      <c r="E463" t="s">
        <v>15</v>
      </c>
      <c r="F463" t="s">
        <v>21</v>
      </c>
      <c r="G463">
        <f>MONTH(cleaned_personal_finance_data3[[#This Row],[date]])</f>
        <v>9</v>
      </c>
      <c r="H463">
        <f>YEAR(cleaned_personal_finance_data3[[#This Row],[date]])</f>
        <v>2024</v>
      </c>
      <c r="I463" t="s">
        <v>28</v>
      </c>
    </row>
    <row r="464" spans="1:9" x14ac:dyDescent="0.25">
      <c r="A464">
        <v>463</v>
      </c>
      <c r="B464" s="1">
        <v>45540</v>
      </c>
      <c r="C464" t="s">
        <v>184</v>
      </c>
      <c r="D464">
        <v>50</v>
      </c>
      <c r="E464" t="s">
        <v>15</v>
      </c>
      <c r="F464" t="s">
        <v>21</v>
      </c>
      <c r="G464">
        <f>MONTH(cleaned_personal_finance_data3[[#This Row],[date]])</f>
        <v>9</v>
      </c>
      <c r="H464">
        <f>YEAR(cleaned_personal_finance_data3[[#This Row],[date]])</f>
        <v>2024</v>
      </c>
      <c r="I464" t="s">
        <v>28</v>
      </c>
    </row>
    <row r="465" spans="1:9" x14ac:dyDescent="0.25">
      <c r="A465">
        <v>464</v>
      </c>
      <c r="B465" s="1">
        <v>45540</v>
      </c>
      <c r="C465" t="s">
        <v>219</v>
      </c>
      <c r="D465">
        <v>15</v>
      </c>
      <c r="E465" t="s">
        <v>15</v>
      </c>
      <c r="F465" t="s">
        <v>21</v>
      </c>
      <c r="G465">
        <f>MONTH(cleaned_personal_finance_data3[[#This Row],[date]])</f>
        <v>9</v>
      </c>
      <c r="H465">
        <f>YEAR(cleaned_personal_finance_data3[[#This Row],[date]])</f>
        <v>2024</v>
      </c>
      <c r="I465" t="s">
        <v>219</v>
      </c>
    </row>
    <row r="466" spans="1:9" x14ac:dyDescent="0.25">
      <c r="A466">
        <v>465</v>
      </c>
      <c r="B466" s="1">
        <v>45540</v>
      </c>
      <c r="C466" t="s">
        <v>184</v>
      </c>
      <c r="D466">
        <v>25</v>
      </c>
      <c r="E466" t="s">
        <v>15</v>
      </c>
      <c r="F466" t="s">
        <v>21</v>
      </c>
      <c r="G466">
        <f>MONTH(cleaned_personal_finance_data3[[#This Row],[date]])</f>
        <v>9</v>
      </c>
      <c r="H466">
        <f>YEAR(cleaned_personal_finance_data3[[#This Row],[date]])</f>
        <v>2024</v>
      </c>
      <c r="I466" t="s">
        <v>28</v>
      </c>
    </row>
    <row r="467" spans="1:9" x14ac:dyDescent="0.25">
      <c r="A467">
        <v>466</v>
      </c>
      <c r="B467" s="1">
        <v>45540</v>
      </c>
      <c r="C467" t="s">
        <v>218</v>
      </c>
      <c r="D467">
        <v>40</v>
      </c>
      <c r="E467" t="s">
        <v>15</v>
      </c>
      <c r="F467" t="s">
        <v>13</v>
      </c>
      <c r="G467">
        <f>MONTH(cleaned_personal_finance_data3[[#This Row],[date]])</f>
        <v>9</v>
      </c>
      <c r="H467">
        <f>YEAR(cleaned_personal_finance_data3[[#This Row],[date]])</f>
        <v>2024</v>
      </c>
      <c r="I467" t="s">
        <v>218</v>
      </c>
    </row>
    <row r="468" spans="1:9" x14ac:dyDescent="0.25">
      <c r="A468">
        <v>467</v>
      </c>
      <c r="B468" s="1">
        <v>45541</v>
      </c>
      <c r="C468" t="s">
        <v>24</v>
      </c>
      <c r="D468">
        <v>239</v>
      </c>
      <c r="E468" t="s">
        <v>15</v>
      </c>
      <c r="F468" t="s">
        <v>21</v>
      </c>
      <c r="G468">
        <f>MONTH(cleaned_personal_finance_data3[[#This Row],[date]])</f>
        <v>9</v>
      </c>
      <c r="H468">
        <f>YEAR(cleaned_personal_finance_data3[[#This Row],[date]])</f>
        <v>2024</v>
      </c>
      <c r="I468" t="s">
        <v>24</v>
      </c>
    </row>
    <row r="469" spans="1:9" x14ac:dyDescent="0.25">
      <c r="A469">
        <v>468</v>
      </c>
      <c r="B469" s="1">
        <v>45542</v>
      </c>
      <c r="C469" t="s">
        <v>220</v>
      </c>
      <c r="D469">
        <v>22</v>
      </c>
      <c r="E469" t="s">
        <v>15</v>
      </c>
      <c r="F469" t="s">
        <v>13</v>
      </c>
      <c r="G469">
        <f>MONTH(cleaned_personal_finance_data3[[#This Row],[date]])</f>
        <v>9</v>
      </c>
      <c r="H469">
        <f>YEAR(cleaned_personal_finance_data3[[#This Row],[date]])</f>
        <v>2024</v>
      </c>
      <c r="I469" t="s">
        <v>220</v>
      </c>
    </row>
    <row r="470" spans="1:9" x14ac:dyDescent="0.25">
      <c r="A470">
        <v>469</v>
      </c>
      <c r="B470" s="1">
        <v>45546</v>
      </c>
      <c r="C470" t="s">
        <v>207</v>
      </c>
      <c r="D470">
        <v>100</v>
      </c>
      <c r="E470" t="s">
        <v>15</v>
      </c>
      <c r="F470" t="s">
        <v>13</v>
      </c>
      <c r="G470">
        <f>MONTH(cleaned_personal_finance_data3[[#This Row],[date]])</f>
        <v>9</v>
      </c>
      <c r="H470">
        <f>YEAR(cleaned_personal_finance_data3[[#This Row],[date]])</f>
        <v>2024</v>
      </c>
      <c r="I470" t="s">
        <v>207</v>
      </c>
    </row>
    <row r="471" spans="1:9" x14ac:dyDescent="0.25">
      <c r="A471">
        <v>470</v>
      </c>
      <c r="B471" s="1">
        <v>45547</v>
      </c>
      <c r="C471" t="s">
        <v>207</v>
      </c>
      <c r="D471">
        <v>150</v>
      </c>
      <c r="E471" t="s">
        <v>15</v>
      </c>
      <c r="F471" t="s">
        <v>13</v>
      </c>
      <c r="G471">
        <f>MONTH(cleaned_personal_finance_data3[[#This Row],[date]])</f>
        <v>9</v>
      </c>
      <c r="H471">
        <f>YEAR(cleaned_personal_finance_data3[[#This Row],[date]])</f>
        <v>2024</v>
      </c>
      <c r="I471" t="s">
        <v>207</v>
      </c>
    </row>
    <row r="472" spans="1:9" x14ac:dyDescent="0.25">
      <c r="A472">
        <v>471</v>
      </c>
      <c r="B472" s="1">
        <v>45547</v>
      </c>
      <c r="C472" t="s">
        <v>184</v>
      </c>
      <c r="D472">
        <v>125</v>
      </c>
      <c r="E472" t="s">
        <v>15</v>
      </c>
      <c r="F472" t="s">
        <v>21</v>
      </c>
      <c r="G472">
        <f>MONTH(cleaned_personal_finance_data3[[#This Row],[date]])</f>
        <v>9</v>
      </c>
      <c r="H472">
        <f>YEAR(cleaned_personal_finance_data3[[#This Row],[date]])</f>
        <v>2024</v>
      </c>
      <c r="I472" t="s">
        <v>28</v>
      </c>
    </row>
    <row r="473" spans="1:9" hidden="1" x14ac:dyDescent="0.25">
      <c r="A473">
        <v>472</v>
      </c>
      <c r="B473" s="1">
        <v>45548</v>
      </c>
      <c r="C473" t="s">
        <v>6</v>
      </c>
      <c r="D473">
        <v>25418</v>
      </c>
      <c r="E473" t="s">
        <v>7</v>
      </c>
      <c r="F473" t="s">
        <v>8</v>
      </c>
      <c r="G473">
        <f>MONTH(cleaned_personal_finance_data3[[#This Row],[date]])</f>
        <v>9</v>
      </c>
      <c r="H473">
        <f>YEAR(cleaned_personal_finance_data3[[#This Row],[date]])</f>
        <v>2024</v>
      </c>
      <c r="I473" t="s">
        <v>318</v>
      </c>
    </row>
    <row r="474" spans="1:9" x14ac:dyDescent="0.25">
      <c r="A474">
        <v>473</v>
      </c>
      <c r="B474" s="1">
        <v>45549</v>
      </c>
      <c r="C474" t="s">
        <v>145</v>
      </c>
      <c r="D474">
        <v>5000</v>
      </c>
      <c r="E474" t="s">
        <v>15</v>
      </c>
      <c r="F474" t="s">
        <v>13</v>
      </c>
      <c r="G474">
        <f>MONTH(cleaned_personal_finance_data3[[#This Row],[date]])</f>
        <v>9</v>
      </c>
      <c r="H474">
        <f>YEAR(cleaned_personal_finance_data3[[#This Row],[date]])</f>
        <v>2024</v>
      </c>
      <c r="I474" t="s">
        <v>145</v>
      </c>
    </row>
    <row r="475" spans="1:9" x14ac:dyDescent="0.25">
      <c r="A475">
        <v>474</v>
      </c>
      <c r="B475" s="1">
        <v>45549</v>
      </c>
      <c r="C475" t="s">
        <v>175</v>
      </c>
      <c r="D475">
        <v>2550</v>
      </c>
      <c r="E475" t="s">
        <v>15</v>
      </c>
      <c r="F475" t="s">
        <v>13</v>
      </c>
      <c r="G475">
        <f>MONTH(cleaned_personal_finance_data3[[#This Row],[date]])</f>
        <v>9</v>
      </c>
      <c r="H475">
        <f>YEAR(cleaned_personal_finance_data3[[#This Row],[date]])</f>
        <v>2024</v>
      </c>
      <c r="I475" t="s">
        <v>159</v>
      </c>
    </row>
    <row r="476" spans="1:9" hidden="1" x14ac:dyDescent="0.25">
      <c r="A476">
        <v>475</v>
      </c>
      <c r="B476" s="1">
        <v>45549</v>
      </c>
      <c r="C476" t="s">
        <v>20</v>
      </c>
      <c r="D476">
        <v>2150</v>
      </c>
      <c r="E476" t="s">
        <v>10</v>
      </c>
      <c r="F476" t="s">
        <v>13</v>
      </c>
      <c r="G476">
        <f>MONTH(cleaned_personal_finance_data3[[#This Row],[date]])</f>
        <v>9</v>
      </c>
      <c r="H476">
        <f>YEAR(cleaned_personal_finance_data3[[#This Row],[date]])</f>
        <v>2024</v>
      </c>
      <c r="I476" t="s">
        <v>20</v>
      </c>
    </row>
    <row r="477" spans="1:9" hidden="1" x14ac:dyDescent="0.25">
      <c r="A477">
        <v>476</v>
      </c>
      <c r="B477" s="1">
        <v>45549</v>
      </c>
      <c r="C477" t="s">
        <v>20</v>
      </c>
      <c r="D477">
        <v>2150</v>
      </c>
      <c r="E477" t="s">
        <v>12</v>
      </c>
      <c r="F477" t="s">
        <v>21</v>
      </c>
      <c r="G477">
        <f>MONTH(cleaned_personal_finance_data3[[#This Row],[date]])</f>
        <v>9</v>
      </c>
      <c r="H477">
        <f>YEAR(cleaned_personal_finance_data3[[#This Row],[date]])</f>
        <v>2024</v>
      </c>
      <c r="I477" t="s">
        <v>20</v>
      </c>
    </row>
    <row r="478" spans="1:9" x14ac:dyDescent="0.25">
      <c r="A478">
        <v>477</v>
      </c>
      <c r="B478" s="1">
        <v>45549</v>
      </c>
      <c r="C478" t="s">
        <v>221</v>
      </c>
      <c r="D478">
        <v>300</v>
      </c>
      <c r="E478" t="s">
        <v>15</v>
      </c>
      <c r="F478" t="s">
        <v>13</v>
      </c>
      <c r="G478">
        <f>MONTH(cleaned_personal_finance_data3[[#This Row],[date]])</f>
        <v>9</v>
      </c>
      <c r="H478">
        <f>YEAR(cleaned_personal_finance_data3[[#This Row],[date]])</f>
        <v>2024</v>
      </c>
      <c r="I478" t="s">
        <v>323</v>
      </c>
    </row>
    <row r="479" spans="1:9" x14ac:dyDescent="0.25">
      <c r="A479">
        <v>478</v>
      </c>
      <c r="B479" s="1">
        <v>45551</v>
      </c>
      <c r="C479" t="s">
        <v>222</v>
      </c>
      <c r="D479">
        <v>20</v>
      </c>
      <c r="E479" t="s">
        <v>15</v>
      </c>
      <c r="F479" t="s">
        <v>13</v>
      </c>
      <c r="G479">
        <f>MONTH(cleaned_personal_finance_data3[[#This Row],[date]])</f>
        <v>9</v>
      </c>
      <c r="H479">
        <f>YEAR(cleaned_personal_finance_data3[[#This Row],[date]])</f>
        <v>2024</v>
      </c>
      <c r="I479" t="s">
        <v>43</v>
      </c>
    </row>
    <row r="480" spans="1:9" x14ac:dyDescent="0.25">
      <c r="A480">
        <v>479</v>
      </c>
      <c r="B480" s="1">
        <v>45552</v>
      </c>
      <c r="C480" t="s">
        <v>222</v>
      </c>
      <c r="D480">
        <v>20</v>
      </c>
      <c r="E480" t="s">
        <v>15</v>
      </c>
      <c r="F480" t="s">
        <v>13</v>
      </c>
      <c r="G480">
        <f>MONTH(cleaned_personal_finance_data3[[#This Row],[date]])</f>
        <v>9</v>
      </c>
      <c r="H480">
        <f>YEAR(cleaned_personal_finance_data3[[#This Row],[date]])</f>
        <v>2024</v>
      </c>
      <c r="I480" t="s">
        <v>43</v>
      </c>
    </row>
    <row r="481" spans="1:9" x14ac:dyDescent="0.25">
      <c r="A481">
        <v>480</v>
      </c>
      <c r="B481" s="1">
        <v>45552</v>
      </c>
      <c r="C481" t="s">
        <v>223</v>
      </c>
      <c r="D481">
        <v>20</v>
      </c>
      <c r="E481" t="s">
        <v>15</v>
      </c>
      <c r="F481" t="s">
        <v>13</v>
      </c>
      <c r="G481">
        <f>MONTH(cleaned_personal_finance_data3[[#This Row],[date]])</f>
        <v>9</v>
      </c>
      <c r="H481">
        <f>YEAR(cleaned_personal_finance_data3[[#This Row],[date]])</f>
        <v>2024</v>
      </c>
      <c r="I481" t="s">
        <v>43</v>
      </c>
    </row>
    <row r="482" spans="1:9" x14ac:dyDescent="0.25">
      <c r="A482">
        <v>481</v>
      </c>
      <c r="B482" s="1">
        <v>45553</v>
      </c>
      <c r="C482" t="s">
        <v>222</v>
      </c>
      <c r="D482">
        <v>20</v>
      </c>
      <c r="E482" t="s">
        <v>15</v>
      </c>
      <c r="F482" t="s">
        <v>13</v>
      </c>
      <c r="G482">
        <f>MONTH(cleaned_personal_finance_data3[[#This Row],[date]])</f>
        <v>9</v>
      </c>
      <c r="H482">
        <f>YEAR(cleaned_personal_finance_data3[[#This Row],[date]])</f>
        <v>2024</v>
      </c>
      <c r="I482" t="s">
        <v>43</v>
      </c>
    </row>
    <row r="483" spans="1:9" x14ac:dyDescent="0.25">
      <c r="A483">
        <v>482</v>
      </c>
      <c r="B483" s="1">
        <v>45554</v>
      </c>
      <c r="C483" t="s">
        <v>224</v>
      </c>
      <c r="D483">
        <v>35</v>
      </c>
      <c r="E483" t="s">
        <v>15</v>
      </c>
      <c r="F483" t="s">
        <v>13</v>
      </c>
      <c r="G483">
        <f>MONTH(cleaned_personal_finance_data3[[#This Row],[date]])</f>
        <v>9</v>
      </c>
      <c r="H483">
        <f>YEAR(cleaned_personal_finance_data3[[#This Row],[date]])</f>
        <v>2024</v>
      </c>
      <c r="I483" t="s">
        <v>224</v>
      </c>
    </row>
    <row r="484" spans="1:9" x14ac:dyDescent="0.25">
      <c r="A484">
        <v>483</v>
      </c>
      <c r="B484" s="1">
        <v>45554</v>
      </c>
      <c r="C484" t="s">
        <v>32</v>
      </c>
      <c r="D484">
        <v>20</v>
      </c>
      <c r="E484" t="s">
        <v>15</v>
      </c>
      <c r="F484" t="s">
        <v>13</v>
      </c>
      <c r="G484">
        <f>MONTH(cleaned_personal_finance_data3[[#This Row],[date]])</f>
        <v>9</v>
      </c>
      <c r="H484">
        <f>YEAR(cleaned_personal_finance_data3[[#This Row],[date]])</f>
        <v>2024</v>
      </c>
      <c r="I484" t="s">
        <v>32</v>
      </c>
    </row>
    <row r="485" spans="1:9" x14ac:dyDescent="0.25">
      <c r="A485">
        <v>484</v>
      </c>
      <c r="B485" s="1">
        <v>45554</v>
      </c>
      <c r="C485" t="s">
        <v>106</v>
      </c>
      <c r="D485">
        <v>55</v>
      </c>
      <c r="E485" t="s">
        <v>15</v>
      </c>
      <c r="F485" t="s">
        <v>13</v>
      </c>
      <c r="G485">
        <f>MONTH(cleaned_personal_finance_data3[[#This Row],[date]])</f>
        <v>9</v>
      </c>
      <c r="H485">
        <f>YEAR(cleaned_personal_finance_data3[[#This Row],[date]])</f>
        <v>2024</v>
      </c>
      <c r="I485" t="s">
        <v>106</v>
      </c>
    </row>
    <row r="486" spans="1:9" x14ac:dyDescent="0.25">
      <c r="A486">
        <v>485</v>
      </c>
      <c r="B486" s="1">
        <v>45555</v>
      </c>
      <c r="C486" t="s">
        <v>50</v>
      </c>
      <c r="D486">
        <v>700</v>
      </c>
      <c r="E486" t="s">
        <v>15</v>
      </c>
      <c r="F486" t="s">
        <v>21</v>
      </c>
      <c r="G486">
        <f>MONTH(cleaned_personal_finance_data3[[#This Row],[date]])</f>
        <v>9</v>
      </c>
      <c r="H486">
        <f>YEAR(cleaned_personal_finance_data3[[#This Row],[date]])</f>
        <v>2024</v>
      </c>
      <c r="I486" t="s">
        <v>50</v>
      </c>
    </row>
    <row r="487" spans="1:9" x14ac:dyDescent="0.25">
      <c r="A487">
        <v>486</v>
      </c>
      <c r="B487" s="1">
        <v>45555</v>
      </c>
      <c r="C487" t="s">
        <v>64</v>
      </c>
      <c r="D487">
        <v>200</v>
      </c>
      <c r="E487" t="s">
        <v>15</v>
      </c>
      <c r="F487" t="s">
        <v>21</v>
      </c>
      <c r="G487">
        <f>MONTH(cleaned_personal_finance_data3[[#This Row],[date]])</f>
        <v>9</v>
      </c>
      <c r="H487">
        <f>YEAR(cleaned_personal_finance_data3[[#This Row],[date]])</f>
        <v>2024</v>
      </c>
      <c r="I487" t="s">
        <v>64</v>
      </c>
    </row>
    <row r="488" spans="1:9" x14ac:dyDescent="0.25">
      <c r="A488">
        <v>487</v>
      </c>
      <c r="B488" s="1">
        <v>45555</v>
      </c>
      <c r="C488" t="s">
        <v>225</v>
      </c>
      <c r="D488">
        <v>450</v>
      </c>
      <c r="E488" t="s">
        <v>15</v>
      </c>
      <c r="F488" t="s">
        <v>13</v>
      </c>
      <c r="G488">
        <f>MONTH(cleaned_personal_finance_data3[[#This Row],[date]])</f>
        <v>9</v>
      </c>
      <c r="H488">
        <f>YEAR(cleaned_personal_finance_data3[[#This Row],[date]])</f>
        <v>2024</v>
      </c>
      <c r="I488" t="s">
        <v>262</v>
      </c>
    </row>
    <row r="489" spans="1:9" x14ac:dyDescent="0.25">
      <c r="A489">
        <v>488</v>
      </c>
      <c r="B489" s="1">
        <v>45555</v>
      </c>
      <c r="C489" t="s">
        <v>214</v>
      </c>
      <c r="D489">
        <v>500</v>
      </c>
      <c r="E489" t="s">
        <v>15</v>
      </c>
      <c r="F489" t="s">
        <v>13</v>
      </c>
      <c r="G489">
        <f>MONTH(cleaned_personal_finance_data3[[#This Row],[date]])</f>
        <v>9</v>
      </c>
      <c r="H489">
        <f>YEAR(cleaned_personal_finance_data3[[#This Row],[date]])</f>
        <v>2024</v>
      </c>
      <c r="I489" t="s">
        <v>214</v>
      </c>
    </row>
    <row r="490" spans="1:9" x14ac:dyDescent="0.25">
      <c r="A490">
        <v>489</v>
      </c>
      <c r="B490" s="1">
        <v>45556</v>
      </c>
      <c r="C490" t="s">
        <v>226</v>
      </c>
      <c r="D490">
        <v>200</v>
      </c>
      <c r="E490" t="s">
        <v>15</v>
      </c>
      <c r="F490" t="s">
        <v>13</v>
      </c>
      <c r="G490">
        <f>MONTH(cleaned_personal_finance_data3[[#This Row],[date]])</f>
        <v>9</v>
      </c>
      <c r="H490">
        <f>YEAR(cleaned_personal_finance_data3[[#This Row],[date]])</f>
        <v>2024</v>
      </c>
      <c r="I490" t="s">
        <v>226</v>
      </c>
    </row>
    <row r="491" spans="1:9" x14ac:dyDescent="0.25">
      <c r="A491">
        <v>490</v>
      </c>
      <c r="B491" s="1">
        <v>45556</v>
      </c>
      <c r="C491" t="s">
        <v>103</v>
      </c>
      <c r="D491">
        <v>260</v>
      </c>
      <c r="E491" t="s">
        <v>15</v>
      </c>
      <c r="F491" t="s">
        <v>13</v>
      </c>
      <c r="G491">
        <f>MONTH(cleaned_personal_finance_data3[[#This Row],[date]])</f>
        <v>9</v>
      </c>
      <c r="H491">
        <f>YEAR(cleaned_personal_finance_data3[[#This Row],[date]])</f>
        <v>2024</v>
      </c>
      <c r="I491" t="s">
        <v>329</v>
      </c>
    </row>
    <row r="492" spans="1:9" x14ac:dyDescent="0.25">
      <c r="A492">
        <v>491</v>
      </c>
      <c r="B492" s="1">
        <v>45557</v>
      </c>
      <c r="C492" t="s">
        <v>34</v>
      </c>
      <c r="D492">
        <v>129</v>
      </c>
      <c r="E492" t="s">
        <v>15</v>
      </c>
      <c r="F492" t="s">
        <v>21</v>
      </c>
      <c r="G492">
        <f>MONTH(cleaned_personal_finance_data3[[#This Row],[date]])</f>
        <v>9</v>
      </c>
      <c r="H492">
        <f>YEAR(cleaned_personal_finance_data3[[#This Row],[date]])</f>
        <v>2024</v>
      </c>
      <c r="I492" t="s">
        <v>34</v>
      </c>
    </row>
    <row r="493" spans="1:9" x14ac:dyDescent="0.25">
      <c r="A493">
        <v>492</v>
      </c>
      <c r="B493" s="1">
        <v>45559</v>
      </c>
      <c r="C493" t="s">
        <v>207</v>
      </c>
      <c r="D493">
        <v>100</v>
      </c>
      <c r="E493" t="s">
        <v>15</v>
      </c>
      <c r="F493" t="s">
        <v>13</v>
      </c>
      <c r="G493">
        <f>MONTH(cleaned_personal_finance_data3[[#This Row],[date]])</f>
        <v>9</v>
      </c>
      <c r="H493">
        <f>YEAR(cleaned_personal_finance_data3[[#This Row],[date]])</f>
        <v>2024</v>
      </c>
      <c r="I493" t="s">
        <v>207</v>
      </c>
    </row>
    <row r="494" spans="1:9" x14ac:dyDescent="0.25">
      <c r="A494">
        <v>493</v>
      </c>
      <c r="B494" s="1">
        <v>45560</v>
      </c>
      <c r="C494" t="s">
        <v>218</v>
      </c>
      <c r="D494">
        <v>30</v>
      </c>
      <c r="E494" t="s">
        <v>15</v>
      </c>
      <c r="F494" t="s">
        <v>13</v>
      </c>
      <c r="G494">
        <f>MONTH(cleaned_personal_finance_data3[[#This Row],[date]])</f>
        <v>9</v>
      </c>
      <c r="H494">
        <f>YEAR(cleaned_personal_finance_data3[[#This Row],[date]])</f>
        <v>2024</v>
      </c>
      <c r="I494" t="s">
        <v>218</v>
      </c>
    </row>
    <row r="495" spans="1:9" hidden="1" x14ac:dyDescent="0.25">
      <c r="A495">
        <v>494</v>
      </c>
      <c r="B495" s="1">
        <v>45561</v>
      </c>
      <c r="C495" t="s">
        <v>6</v>
      </c>
      <c r="D495">
        <v>13202</v>
      </c>
      <c r="E495" t="s">
        <v>7</v>
      </c>
      <c r="F495" t="s">
        <v>13</v>
      </c>
      <c r="G495">
        <f>MONTH(cleaned_personal_finance_data3[[#This Row],[date]])</f>
        <v>9</v>
      </c>
      <c r="H495">
        <f>YEAR(cleaned_personal_finance_data3[[#This Row],[date]])</f>
        <v>2024</v>
      </c>
      <c r="I495" t="s">
        <v>318</v>
      </c>
    </row>
    <row r="496" spans="1:9" hidden="1" x14ac:dyDescent="0.25">
      <c r="A496">
        <v>495</v>
      </c>
      <c r="B496" s="1">
        <v>45562</v>
      </c>
      <c r="C496" t="s">
        <v>227</v>
      </c>
      <c r="D496">
        <v>500</v>
      </c>
      <c r="E496" t="s">
        <v>12</v>
      </c>
      <c r="F496" t="s">
        <v>21</v>
      </c>
      <c r="G496">
        <f>MONTH(cleaned_personal_finance_data3[[#This Row],[date]])</f>
        <v>9</v>
      </c>
      <c r="H496">
        <f>YEAR(cleaned_personal_finance_data3[[#This Row],[date]])</f>
        <v>2024</v>
      </c>
      <c r="I496" t="s">
        <v>319</v>
      </c>
    </row>
    <row r="497" spans="1:9" x14ac:dyDescent="0.25">
      <c r="A497">
        <v>496</v>
      </c>
      <c r="B497" s="1">
        <v>45563</v>
      </c>
      <c r="C497" t="s">
        <v>127</v>
      </c>
      <c r="D497">
        <v>80</v>
      </c>
      <c r="E497" t="s">
        <v>15</v>
      </c>
      <c r="F497" t="s">
        <v>13</v>
      </c>
      <c r="G497">
        <f>MONTH(cleaned_personal_finance_data3[[#This Row],[date]])</f>
        <v>9</v>
      </c>
      <c r="H497">
        <f>YEAR(cleaned_personal_finance_data3[[#This Row],[date]])</f>
        <v>2024</v>
      </c>
      <c r="I497" t="s">
        <v>262</v>
      </c>
    </row>
    <row r="498" spans="1:9" x14ac:dyDescent="0.25">
      <c r="A498">
        <v>497</v>
      </c>
      <c r="B498" s="1">
        <v>45565</v>
      </c>
      <c r="C498" t="s">
        <v>228</v>
      </c>
      <c r="D498">
        <v>100</v>
      </c>
      <c r="E498" t="s">
        <v>15</v>
      </c>
      <c r="F498" t="s">
        <v>13</v>
      </c>
      <c r="G498">
        <f>MONTH(cleaned_personal_finance_data3[[#This Row],[date]])</f>
        <v>9</v>
      </c>
      <c r="H498">
        <f>YEAR(cleaned_personal_finance_data3[[#This Row],[date]])</f>
        <v>2024</v>
      </c>
      <c r="I498" t="s">
        <v>228</v>
      </c>
    </row>
    <row r="499" spans="1:9" x14ac:dyDescent="0.25">
      <c r="A499">
        <v>498</v>
      </c>
      <c r="B499" s="1">
        <v>45569</v>
      </c>
      <c r="C499" t="s">
        <v>227</v>
      </c>
      <c r="D499">
        <v>1365</v>
      </c>
      <c r="E499" t="s">
        <v>15</v>
      </c>
      <c r="F499" t="s">
        <v>13</v>
      </c>
      <c r="G499">
        <f>MONTH(cleaned_personal_finance_data3[[#This Row],[date]])</f>
        <v>10</v>
      </c>
      <c r="H499">
        <f>YEAR(cleaned_personal_finance_data3[[#This Row],[date]])</f>
        <v>2024</v>
      </c>
      <c r="I499" t="s">
        <v>319</v>
      </c>
    </row>
    <row r="500" spans="1:9" x14ac:dyDescent="0.25">
      <c r="A500">
        <v>499</v>
      </c>
      <c r="B500" s="1">
        <v>45569</v>
      </c>
      <c r="C500" t="s">
        <v>51</v>
      </c>
      <c r="D500">
        <v>30</v>
      </c>
      <c r="E500" t="s">
        <v>15</v>
      </c>
      <c r="F500" t="s">
        <v>13</v>
      </c>
      <c r="G500">
        <f>MONTH(cleaned_personal_finance_data3[[#This Row],[date]])</f>
        <v>10</v>
      </c>
      <c r="H500">
        <f>YEAR(cleaned_personal_finance_data3[[#This Row],[date]])</f>
        <v>2024</v>
      </c>
      <c r="I500" t="s">
        <v>43</v>
      </c>
    </row>
    <row r="501" spans="1:9" x14ac:dyDescent="0.25">
      <c r="A501">
        <v>500</v>
      </c>
      <c r="B501" s="1">
        <v>45569</v>
      </c>
      <c r="C501" t="s">
        <v>67</v>
      </c>
      <c r="D501">
        <v>20</v>
      </c>
      <c r="E501" t="s">
        <v>15</v>
      </c>
      <c r="F501" t="s">
        <v>13</v>
      </c>
      <c r="G501">
        <f>MONTH(cleaned_personal_finance_data3[[#This Row],[date]])</f>
        <v>10</v>
      </c>
      <c r="H501">
        <f>YEAR(cleaned_personal_finance_data3[[#This Row],[date]])</f>
        <v>2024</v>
      </c>
      <c r="I501" t="s">
        <v>67</v>
      </c>
    </row>
    <row r="502" spans="1:9" x14ac:dyDescent="0.25">
      <c r="A502">
        <v>501</v>
      </c>
      <c r="B502" s="1">
        <v>45569</v>
      </c>
      <c r="C502" t="s">
        <v>66</v>
      </c>
      <c r="D502">
        <v>10</v>
      </c>
      <c r="E502" t="s">
        <v>15</v>
      </c>
      <c r="F502" t="s">
        <v>13</v>
      </c>
      <c r="G502">
        <f>MONTH(cleaned_personal_finance_data3[[#This Row],[date]])</f>
        <v>10</v>
      </c>
      <c r="H502">
        <f>YEAR(cleaned_personal_finance_data3[[#This Row],[date]])</f>
        <v>2024</v>
      </c>
      <c r="I502" t="s">
        <v>66</v>
      </c>
    </row>
    <row r="503" spans="1:9" x14ac:dyDescent="0.25">
      <c r="A503">
        <v>502</v>
      </c>
      <c r="B503" s="1">
        <v>45569</v>
      </c>
      <c r="C503" t="s">
        <v>80</v>
      </c>
      <c r="D503">
        <v>120</v>
      </c>
      <c r="E503" t="s">
        <v>15</v>
      </c>
      <c r="F503" t="s">
        <v>13</v>
      </c>
      <c r="G503">
        <f>MONTH(cleaned_personal_finance_data3[[#This Row],[date]])</f>
        <v>10</v>
      </c>
      <c r="H503">
        <f>YEAR(cleaned_personal_finance_data3[[#This Row],[date]])</f>
        <v>2024</v>
      </c>
      <c r="I503" t="s">
        <v>43</v>
      </c>
    </row>
    <row r="504" spans="1:9" x14ac:dyDescent="0.25">
      <c r="A504">
        <v>503</v>
      </c>
      <c r="B504" s="1">
        <v>45569</v>
      </c>
      <c r="C504" t="s">
        <v>54</v>
      </c>
      <c r="D504">
        <v>218</v>
      </c>
      <c r="E504" t="s">
        <v>15</v>
      </c>
      <c r="F504" t="s">
        <v>13</v>
      </c>
      <c r="G504">
        <f>MONTH(cleaned_personal_finance_data3[[#This Row],[date]])</f>
        <v>10</v>
      </c>
      <c r="H504">
        <f>YEAR(cleaned_personal_finance_data3[[#This Row],[date]])</f>
        <v>2024</v>
      </c>
      <c r="I504" t="s">
        <v>54</v>
      </c>
    </row>
    <row r="505" spans="1:9" hidden="1" x14ac:dyDescent="0.25">
      <c r="A505">
        <v>504</v>
      </c>
      <c r="B505" s="1">
        <v>45569</v>
      </c>
      <c r="C505" t="s">
        <v>227</v>
      </c>
      <c r="D505">
        <v>855</v>
      </c>
      <c r="E505" t="s">
        <v>12</v>
      </c>
      <c r="F505" t="s">
        <v>21</v>
      </c>
      <c r="G505">
        <f>MONTH(cleaned_personal_finance_data3[[#This Row],[date]])</f>
        <v>10</v>
      </c>
      <c r="H505">
        <f>YEAR(cleaned_personal_finance_data3[[#This Row],[date]])</f>
        <v>2024</v>
      </c>
      <c r="I505" t="s">
        <v>319</v>
      </c>
    </row>
    <row r="506" spans="1:9" x14ac:dyDescent="0.25">
      <c r="A506">
        <v>505</v>
      </c>
      <c r="B506" s="1">
        <v>45570</v>
      </c>
      <c r="C506" t="s">
        <v>229</v>
      </c>
      <c r="D506">
        <v>45</v>
      </c>
      <c r="E506" t="s">
        <v>15</v>
      </c>
      <c r="F506" t="s">
        <v>13</v>
      </c>
      <c r="G506">
        <f>MONTH(cleaned_personal_finance_data3[[#This Row],[date]])</f>
        <v>10</v>
      </c>
      <c r="H506">
        <f>YEAR(cleaned_personal_finance_data3[[#This Row],[date]])</f>
        <v>2024</v>
      </c>
      <c r="I506" t="s">
        <v>229</v>
      </c>
    </row>
    <row r="507" spans="1:9" x14ac:dyDescent="0.25">
      <c r="A507">
        <v>506</v>
      </c>
      <c r="B507" s="1">
        <v>45570</v>
      </c>
      <c r="C507" t="s">
        <v>129</v>
      </c>
      <c r="D507">
        <v>13</v>
      </c>
      <c r="E507" t="s">
        <v>15</v>
      </c>
      <c r="F507" t="s">
        <v>13</v>
      </c>
      <c r="G507">
        <f>MONTH(cleaned_personal_finance_data3[[#This Row],[date]])</f>
        <v>10</v>
      </c>
      <c r="H507">
        <f>YEAR(cleaned_personal_finance_data3[[#This Row],[date]])</f>
        <v>2024</v>
      </c>
      <c r="I507" t="s">
        <v>43</v>
      </c>
    </row>
    <row r="508" spans="1:9" x14ac:dyDescent="0.25">
      <c r="A508">
        <v>507</v>
      </c>
      <c r="B508" s="1">
        <v>45570</v>
      </c>
      <c r="C508" t="s">
        <v>85</v>
      </c>
      <c r="D508">
        <v>290</v>
      </c>
      <c r="E508" t="s">
        <v>15</v>
      </c>
      <c r="F508" t="s">
        <v>13</v>
      </c>
      <c r="G508">
        <f>MONTH(cleaned_personal_finance_data3[[#This Row],[date]])</f>
        <v>10</v>
      </c>
      <c r="H508">
        <f>YEAR(cleaned_personal_finance_data3[[#This Row],[date]])</f>
        <v>2024</v>
      </c>
      <c r="I508" t="s">
        <v>85</v>
      </c>
    </row>
    <row r="509" spans="1:9" x14ac:dyDescent="0.25">
      <c r="A509">
        <v>508</v>
      </c>
      <c r="B509" s="1">
        <v>45570</v>
      </c>
      <c r="C509" t="s">
        <v>61</v>
      </c>
      <c r="D509">
        <v>120</v>
      </c>
      <c r="E509" t="s">
        <v>15</v>
      </c>
      <c r="F509" t="s">
        <v>13</v>
      </c>
      <c r="G509">
        <f>MONTH(cleaned_personal_finance_data3[[#This Row],[date]])</f>
        <v>10</v>
      </c>
      <c r="H509">
        <f>YEAR(cleaned_personal_finance_data3[[#This Row],[date]])</f>
        <v>2024</v>
      </c>
      <c r="I509" t="s">
        <v>43</v>
      </c>
    </row>
    <row r="510" spans="1:9" x14ac:dyDescent="0.25">
      <c r="A510">
        <v>509</v>
      </c>
      <c r="B510" s="1">
        <v>45570</v>
      </c>
      <c r="C510" t="s">
        <v>76</v>
      </c>
      <c r="D510">
        <v>50</v>
      </c>
      <c r="E510" t="s">
        <v>15</v>
      </c>
      <c r="F510" t="s">
        <v>13</v>
      </c>
      <c r="G510">
        <f>MONTH(cleaned_personal_finance_data3[[#This Row],[date]])</f>
        <v>10</v>
      </c>
      <c r="H510">
        <f>YEAR(cleaned_personal_finance_data3[[#This Row],[date]])</f>
        <v>2024</v>
      </c>
      <c r="I510" t="s">
        <v>43</v>
      </c>
    </row>
    <row r="511" spans="1:9" x14ac:dyDescent="0.25">
      <c r="A511">
        <v>510</v>
      </c>
      <c r="B511" s="1">
        <v>45570</v>
      </c>
      <c r="C511" t="s">
        <v>184</v>
      </c>
      <c r="D511">
        <v>125</v>
      </c>
      <c r="E511" t="s">
        <v>15</v>
      </c>
      <c r="F511" t="s">
        <v>21</v>
      </c>
      <c r="G511">
        <f>MONTH(cleaned_personal_finance_data3[[#This Row],[date]])</f>
        <v>10</v>
      </c>
      <c r="H511">
        <f>YEAR(cleaned_personal_finance_data3[[#This Row],[date]])</f>
        <v>2024</v>
      </c>
      <c r="I511" t="s">
        <v>28</v>
      </c>
    </row>
    <row r="512" spans="1:9" x14ac:dyDescent="0.25">
      <c r="A512">
        <v>511</v>
      </c>
      <c r="B512" s="1">
        <v>45570</v>
      </c>
      <c r="C512" t="s">
        <v>28</v>
      </c>
      <c r="D512">
        <v>50</v>
      </c>
      <c r="E512" t="s">
        <v>15</v>
      </c>
      <c r="F512" t="s">
        <v>21</v>
      </c>
      <c r="G512">
        <f>MONTH(cleaned_personal_finance_data3[[#This Row],[date]])</f>
        <v>10</v>
      </c>
      <c r="H512">
        <f>YEAR(cleaned_personal_finance_data3[[#This Row],[date]])</f>
        <v>2024</v>
      </c>
      <c r="I512" t="s">
        <v>28</v>
      </c>
    </row>
    <row r="513" spans="1:9" x14ac:dyDescent="0.25">
      <c r="A513">
        <v>512</v>
      </c>
      <c r="B513" s="1">
        <v>45571</v>
      </c>
      <c r="C513" t="s">
        <v>24</v>
      </c>
      <c r="D513">
        <v>239</v>
      </c>
      <c r="E513" t="s">
        <v>15</v>
      </c>
      <c r="F513" t="s">
        <v>21</v>
      </c>
      <c r="G513">
        <f>MONTH(cleaned_personal_finance_data3[[#This Row],[date]])</f>
        <v>10</v>
      </c>
      <c r="H513">
        <f>YEAR(cleaned_personal_finance_data3[[#This Row],[date]])</f>
        <v>2024</v>
      </c>
      <c r="I513" t="s">
        <v>24</v>
      </c>
    </row>
    <row r="514" spans="1:9" x14ac:dyDescent="0.25">
      <c r="A514">
        <v>513</v>
      </c>
      <c r="B514" s="1">
        <v>45573</v>
      </c>
      <c r="C514" t="s">
        <v>230</v>
      </c>
      <c r="D514">
        <v>500</v>
      </c>
      <c r="E514" t="s">
        <v>15</v>
      </c>
      <c r="F514" t="s">
        <v>13</v>
      </c>
      <c r="G514">
        <f>MONTH(cleaned_personal_finance_data3[[#This Row],[date]])</f>
        <v>10</v>
      </c>
      <c r="H514">
        <f>YEAR(cleaned_personal_finance_data3[[#This Row],[date]])</f>
        <v>2024</v>
      </c>
      <c r="I514" t="s">
        <v>230</v>
      </c>
    </row>
    <row r="515" spans="1:9" x14ac:dyDescent="0.25">
      <c r="A515">
        <v>514</v>
      </c>
      <c r="B515" s="1">
        <v>45575</v>
      </c>
      <c r="C515" t="s">
        <v>218</v>
      </c>
      <c r="D515">
        <v>35</v>
      </c>
      <c r="E515" t="s">
        <v>15</v>
      </c>
      <c r="F515" t="s">
        <v>13</v>
      </c>
      <c r="G515">
        <f>MONTH(cleaned_personal_finance_data3[[#This Row],[date]])</f>
        <v>10</v>
      </c>
      <c r="H515">
        <f>YEAR(cleaned_personal_finance_data3[[#This Row],[date]])</f>
        <v>2024</v>
      </c>
      <c r="I515" t="s">
        <v>218</v>
      </c>
    </row>
    <row r="516" spans="1:9" x14ac:dyDescent="0.25">
      <c r="A516">
        <v>515</v>
      </c>
      <c r="B516" s="1">
        <v>45575</v>
      </c>
      <c r="C516" t="s">
        <v>64</v>
      </c>
      <c r="D516">
        <v>199</v>
      </c>
      <c r="E516" t="s">
        <v>15</v>
      </c>
      <c r="F516" t="s">
        <v>21</v>
      </c>
      <c r="G516">
        <f>MONTH(cleaned_personal_finance_data3[[#This Row],[date]])</f>
        <v>10</v>
      </c>
      <c r="H516">
        <f>YEAR(cleaned_personal_finance_data3[[#This Row],[date]])</f>
        <v>2024</v>
      </c>
      <c r="I516" t="s">
        <v>64</v>
      </c>
    </row>
    <row r="517" spans="1:9" hidden="1" x14ac:dyDescent="0.25">
      <c r="A517">
        <v>516</v>
      </c>
      <c r="B517" s="1">
        <v>45578</v>
      </c>
      <c r="C517" t="s">
        <v>231</v>
      </c>
      <c r="D517">
        <v>1021</v>
      </c>
      <c r="E517" t="s">
        <v>7</v>
      </c>
      <c r="F517" t="s">
        <v>8</v>
      </c>
      <c r="G517">
        <f>MONTH(cleaned_personal_finance_data3[[#This Row],[date]])</f>
        <v>10</v>
      </c>
      <c r="H517">
        <f>YEAR(cleaned_personal_finance_data3[[#This Row],[date]])</f>
        <v>2024</v>
      </c>
      <c r="I517" t="s">
        <v>231</v>
      </c>
    </row>
    <row r="518" spans="1:9" x14ac:dyDescent="0.25">
      <c r="A518">
        <v>517</v>
      </c>
      <c r="B518" s="1">
        <v>45578</v>
      </c>
      <c r="C518" t="s">
        <v>232</v>
      </c>
      <c r="D518">
        <v>3150</v>
      </c>
      <c r="E518" t="s">
        <v>15</v>
      </c>
      <c r="F518" t="s">
        <v>13</v>
      </c>
      <c r="G518">
        <f>MONTH(cleaned_personal_finance_data3[[#This Row],[date]])</f>
        <v>10</v>
      </c>
      <c r="H518">
        <f>YEAR(cleaned_personal_finance_data3[[#This Row],[date]])</f>
        <v>2024</v>
      </c>
      <c r="I518" t="s">
        <v>159</v>
      </c>
    </row>
    <row r="519" spans="1:9" x14ac:dyDescent="0.25">
      <c r="A519">
        <v>518</v>
      </c>
      <c r="B519" s="1">
        <v>45578</v>
      </c>
      <c r="C519" t="s">
        <v>233</v>
      </c>
      <c r="D519">
        <v>5000</v>
      </c>
      <c r="E519" t="s">
        <v>15</v>
      </c>
      <c r="F519" t="s">
        <v>13</v>
      </c>
      <c r="G519">
        <f>MONTH(cleaned_personal_finance_data3[[#This Row],[date]])</f>
        <v>10</v>
      </c>
      <c r="H519">
        <f>YEAR(cleaned_personal_finance_data3[[#This Row],[date]])</f>
        <v>2024</v>
      </c>
      <c r="I519" t="s">
        <v>145</v>
      </c>
    </row>
    <row r="520" spans="1:9" x14ac:dyDescent="0.25">
      <c r="A520">
        <v>519</v>
      </c>
      <c r="B520" s="1">
        <v>45578</v>
      </c>
      <c r="C520" t="s">
        <v>234</v>
      </c>
      <c r="D520">
        <v>1750</v>
      </c>
      <c r="E520" t="s">
        <v>15</v>
      </c>
      <c r="F520" t="s">
        <v>13</v>
      </c>
      <c r="G520">
        <f>MONTH(cleaned_personal_finance_data3[[#This Row],[date]])</f>
        <v>10</v>
      </c>
      <c r="H520">
        <f>YEAR(cleaned_personal_finance_data3[[#This Row],[date]])</f>
        <v>2024</v>
      </c>
      <c r="I520" t="s">
        <v>323</v>
      </c>
    </row>
    <row r="521" spans="1:9" x14ac:dyDescent="0.25">
      <c r="A521">
        <v>520</v>
      </c>
      <c r="B521" s="1">
        <v>45579</v>
      </c>
      <c r="C521" t="s">
        <v>235</v>
      </c>
      <c r="D521">
        <v>20</v>
      </c>
      <c r="E521" t="s">
        <v>15</v>
      </c>
      <c r="F521" t="s">
        <v>13</v>
      </c>
      <c r="G521">
        <f>MONTH(cleaned_personal_finance_data3[[#This Row],[date]])</f>
        <v>10</v>
      </c>
      <c r="H521">
        <f>YEAR(cleaned_personal_finance_data3[[#This Row],[date]])</f>
        <v>2024</v>
      </c>
      <c r="I521" t="s">
        <v>43</v>
      </c>
    </row>
    <row r="522" spans="1:9" x14ac:dyDescent="0.25">
      <c r="A522">
        <v>521</v>
      </c>
      <c r="B522" s="1">
        <v>45579</v>
      </c>
      <c r="C522" t="s">
        <v>218</v>
      </c>
      <c r="D522">
        <v>15</v>
      </c>
      <c r="E522" t="s">
        <v>15</v>
      </c>
      <c r="F522" t="s">
        <v>13</v>
      </c>
      <c r="G522">
        <f>MONTH(cleaned_personal_finance_data3[[#This Row],[date]])</f>
        <v>10</v>
      </c>
      <c r="H522">
        <f>YEAR(cleaned_personal_finance_data3[[#This Row],[date]])</f>
        <v>2024</v>
      </c>
      <c r="I522" t="s">
        <v>218</v>
      </c>
    </row>
    <row r="523" spans="1:9" hidden="1" x14ac:dyDescent="0.25">
      <c r="A523">
        <v>522</v>
      </c>
      <c r="B523" s="1">
        <v>45579</v>
      </c>
      <c r="C523" t="s">
        <v>6</v>
      </c>
      <c r="D523">
        <v>13240</v>
      </c>
      <c r="E523" t="s">
        <v>7</v>
      </c>
      <c r="F523" t="s">
        <v>8</v>
      </c>
      <c r="G523">
        <f>MONTH(cleaned_personal_finance_data3[[#This Row],[date]])</f>
        <v>10</v>
      </c>
      <c r="H523">
        <f>YEAR(cleaned_personal_finance_data3[[#This Row],[date]])</f>
        <v>2024</v>
      </c>
      <c r="I523" t="s">
        <v>318</v>
      </c>
    </row>
    <row r="524" spans="1:9" x14ac:dyDescent="0.25">
      <c r="A524">
        <v>523</v>
      </c>
      <c r="B524" s="1">
        <v>45581</v>
      </c>
      <c r="C524" t="s">
        <v>218</v>
      </c>
      <c r="D524">
        <v>45</v>
      </c>
      <c r="E524" t="s">
        <v>15</v>
      </c>
      <c r="F524" t="s">
        <v>13</v>
      </c>
      <c r="G524">
        <f>MONTH(cleaned_personal_finance_data3[[#This Row],[date]])</f>
        <v>10</v>
      </c>
      <c r="H524">
        <f>YEAR(cleaned_personal_finance_data3[[#This Row],[date]])</f>
        <v>2024</v>
      </c>
      <c r="I524" t="s">
        <v>218</v>
      </c>
    </row>
    <row r="525" spans="1:9" x14ac:dyDescent="0.25">
      <c r="A525">
        <v>524</v>
      </c>
      <c r="B525" s="1">
        <v>45581</v>
      </c>
      <c r="C525" t="s">
        <v>236</v>
      </c>
      <c r="D525">
        <v>50</v>
      </c>
      <c r="E525" t="s">
        <v>15</v>
      </c>
      <c r="F525" t="s">
        <v>13</v>
      </c>
      <c r="G525">
        <f>MONTH(cleaned_personal_finance_data3[[#This Row],[date]])</f>
        <v>10</v>
      </c>
      <c r="H525">
        <f>YEAR(cleaned_personal_finance_data3[[#This Row],[date]])</f>
        <v>2024</v>
      </c>
      <c r="I525" t="s">
        <v>236</v>
      </c>
    </row>
    <row r="526" spans="1:9" x14ac:dyDescent="0.25">
      <c r="A526">
        <v>525</v>
      </c>
      <c r="B526" s="1">
        <v>45581</v>
      </c>
      <c r="C526" t="s">
        <v>184</v>
      </c>
      <c r="D526">
        <v>125</v>
      </c>
      <c r="E526" t="s">
        <v>15</v>
      </c>
      <c r="F526" t="s">
        <v>21</v>
      </c>
      <c r="G526">
        <f>MONTH(cleaned_personal_finance_data3[[#This Row],[date]])</f>
        <v>10</v>
      </c>
      <c r="H526">
        <f>YEAR(cleaned_personal_finance_data3[[#This Row],[date]])</f>
        <v>2024</v>
      </c>
      <c r="I526" t="s">
        <v>28</v>
      </c>
    </row>
    <row r="527" spans="1:9" x14ac:dyDescent="0.25">
      <c r="A527">
        <v>526</v>
      </c>
      <c r="B527" s="1">
        <v>45583</v>
      </c>
      <c r="C527" t="s">
        <v>64</v>
      </c>
      <c r="D527">
        <v>199</v>
      </c>
      <c r="E527" t="s">
        <v>15</v>
      </c>
      <c r="F527" t="s">
        <v>21</v>
      </c>
      <c r="G527">
        <f>MONTH(cleaned_personal_finance_data3[[#This Row],[date]])</f>
        <v>10</v>
      </c>
      <c r="H527">
        <f>YEAR(cleaned_personal_finance_data3[[#This Row],[date]])</f>
        <v>2024</v>
      </c>
      <c r="I527" t="s">
        <v>64</v>
      </c>
    </row>
    <row r="528" spans="1:9" x14ac:dyDescent="0.25">
      <c r="A528">
        <v>527</v>
      </c>
      <c r="B528" s="1">
        <v>45584</v>
      </c>
      <c r="C528" t="s">
        <v>28</v>
      </c>
      <c r="D528">
        <v>125</v>
      </c>
      <c r="E528" t="s">
        <v>15</v>
      </c>
      <c r="F528" t="s">
        <v>21</v>
      </c>
      <c r="G528">
        <f>MONTH(cleaned_personal_finance_data3[[#This Row],[date]])</f>
        <v>10</v>
      </c>
      <c r="H528">
        <f>YEAR(cleaned_personal_finance_data3[[#This Row],[date]])</f>
        <v>2024</v>
      </c>
      <c r="I528" t="s">
        <v>28</v>
      </c>
    </row>
    <row r="529" spans="1:9" x14ac:dyDescent="0.25">
      <c r="A529">
        <v>528</v>
      </c>
      <c r="B529" s="1">
        <v>45587</v>
      </c>
      <c r="C529" t="s">
        <v>103</v>
      </c>
      <c r="D529">
        <v>260</v>
      </c>
      <c r="E529" t="s">
        <v>15</v>
      </c>
      <c r="F529" t="s">
        <v>13</v>
      </c>
      <c r="G529">
        <f>MONTH(cleaned_personal_finance_data3[[#This Row],[date]])</f>
        <v>10</v>
      </c>
      <c r="H529">
        <f>YEAR(cleaned_personal_finance_data3[[#This Row],[date]])</f>
        <v>2024</v>
      </c>
      <c r="I529" t="s">
        <v>329</v>
      </c>
    </row>
    <row r="530" spans="1:9" x14ac:dyDescent="0.25">
      <c r="A530">
        <v>529</v>
      </c>
      <c r="B530" s="1">
        <v>45587</v>
      </c>
      <c r="C530" t="s">
        <v>34</v>
      </c>
      <c r="D530">
        <v>129</v>
      </c>
      <c r="E530" t="s">
        <v>15</v>
      </c>
      <c r="F530" t="s">
        <v>21</v>
      </c>
      <c r="G530">
        <f>MONTH(cleaned_personal_finance_data3[[#This Row],[date]])</f>
        <v>10</v>
      </c>
      <c r="H530">
        <f>YEAR(cleaned_personal_finance_data3[[#This Row],[date]])</f>
        <v>2024</v>
      </c>
      <c r="I530" t="s">
        <v>34</v>
      </c>
    </row>
    <row r="531" spans="1:9" x14ac:dyDescent="0.25">
      <c r="A531">
        <v>530</v>
      </c>
      <c r="B531" s="1">
        <v>45588</v>
      </c>
      <c r="C531" t="s">
        <v>237</v>
      </c>
      <c r="D531">
        <v>8</v>
      </c>
      <c r="E531" t="s">
        <v>15</v>
      </c>
      <c r="F531" t="s">
        <v>13</v>
      </c>
      <c r="G531">
        <f>MONTH(cleaned_personal_finance_data3[[#This Row],[date]])</f>
        <v>10</v>
      </c>
      <c r="H531">
        <f>YEAR(cleaned_personal_finance_data3[[#This Row],[date]])</f>
        <v>2024</v>
      </c>
      <c r="I531" t="s">
        <v>237</v>
      </c>
    </row>
    <row r="532" spans="1:9" x14ac:dyDescent="0.25">
      <c r="A532">
        <v>531</v>
      </c>
      <c r="B532" s="1">
        <v>45588</v>
      </c>
      <c r="C532" t="s">
        <v>28</v>
      </c>
      <c r="D532">
        <v>125</v>
      </c>
      <c r="E532" t="s">
        <v>15</v>
      </c>
      <c r="F532" t="s">
        <v>21</v>
      </c>
      <c r="G532">
        <f>MONTH(cleaned_personal_finance_data3[[#This Row],[date]])</f>
        <v>10</v>
      </c>
      <c r="H532">
        <f>YEAR(cleaned_personal_finance_data3[[#This Row],[date]])</f>
        <v>2024</v>
      </c>
      <c r="I532" t="s">
        <v>28</v>
      </c>
    </row>
    <row r="533" spans="1:9" x14ac:dyDescent="0.25">
      <c r="A533">
        <v>532</v>
      </c>
      <c r="B533" s="1">
        <v>45589</v>
      </c>
      <c r="C533" t="s">
        <v>28</v>
      </c>
      <c r="D533">
        <v>125</v>
      </c>
      <c r="E533" t="s">
        <v>15</v>
      </c>
      <c r="F533" t="s">
        <v>21</v>
      </c>
      <c r="G533">
        <f>MONTH(cleaned_personal_finance_data3[[#This Row],[date]])</f>
        <v>10</v>
      </c>
      <c r="H533">
        <f>YEAR(cleaned_personal_finance_data3[[#This Row],[date]])</f>
        <v>2024</v>
      </c>
      <c r="I533" t="s">
        <v>28</v>
      </c>
    </row>
    <row r="534" spans="1:9" x14ac:dyDescent="0.25">
      <c r="A534">
        <v>533</v>
      </c>
      <c r="B534" s="1">
        <v>45590</v>
      </c>
      <c r="C534" t="s">
        <v>238</v>
      </c>
      <c r="D534">
        <v>10000</v>
      </c>
      <c r="E534" t="s">
        <v>15</v>
      </c>
      <c r="F534" t="s">
        <v>13</v>
      </c>
      <c r="G534">
        <f>MONTH(cleaned_personal_finance_data3[[#This Row],[date]])</f>
        <v>10</v>
      </c>
      <c r="H534">
        <f>YEAR(cleaned_personal_finance_data3[[#This Row],[date]])</f>
        <v>2024</v>
      </c>
      <c r="I534" t="s">
        <v>238</v>
      </c>
    </row>
    <row r="535" spans="1:9" x14ac:dyDescent="0.25">
      <c r="A535">
        <v>534</v>
      </c>
      <c r="B535" s="1">
        <v>45590</v>
      </c>
      <c r="C535" t="s">
        <v>28</v>
      </c>
      <c r="D535">
        <v>25</v>
      </c>
      <c r="E535" t="s">
        <v>15</v>
      </c>
      <c r="F535" t="s">
        <v>21</v>
      </c>
      <c r="G535">
        <f>MONTH(cleaned_personal_finance_data3[[#This Row],[date]])</f>
        <v>10</v>
      </c>
      <c r="H535">
        <f>YEAR(cleaned_personal_finance_data3[[#This Row],[date]])</f>
        <v>2024</v>
      </c>
      <c r="I535" t="s">
        <v>28</v>
      </c>
    </row>
    <row r="536" spans="1:9" x14ac:dyDescent="0.25">
      <c r="A536">
        <v>535</v>
      </c>
      <c r="B536" s="1">
        <v>45591</v>
      </c>
      <c r="C536" t="s">
        <v>78</v>
      </c>
      <c r="D536">
        <v>200</v>
      </c>
      <c r="E536" t="s">
        <v>15</v>
      </c>
      <c r="F536" t="s">
        <v>13</v>
      </c>
      <c r="G536">
        <f>MONTH(cleaned_personal_finance_data3[[#This Row],[date]])</f>
        <v>10</v>
      </c>
      <c r="H536">
        <f>YEAR(cleaned_personal_finance_data3[[#This Row],[date]])</f>
        <v>2024</v>
      </c>
      <c r="I536" t="s">
        <v>78</v>
      </c>
    </row>
    <row r="537" spans="1:9" x14ac:dyDescent="0.25">
      <c r="A537">
        <v>536</v>
      </c>
      <c r="B537" s="1">
        <v>45591</v>
      </c>
      <c r="C537" t="s">
        <v>64</v>
      </c>
      <c r="D537">
        <v>199</v>
      </c>
      <c r="E537" t="s">
        <v>15</v>
      </c>
      <c r="F537" t="s">
        <v>21</v>
      </c>
      <c r="G537">
        <f>MONTH(cleaned_personal_finance_data3[[#This Row],[date]])</f>
        <v>10</v>
      </c>
      <c r="H537">
        <f>YEAR(cleaned_personal_finance_data3[[#This Row],[date]])</f>
        <v>2024</v>
      </c>
      <c r="I537" t="s">
        <v>64</v>
      </c>
    </row>
    <row r="538" spans="1:9" x14ac:dyDescent="0.25">
      <c r="A538">
        <v>537</v>
      </c>
      <c r="B538" s="1">
        <v>45595</v>
      </c>
      <c r="C538" t="s">
        <v>218</v>
      </c>
      <c r="D538">
        <v>15</v>
      </c>
      <c r="E538" t="s">
        <v>15</v>
      </c>
      <c r="F538" t="s">
        <v>13</v>
      </c>
      <c r="G538">
        <f>MONTH(cleaned_personal_finance_data3[[#This Row],[date]])</f>
        <v>10</v>
      </c>
      <c r="H538">
        <f>YEAR(cleaned_personal_finance_data3[[#This Row],[date]])</f>
        <v>2024</v>
      </c>
      <c r="I538" t="s">
        <v>218</v>
      </c>
    </row>
    <row r="539" spans="1:9" x14ac:dyDescent="0.25">
      <c r="A539">
        <v>538</v>
      </c>
      <c r="B539" s="1">
        <v>45595</v>
      </c>
      <c r="C539" t="s">
        <v>239</v>
      </c>
      <c r="D539">
        <v>92</v>
      </c>
      <c r="E539" t="s">
        <v>15</v>
      </c>
      <c r="F539" t="s">
        <v>21</v>
      </c>
      <c r="G539">
        <f>MONTH(cleaned_personal_finance_data3[[#This Row],[date]])</f>
        <v>10</v>
      </c>
      <c r="H539">
        <f>YEAR(cleaned_personal_finance_data3[[#This Row],[date]])</f>
        <v>2024</v>
      </c>
      <c r="I539" t="s">
        <v>324</v>
      </c>
    </row>
    <row r="540" spans="1:9" x14ac:dyDescent="0.25">
      <c r="A540">
        <v>539</v>
      </c>
      <c r="B540" s="1">
        <v>45596</v>
      </c>
      <c r="C540" t="s">
        <v>78</v>
      </c>
      <c r="D540">
        <v>150</v>
      </c>
      <c r="E540" t="s">
        <v>15</v>
      </c>
      <c r="F540" t="s">
        <v>13</v>
      </c>
      <c r="G540">
        <f>MONTH(cleaned_personal_finance_data3[[#This Row],[date]])</f>
        <v>10</v>
      </c>
      <c r="H540">
        <f>YEAR(cleaned_personal_finance_data3[[#This Row],[date]])</f>
        <v>2024</v>
      </c>
      <c r="I540" t="s">
        <v>78</v>
      </c>
    </row>
    <row r="541" spans="1:9" hidden="1" x14ac:dyDescent="0.25">
      <c r="A541">
        <v>540</v>
      </c>
      <c r="B541" s="1">
        <v>45596</v>
      </c>
      <c r="C541" t="s">
        <v>6</v>
      </c>
      <c r="D541">
        <v>13241</v>
      </c>
      <c r="E541" t="s">
        <v>7</v>
      </c>
      <c r="F541" t="s">
        <v>8</v>
      </c>
      <c r="G541">
        <f>MONTH(cleaned_personal_finance_data3[[#This Row],[date]])</f>
        <v>10</v>
      </c>
      <c r="H541">
        <f>YEAR(cleaned_personal_finance_data3[[#This Row],[date]])</f>
        <v>2024</v>
      </c>
      <c r="I541" t="s">
        <v>318</v>
      </c>
    </row>
    <row r="542" spans="1:9" x14ac:dyDescent="0.25">
      <c r="A542">
        <v>541</v>
      </c>
      <c r="B542" s="1">
        <v>45598</v>
      </c>
      <c r="C542" t="s">
        <v>240</v>
      </c>
      <c r="D542">
        <v>35</v>
      </c>
      <c r="E542" t="s">
        <v>15</v>
      </c>
      <c r="F542" t="s">
        <v>13</v>
      </c>
      <c r="G542">
        <f>MONTH(cleaned_personal_finance_data3[[#This Row],[date]])</f>
        <v>11</v>
      </c>
      <c r="H542">
        <f>YEAR(cleaned_personal_finance_data3[[#This Row],[date]])</f>
        <v>2024</v>
      </c>
      <c r="I542" t="s">
        <v>240</v>
      </c>
    </row>
    <row r="543" spans="1:9" x14ac:dyDescent="0.25">
      <c r="A543">
        <v>542</v>
      </c>
      <c r="B543" s="1">
        <v>45599</v>
      </c>
      <c r="C543" t="s">
        <v>64</v>
      </c>
      <c r="D543">
        <v>199</v>
      </c>
      <c r="E543" t="s">
        <v>15</v>
      </c>
      <c r="F543" t="s">
        <v>21</v>
      </c>
      <c r="G543">
        <f>MONTH(cleaned_personal_finance_data3[[#This Row],[date]])</f>
        <v>11</v>
      </c>
      <c r="H543">
        <f>YEAR(cleaned_personal_finance_data3[[#This Row],[date]])</f>
        <v>2024</v>
      </c>
      <c r="I543" t="s">
        <v>64</v>
      </c>
    </row>
    <row r="544" spans="1:9" x14ac:dyDescent="0.25">
      <c r="A544">
        <v>543</v>
      </c>
      <c r="B544" s="1">
        <v>45601</v>
      </c>
      <c r="C544" t="s">
        <v>241</v>
      </c>
      <c r="D544">
        <v>30</v>
      </c>
      <c r="E544" t="s">
        <v>15</v>
      </c>
      <c r="F544" t="s">
        <v>13</v>
      </c>
      <c r="G544">
        <f>MONTH(cleaned_personal_finance_data3[[#This Row],[date]])</f>
        <v>11</v>
      </c>
      <c r="H544">
        <f>YEAR(cleaned_personal_finance_data3[[#This Row],[date]])</f>
        <v>2024</v>
      </c>
      <c r="I544" t="s">
        <v>241</v>
      </c>
    </row>
    <row r="545" spans="1:9" x14ac:dyDescent="0.25">
      <c r="A545">
        <v>544</v>
      </c>
      <c r="B545" s="1">
        <v>45601</v>
      </c>
      <c r="C545" t="s">
        <v>242</v>
      </c>
      <c r="D545">
        <v>15</v>
      </c>
      <c r="E545" t="s">
        <v>15</v>
      </c>
      <c r="F545" t="s">
        <v>13</v>
      </c>
      <c r="G545">
        <f>MONTH(cleaned_personal_finance_data3[[#This Row],[date]])</f>
        <v>11</v>
      </c>
      <c r="H545">
        <f>YEAR(cleaned_personal_finance_data3[[#This Row],[date]])</f>
        <v>2024</v>
      </c>
      <c r="I545" t="s">
        <v>242</v>
      </c>
    </row>
    <row r="546" spans="1:9" x14ac:dyDescent="0.25">
      <c r="A546">
        <v>545</v>
      </c>
      <c r="B546" s="1">
        <v>45602</v>
      </c>
      <c r="C546" t="s">
        <v>242</v>
      </c>
      <c r="D546">
        <v>15</v>
      </c>
      <c r="E546" t="s">
        <v>15</v>
      </c>
      <c r="F546" t="s">
        <v>13</v>
      </c>
      <c r="G546">
        <f>MONTH(cleaned_personal_finance_data3[[#This Row],[date]])</f>
        <v>11</v>
      </c>
      <c r="H546">
        <f>YEAR(cleaned_personal_finance_data3[[#This Row],[date]])</f>
        <v>2024</v>
      </c>
      <c r="I546" t="s">
        <v>242</v>
      </c>
    </row>
    <row r="547" spans="1:9" x14ac:dyDescent="0.25">
      <c r="A547">
        <v>546</v>
      </c>
      <c r="B547" s="1">
        <v>45603</v>
      </c>
      <c r="C547" t="s">
        <v>242</v>
      </c>
      <c r="D547">
        <v>15</v>
      </c>
      <c r="E547" t="s">
        <v>15</v>
      </c>
      <c r="F547" t="s">
        <v>13</v>
      </c>
      <c r="G547">
        <f>MONTH(cleaned_personal_finance_data3[[#This Row],[date]])</f>
        <v>11</v>
      </c>
      <c r="H547">
        <f>YEAR(cleaned_personal_finance_data3[[#This Row],[date]])</f>
        <v>2024</v>
      </c>
      <c r="I547" t="s">
        <v>242</v>
      </c>
    </row>
    <row r="548" spans="1:9" x14ac:dyDescent="0.25">
      <c r="A548">
        <v>547</v>
      </c>
      <c r="B548" s="1">
        <v>45603</v>
      </c>
      <c r="C548" t="s">
        <v>243</v>
      </c>
      <c r="D548">
        <v>20</v>
      </c>
      <c r="E548" t="s">
        <v>15</v>
      </c>
      <c r="F548" t="s">
        <v>13</v>
      </c>
      <c r="G548">
        <f>MONTH(cleaned_personal_finance_data3[[#This Row],[date]])</f>
        <v>11</v>
      </c>
      <c r="H548">
        <f>YEAR(cleaned_personal_finance_data3[[#This Row],[date]])</f>
        <v>2024</v>
      </c>
      <c r="I548" t="s">
        <v>243</v>
      </c>
    </row>
    <row r="549" spans="1:9" x14ac:dyDescent="0.25">
      <c r="A549">
        <v>548</v>
      </c>
      <c r="B549" s="1">
        <v>45607</v>
      </c>
      <c r="C549" t="s">
        <v>244</v>
      </c>
      <c r="D549">
        <v>500</v>
      </c>
      <c r="E549" t="s">
        <v>15</v>
      </c>
      <c r="F549" t="s">
        <v>13</v>
      </c>
      <c r="G549">
        <f>MONTH(cleaned_personal_finance_data3[[#This Row],[date]])</f>
        <v>11</v>
      </c>
      <c r="H549">
        <f>YEAR(cleaned_personal_finance_data3[[#This Row],[date]])</f>
        <v>2024</v>
      </c>
      <c r="I549" t="s">
        <v>244</v>
      </c>
    </row>
    <row r="550" spans="1:9" x14ac:dyDescent="0.25">
      <c r="A550">
        <v>549</v>
      </c>
      <c r="B550" s="1">
        <v>45607</v>
      </c>
      <c r="C550" t="s">
        <v>245</v>
      </c>
      <c r="D550">
        <v>200</v>
      </c>
      <c r="E550" t="s">
        <v>15</v>
      </c>
      <c r="F550" t="s">
        <v>13</v>
      </c>
      <c r="G550">
        <f>MONTH(cleaned_personal_finance_data3[[#This Row],[date]])</f>
        <v>11</v>
      </c>
      <c r="H550">
        <f>YEAR(cleaned_personal_finance_data3[[#This Row],[date]])</f>
        <v>2024</v>
      </c>
      <c r="I550" t="s">
        <v>245</v>
      </c>
    </row>
    <row r="551" spans="1:9" x14ac:dyDescent="0.25">
      <c r="A551">
        <v>550</v>
      </c>
      <c r="B551" s="1">
        <v>45607</v>
      </c>
      <c r="C551" t="s">
        <v>67</v>
      </c>
      <c r="D551">
        <v>50</v>
      </c>
      <c r="E551" t="s">
        <v>15</v>
      </c>
      <c r="F551" t="s">
        <v>13</v>
      </c>
      <c r="G551">
        <f>MONTH(cleaned_personal_finance_data3[[#This Row],[date]])</f>
        <v>11</v>
      </c>
      <c r="H551">
        <f>YEAR(cleaned_personal_finance_data3[[#This Row],[date]])</f>
        <v>2024</v>
      </c>
      <c r="I551" t="s">
        <v>67</v>
      </c>
    </row>
    <row r="552" spans="1:9" x14ac:dyDescent="0.25">
      <c r="A552">
        <v>551</v>
      </c>
      <c r="B552" s="1">
        <v>45607</v>
      </c>
      <c r="C552" t="s">
        <v>246</v>
      </c>
      <c r="D552">
        <v>20</v>
      </c>
      <c r="E552" t="s">
        <v>15</v>
      </c>
      <c r="F552" t="s">
        <v>13</v>
      </c>
      <c r="G552">
        <f>MONTH(cleaned_personal_finance_data3[[#This Row],[date]])</f>
        <v>11</v>
      </c>
      <c r="H552">
        <f>YEAR(cleaned_personal_finance_data3[[#This Row],[date]])</f>
        <v>2024</v>
      </c>
      <c r="I552" t="s">
        <v>246</v>
      </c>
    </row>
    <row r="553" spans="1:9" x14ac:dyDescent="0.25">
      <c r="A553">
        <v>552</v>
      </c>
      <c r="B553" s="1">
        <v>45607</v>
      </c>
      <c r="C553" t="s">
        <v>247</v>
      </c>
      <c r="D553">
        <v>40</v>
      </c>
      <c r="E553" t="s">
        <v>15</v>
      </c>
      <c r="F553" t="s">
        <v>13</v>
      </c>
      <c r="G553">
        <f>MONTH(cleaned_personal_finance_data3[[#This Row],[date]])</f>
        <v>11</v>
      </c>
      <c r="H553">
        <f>YEAR(cleaned_personal_finance_data3[[#This Row],[date]])</f>
        <v>2024</v>
      </c>
      <c r="I553" t="s">
        <v>247</v>
      </c>
    </row>
    <row r="554" spans="1:9" x14ac:dyDescent="0.25">
      <c r="A554">
        <v>553</v>
      </c>
      <c r="B554" s="1">
        <v>45608</v>
      </c>
      <c r="C554" t="s">
        <v>218</v>
      </c>
      <c r="D554">
        <v>45</v>
      </c>
      <c r="E554" t="s">
        <v>15</v>
      </c>
      <c r="F554" t="s">
        <v>13</v>
      </c>
      <c r="G554">
        <f>MONTH(cleaned_personal_finance_data3[[#This Row],[date]])</f>
        <v>11</v>
      </c>
      <c r="H554">
        <f>YEAR(cleaned_personal_finance_data3[[#This Row],[date]])</f>
        <v>2024</v>
      </c>
      <c r="I554" t="s">
        <v>218</v>
      </c>
    </row>
    <row r="555" spans="1:9" x14ac:dyDescent="0.25">
      <c r="A555">
        <v>554</v>
      </c>
      <c r="B555" s="1">
        <v>45608</v>
      </c>
      <c r="C555" t="s">
        <v>103</v>
      </c>
      <c r="D555">
        <v>265</v>
      </c>
      <c r="E555" t="s">
        <v>15</v>
      </c>
      <c r="F555" t="s">
        <v>13</v>
      </c>
      <c r="G555">
        <f>MONTH(cleaned_personal_finance_data3[[#This Row],[date]])</f>
        <v>11</v>
      </c>
      <c r="H555">
        <f>YEAR(cleaned_personal_finance_data3[[#This Row],[date]])</f>
        <v>2024</v>
      </c>
      <c r="I555" t="s">
        <v>329</v>
      </c>
    </row>
    <row r="556" spans="1:9" hidden="1" x14ac:dyDescent="0.25">
      <c r="A556">
        <v>555</v>
      </c>
      <c r="B556" s="1">
        <v>45608</v>
      </c>
      <c r="C556" t="s">
        <v>248</v>
      </c>
      <c r="D556">
        <v>27000</v>
      </c>
      <c r="E556" t="s">
        <v>7</v>
      </c>
      <c r="F556" t="s">
        <v>8</v>
      </c>
      <c r="G556">
        <f>MONTH(cleaned_personal_finance_data3[[#This Row],[date]])</f>
        <v>11</v>
      </c>
      <c r="H556">
        <f>YEAR(cleaned_personal_finance_data3[[#This Row],[date]])</f>
        <v>2024</v>
      </c>
      <c r="I556" t="s">
        <v>327</v>
      </c>
    </row>
    <row r="557" spans="1:9" hidden="1" x14ac:dyDescent="0.25">
      <c r="A557">
        <v>556</v>
      </c>
      <c r="B557" s="1">
        <v>45608</v>
      </c>
      <c r="C557" t="s">
        <v>249</v>
      </c>
      <c r="D557">
        <v>5000</v>
      </c>
      <c r="E557" t="s">
        <v>7</v>
      </c>
      <c r="F557" t="s">
        <v>8</v>
      </c>
      <c r="G557">
        <f>MONTH(cleaned_personal_finance_data3[[#This Row],[date]])</f>
        <v>11</v>
      </c>
      <c r="H557">
        <f>YEAR(cleaned_personal_finance_data3[[#This Row],[date]])</f>
        <v>2024</v>
      </c>
      <c r="I557" t="s">
        <v>249</v>
      </c>
    </row>
    <row r="558" spans="1:9" hidden="1" x14ac:dyDescent="0.25">
      <c r="A558">
        <v>557</v>
      </c>
      <c r="B558" s="1">
        <v>45608</v>
      </c>
      <c r="C558" t="s">
        <v>6</v>
      </c>
      <c r="D558">
        <v>14752</v>
      </c>
      <c r="E558" t="s">
        <v>7</v>
      </c>
      <c r="F558" t="s">
        <v>8</v>
      </c>
      <c r="G558">
        <f>MONTH(cleaned_personal_finance_data3[[#This Row],[date]])</f>
        <v>11</v>
      </c>
      <c r="H558">
        <f>YEAR(cleaned_personal_finance_data3[[#This Row],[date]])</f>
        <v>2024</v>
      </c>
      <c r="I558" t="s">
        <v>318</v>
      </c>
    </row>
    <row r="559" spans="1:9" x14ac:dyDescent="0.25">
      <c r="A559">
        <v>558</v>
      </c>
      <c r="B559" s="1">
        <v>45609</v>
      </c>
      <c r="C559" t="s">
        <v>218</v>
      </c>
      <c r="D559">
        <v>30</v>
      </c>
      <c r="E559" t="s">
        <v>15</v>
      </c>
      <c r="F559" t="s">
        <v>13</v>
      </c>
      <c r="G559">
        <f>MONTH(cleaned_personal_finance_data3[[#This Row],[date]])</f>
        <v>11</v>
      </c>
      <c r="H559">
        <f>YEAR(cleaned_personal_finance_data3[[#This Row],[date]])</f>
        <v>2024</v>
      </c>
      <c r="I559" t="s">
        <v>218</v>
      </c>
    </row>
    <row r="560" spans="1:9" x14ac:dyDescent="0.25">
      <c r="A560">
        <v>559</v>
      </c>
      <c r="B560" s="1">
        <v>45609</v>
      </c>
      <c r="C560" t="s">
        <v>250</v>
      </c>
      <c r="D560">
        <v>2325</v>
      </c>
      <c r="E560" t="s">
        <v>15</v>
      </c>
      <c r="F560" t="s">
        <v>13</v>
      </c>
      <c r="G560">
        <f>MONTH(cleaned_personal_finance_data3[[#This Row],[date]])</f>
        <v>11</v>
      </c>
      <c r="H560">
        <f>YEAR(cleaned_personal_finance_data3[[#This Row],[date]])</f>
        <v>2024</v>
      </c>
      <c r="I560" t="s">
        <v>159</v>
      </c>
    </row>
    <row r="561" spans="1:9" x14ac:dyDescent="0.25">
      <c r="A561">
        <v>560</v>
      </c>
      <c r="B561" s="1">
        <v>45609</v>
      </c>
      <c r="C561" t="s">
        <v>145</v>
      </c>
      <c r="D561">
        <v>5000</v>
      </c>
      <c r="E561" t="s">
        <v>15</v>
      </c>
      <c r="F561" t="s">
        <v>13</v>
      </c>
      <c r="G561">
        <f>MONTH(cleaned_personal_finance_data3[[#This Row],[date]])</f>
        <v>11</v>
      </c>
      <c r="H561">
        <f>YEAR(cleaned_personal_finance_data3[[#This Row],[date]])</f>
        <v>2024</v>
      </c>
      <c r="I561" t="s">
        <v>145</v>
      </c>
    </row>
    <row r="562" spans="1:9" x14ac:dyDescent="0.25">
      <c r="A562">
        <v>561</v>
      </c>
      <c r="B562" s="1">
        <v>45609</v>
      </c>
      <c r="C562" t="s">
        <v>251</v>
      </c>
      <c r="D562">
        <v>300</v>
      </c>
      <c r="E562" t="s">
        <v>15</v>
      </c>
      <c r="F562" t="s">
        <v>13</v>
      </c>
      <c r="G562">
        <f>MONTH(cleaned_personal_finance_data3[[#This Row],[date]])</f>
        <v>11</v>
      </c>
      <c r="H562">
        <f>YEAR(cleaned_personal_finance_data3[[#This Row],[date]])</f>
        <v>2024</v>
      </c>
      <c r="I562" t="s">
        <v>251</v>
      </c>
    </row>
    <row r="563" spans="1:9" x14ac:dyDescent="0.25">
      <c r="A563">
        <v>562</v>
      </c>
      <c r="B563" s="1">
        <v>45611</v>
      </c>
      <c r="C563" t="s">
        <v>226</v>
      </c>
      <c r="D563">
        <v>100</v>
      </c>
      <c r="E563" t="s">
        <v>15</v>
      </c>
      <c r="F563" t="s">
        <v>13</v>
      </c>
      <c r="G563">
        <f>MONTH(cleaned_personal_finance_data3[[#This Row],[date]])</f>
        <v>11</v>
      </c>
      <c r="H563">
        <f>YEAR(cleaned_personal_finance_data3[[#This Row],[date]])</f>
        <v>2024</v>
      </c>
      <c r="I563" t="s">
        <v>226</v>
      </c>
    </row>
    <row r="564" spans="1:9" x14ac:dyDescent="0.25">
      <c r="A564">
        <v>563</v>
      </c>
      <c r="B564" s="1">
        <v>45614</v>
      </c>
      <c r="C564" t="s">
        <v>252</v>
      </c>
      <c r="D564">
        <v>100</v>
      </c>
      <c r="E564" t="s">
        <v>15</v>
      </c>
      <c r="F564" t="s">
        <v>13</v>
      </c>
      <c r="G564">
        <f>MONTH(cleaned_personal_finance_data3[[#This Row],[date]])</f>
        <v>11</v>
      </c>
      <c r="H564">
        <f>YEAR(cleaned_personal_finance_data3[[#This Row],[date]])</f>
        <v>2024</v>
      </c>
      <c r="I564" t="s">
        <v>198</v>
      </c>
    </row>
    <row r="565" spans="1:9" x14ac:dyDescent="0.25">
      <c r="A565">
        <v>564</v>
      </c>
      <c r="B565" s="1">
        <v>45614</v>
      </c>
      <c r="C565" t="s">
        <v>218</v>
      </c>
      <c r="D565">
        <v>15</v>
      </c>
      <c r="E565" t="s">
        <v>15</v>
      </c>
      <c r="F565" t="s">
        <v>13</v>
      </c>
      <c r="G565">
        <f>MONTH(cleaned_personal_finance_data3[[#This Row],[date]])</f>
        <v>11</v>
      </c>
      <c r="H565">
        <f>YEAR(cleaned_personal_finance_data3[[#This Row],[date]])</f>
        <v>2024</v>
      </c>
      <c r="I565" t="s">
        <v>218</v>
      </c>
    </row>
    <row r="566" spans="1:9" x14ac:dyDescent="0.25">
      <c r="A566">
        <v>565</v>
      </c>
      <c r="B566" s="1">
        <v>45615</v>
      </c>
      <c r="C566" t="s">
        <v>218</v>
      </c>
      <c r="D566">
        <v>15</v>
      </c>
      <c r="E566" t="s">
        <v>15</v>
      </c>
      <c r="F566" t="s">
        <v>13</v>
      </c>
      <c r="G566">
        <f>MONTH(cleaned_personal_finance_data3[[#This Row],[date]])</f>
        <v>11</v>
      </c>
      <c r="H566">
        <f>YEAR(cleaned_personal_finance_data3[[#This Row],[date]])</f>
        <v>2024</v>
      </c>
      <c r="I566" t="s">
        <v>218</v>
      </c>
    </row>
    <row r="567" spans="1:9" x14ac:dyDescent="0.25">
      <c r="A567">
        <v>566</v>
      </c>
      <c r="B567" s="1">
        <v>45615</v>
      </c>
      <c r="C567" t="s">
        <v>253</v>
      </c>
      <c r="D567">
        <v>100</v>
      </c>
      <c r="E567" t="s">
        <v>15</v>
      </c>
      <c r="F567" t="s">
        <v>13</v>
      </c>
      <c r="G567">
        <f>MONTH(cleaned_personal_finance_data3[[#This Row],[date]])</f>
        <v>11</v>
      </c>
      <c r="H567">
        <f>YEAR(cleaned_personal_finance_data3[[#This Row],[date]])</f>
        <v>2024</v>
      </c>
      <c r="I567" t="s">
        <v>198</v>
      </c>
    </row>
    <row r="568" spans="1:9" x14ac:dyDescent="0.25">
      <c r="A568">
        <v>567</v>
      </c>
      <c r="B568" s="1">
        <v>45616</v>
      </c>
      <c r="C568" t="s">
        <v>254</v>
      </c>
      <c r="D568">
        <v>100</v>
      </c>
      <c r="E568" t="s">
        <v>15</v>
      </c>
      <c r="F568" t="s">
        <v>13</v>
      </c>
      <c r="G568">
        <f>MONTH(cleaned_personal_finance_data3[[#This Row],[date]])</f>
        <v>11</v>
      </c>
      <c r="H568">
        <f>YEAR(cleaned_personal_finance_data3[[#This Row],[date]])</f>
        <v>2024</v>
      </c>
      <c r="I568" t="s">
        <v>198</v>
      </c>
    </row>
    <row r="569" spans="1:9" x14ac:dyDescent="0.25">
      <c r="A569">
        <v>568</v>
      </c>
      <c r="B569" s="1">
        <v>45618</v>
      </c>
      <c r="C569" t="s">
        <v>255</v>
      </c>
      <c r="D569">
        <v>100</v>
      </c>
      <c r="E569" t="s">
        <v>15</v>
      </c>
      <c r="F569" t="s">
        <v>13</v>
      </c>
      <c r="G569">
        <f>MONTH(cleaned_personal_finance_data3[[#This Row],[date]])</f>
        <v>11</v>
      </c>
      <c r="H569">
        <f>YEAR(cleaned_personal_finance_data3[[#This Row],[date]])</f>
        <v>2024</v>
      </c>
      <c r="I569" t="s">
        <v>198</v>
      </c>
    </row>
    <row r="570" spans="1:9" x14ac:dyDescent="0.25">
      <c r="A570">
        <v>569</v>
      </c>
      <c r="B570" s="1">
        <v>45618</v>
      </c>
      <c r="C570" t="s">
        <v>218</v>
      </c>
      <c r="D570">
        <v>45</v>
      </c>
      <c r="E570" t="s">
        <v>15</v>
      </c>
      <c r="F570" t="s">
        <v>13</v>
      </c>
      <c r="G570">
        <f>MONTH(cleaned_personal_finance_data3[[#This Row],[date]])</f>
        <v>11</v>
      </c>
      <c r="H570">
        <f>YEAR(cleaned_personal_finance_data3[[#This Row],[date]])</f>
        <v>2024</v>
      </c>
      <c r="I570" t="s">
        <v>218</v>
      </c>
    </row>
    <row r="571" spans="1:9" x14ac:dyDescent="0.25">
      <c r="A571">
        <v>570</v>
      </c>
      <c r="B571" s="1">
        <v>45625</v>
      </c>
      <c r="C571" t="s">
        <v>256</v>
      </c>
      <c r="D571">
        <v>12</v>
      </c>
      <c r="E571" t="s">
        <v>15</v>
      </c>
      <c r="F571" t="s">
        <v>13</v>
      </c>
      <c r="G571">
        <f>MONTH(cleaned_personal_finance_data3[[#This Row],[date]])</f>
        <v>11</v>
      </c>
      <c r="H571">
        <f>YEAR(cleaned_personal_finance_data3[[#This Row],[date]])</f>
        <v>2024</v>
      </c>
      <c r="I571" t="s">
        <v>256</v>
      </c>
    </row>
    <row r="572" spans="1:9" x14ac:dyDescent="0.25">
      <c r="A572">
        <v>571</v>
      </c>
      <c r="B572" s="1">
        <v>45625</v>
      </c>
      <c r="C572" t="s">
        <v>240</v>
      </c>
      <c r="D572">
        <v>30</v>
      </c>
      <c r="E572" t="s">
        <v>15</v>
      </c>
      <c r="F572" t="s">
        <v>13</v>
      </c>
      <c r="G572">
        <f>MONTH(cleaned_personal_finance_data3[[#This Row],[date]])</f>
        <v>11</v>
      </c>
      <c r="H572">
        <f>YEAR(cleaned_personal_finance_data3[[#This Row],[date]])</f>
        <v>2024</v>
      </c>
      <c r="I572" t="s">
        <v>240</v>
      </c>
    </row>
    <row r="573" spans="1:9" hidden="1" x14ac:dyDescent="0.25">
      <c r="A573">
        <v>572</v>
      </c>
      <c r="B573" s="1">
        <v>45626</v>
      </c>
      <c r="C573" t="s">
        <v>6</v>
      </c>
      <c r="D573">
        <v>13240</v>
      </c>
      <c r="E573" t="s">
        <v>7</v>
      </c>
      <c r="F573" t="s">
        <v>13</v>
      </c>
      <c r="G573">
        <f>MONTH(cleaned_personal_finance_data3[[#This Row],[date]])</f>
        <v>11</v>
      </c>
      <c r="H573">
        <f>YEAR(cleaned_personal_finance_data3[[#This Row],[date]])</f>
        <v>2024</v>
      </c>
      <c r="I573" t="s">
        <v>318</v>
      </c>
    </row>
    <row r="574" spans="1:9" x14ac:dyDescent="0.25">
      <c r="A574">
        <v>573</v>
      </c>
      <c r="B574" s="1">
        <v>45630</v>
      </c>
      <c r="C574" t="s">
        <v>242</v>
      </c>
      <c r="D574">
        <v>15</v>
      </c>
      <c r="E574" t="s">
        <v>15</v>
      </c>
      <c r="F574" t="s">
        <v>13</v>
      </c>
      <c r="G574">
        <f>MONTH(cleaned_personal_finance_data3[[#This Row],[date]])</f>
        <v>12</v>
      </c>
      <c r="H574">
        <f>YEAR(cleaned_personal_finance_data3[[#This Row],[date]])</f>
        <v>2024</v>
      </c>
      <c r="I574" t="s">
        <v>242</v>
      </c>
    </row>
    <row r="575" spans="1:9" x14ac:dyDescent="0.25">
      <c r="A575">
        <v>574</v>
      </c>
      <c r="B575" s="1">
        <v>45632</v>
      </c>
      <c r="C575" t="s">
        <v>218</v>
      </c>
      <c r="D575">
        <v>45</v>
      </c>
      <c r="E575" t="s">
        <v>15</v>
      </c>
      <c r="F575" t="s">
        <v>13</v>
      </c>
      <c r="G575">
        <f>MONTH(cleaned_personal_finance_data3[[#This Row],[date]])</f>
        <v>12</v>
      </c>
      <c r="H575">
        <f>YEAR(cleaned_personal_finance_data3[[#This Row],[date]])</f>
        <v>2024</v>
      </c>
      <c r="I575" t="s">
        <v>218</v>
      </c>
    </row>
    <row r="576" spans="1:9" x14ac:dyDescent="0.25">
      <c r="A576">
        <v>575</v>
      </c>
      <c r="B576" s="1">
        <v>45634</v>
      </c>
      <c r="C576" t="s">
        <v>257</v>
      </c>
      <c r="D576">
        <v>135</v>
      </c>
      <c r="E576" t="s">
        <v>15</v>
      </c>
      <c r="F576" t="s">
        <v>13</v>
      </c>
      <c r="G576">
        <f>MONTH(cleaned_personal_finance_data3[[#This Row],[date]])</f>
        <v>12</v>
      </c>
      <c r="H576">
        <f>YEAR(cleaned_personal_finance_data3[[#This Row],[date]])</f>
        <v>2024</v>
      </c>
      <c r="I576" t="s">
        <v>329</v>
      </c>
    </row>
    <row r="577" spans="1:9" x14ac:dyDescent="0.25">
      <c r="A577">
        <v>576</v>
      </c>
      <c r="B577" s="1">
        <v>45634</v>
      </c>
      <c r="C577" t="s">
        <v>139</v>
      </c>
      <c r="D577">
        <v>35</v>
      </c>
      <c r="E577" t="s">
        <v>15</v>
      </c>
      <c r="F577" t="s">
        <v>13</v>
      </c>
      <c r="G577">
        <f>MONTH(cleaned_personal_finance_data3[[#This Row],[date]])</f>
        <v>12</v>
      </c>
      <c r="H577">
        <f>YEAR(cleaned_personal_finance_data3[[#This Row],[date]])</f>
        <v>2024</v>
      </c>
      <c r="I577" t="s">
        <v>139</v>
      </c>
    </row>
    <row r="578" spans="1:9" x14ac:dyDescent="0.25">
      <c r="A578">
        <v>577</v>
      </c>
      <c r="B578" s="1">
        <v>45636</v>
      </c>
      <c r="C578" t="s">
        <v>242</v>
      </c>
      <c r="D578">
        <v>15</v>
      </c>
      <c r="E578" t="s">
        <v>15</v>
      </c>
      <c r="F578" t="s">
        <v>13</v>
      </c>
      <c r="G578">
        <f>MONTH(cleaned_personal_finance_data3[[#This Row],[date]])</f>
        <v>12</v>
      </c>
      <c r="H578">
        <f>YEAR(cleaned_personal_finance_data3[[#This Row],[date]])</f>
        <v>2024</v>
      </c>
      <c r="I578" t="s">
        <v>242</v>
      </c>
    </row>
    <row r="579" spans="1:9" x14ac:dyDescent="0.25">
      <c r="A579">
        <v>578</v>
      </c>
      <c r="B579" s="1">
        <v>45637</v>
      </c>
      <c r="C579" t="s">
        <v>218</v>
      </c>
      <c r="D579">
        <v>45</v>
      </c>
      <c r="E579" t="s">
        <v>15</v>
      </c>
      <c r="F579" t="s">
        <v>13</v>
      </c>
      <c r="G579">
        <f>MONTH(cleaned_personal_finance_data3[[#This Row],[date]])</f>
        <v>12</v>
      </c>
      <c r="H579">
        <f>YEAR(cleaned_personal_finance_data3[[#This Row],[date]])</f>
        <v>2024</v>
      </c>
      <c r="I579" t="s">
        <v>218</v>
      </c>
    </row>
    <row r="580" spans="1:9" x14ac:dyDescent="0.25">
      <c r="A580">
        <v>579</v>
      </c>
      <c r="B580" s="1">
        <v>45639</v>
      </c>
      <c r="C580" t="s">
        <v>218</v>
      </c>
      <c r="D580">
        <v>45</v>
      </c>
      <c r="E580" t="s">
        <v>15</v>
      </c>
      <c r="F580" t="s">
        <v>13</v>
      </c>
      <c r="G580">
        <f>MONTH(cleaned_personal_finance_data3[[#This Row],[date]])</f>
        <v>12</v>
      </c>
      <c r="H580">
        <f>YEAR(cleaned_personal_finance_data3[[#This Row],[date]])</f>
        <v>2024</v>
      </c>
      <c r="I580" t="s">
        <v>218</v>
      </c>
    </row>
    <row r="581" spans="1:9" x14ac:dyDescent="0.25">
      <c r="A581">
        <v>580</v>
      </c>
      <c r="B581" s="1">
        <v>45640</v>
      </c>
      <c r="C581" t="s">
        <v>258</v>
      </c>
      <c r="D581">
        <v>225</v>
      </c>
      <c r="E581" t="s">
        <v>15</v>
      </c>
      <c r="F581" t="s">
        <v>13</v>
      </c>
      <c r="G581">
        <f>MONTH(cleaned_personal_finance_data3[[#This Row],[date]])</f>
        <v>12</v>
      </c>
      <c r="H581">
        <f>YEAR(cleaned_personal_finance_data3[[#This Row],[date]])</f>
        <v>2024</v>
      </c>
      <c r="I581" t="s">
        <v>258</v>
      </c>
    </row>
    <row r="582" spans="1:9" x14ac:dyDescent="0.25">
      <c r="A582">
        <v>581</v>
      </c>
      <c r="B582" s="1">
        <v>45645</v>
      </c>
      <c r="C582" t="s">
        <v>259</v>
      </c>
      <c r="D582">
        <v>200</v>
      </c>
      <c r="E582" t="s">
        <v>15</v>
      </c>
      <c r="F582" t="s">
        <v>13</v>
      </c>
      <c r="G582">
        <f>MONTH(cleaned_personal_finance_data3[[#This Row],[date]])</f>
        <v>12</v>
      </c>
      <c r="H582">
        <f>YEAR(cleaned_personal_finance_data3[[#This Row],[date]])</f>
        <v>2024</v>
      </c>
      <c r="I582" t="s">
        <v>259</v>
      </c>
    </row>
    <row r="583" spans="1:9" x14ac:dyDescent="0.25">
      <c r="A583">
        <v>582</v>
      </c>
      <c r="B583" s="1">
        <v>45645</v>
      </c>
      <c r="C583" t="s">
        <v>260</v>
      </c>
      <c r="D583">
        <v>365</v>
      </c>
      <c r="E583" t="s">
        <v>15</v>
      </c>
      <c r="F583" t="s">
        <v>13</v>
      </c>
      <c r="G583">
        <f>MONTH(cleaned_personal_finance_data3[[#This Row],[date]])</f>
        <v>12</v>
      </c>
      <c r="H583">
        <f>YEAR(cleaned_personal_finance_data3[[#This Row],[date]])</f>
        <v>2024</v>
      </c>
      <c r="I583" t="s">
        <v>260</v>
      </c>
    </row>
    <row r="584" spans="1:9" x14ac:dyDescent="0.25">
      <c r="A584">
        <v>583</v>
      </c>
      <c r="B584" s="1">
        <v>45645</v>
      </c>
      <c r="C584" t="s">
        <v>261</v>
      </c>
      <c r="D584">
        <v>180</v>
      </c>
      <c r="E584" t="s">
        <v>15</v>
      </c>
      <c r="F584" t="s">
        <v>13</v>
      </c>
      <c r="G584">
        <f>MONTH(cleaned_personal_finance_data3[[#This Row],[date]])</f>
        <v>12</v>
      </c>
      <c r="H584">
        <f>YEAR(cleaned_personal_finance_data3[[#This Row],[date]])</f>
        <v>2024</v>
      </c>
      <c r="I584" t="s">
        <v>261</v>
      </c>
    </row>
    <row r="585" spans="1:9" x14ac:dyDescent="0.25">
      <c r="A585">
        <v>584</v>
      </c>
      <c r="B585" s="1">
        <v>45645</v>
      </c>
      <c r="C585" t="s">
        <v>262</v>
      </c>
      <c r="D585">
        <v>350</v>
      </c>
      <c r="E585" t="s">
        <v>15</v>
      </c>
      <c r="F585" t="s">
        <v>13</v>
      </c>
      <c r="G585">
        <f>MONTH(cleaned_personal_finance_data3[[#This Row],[date]])</f>
        <v>12</v>
      </c>
      <c r="H585">
        <f>YEAR(cleaned_personal_finance_data3[[#This Row],[date]])</f>
        <v>2024</v>
      </c>
      <c r="I585" t="s">
        <v>262</v>
      </c>
    </row>
    <row r="586" spans="1:9" x14ac:dyDescent="0.25">
      <c r="A586">
        <v>585</v>
      </c>
      <c r="B586" s="1">
        <v>45645</v>
      </c>
      <c r="C586" t="s">
        <v>263</v>
      </c>
      <c r="D586">
        <v>175</v>
      </c>
      <c r="E586" t="s">
        <v>15</v>
      </c>
      <c r="F586" t="s">
        <v>13</v>
      </c>
      <c r="G586">
        <f>MONTH(cleaned_personal_finance_data3[[#This Row],[date]])</f>
        <v>12</v>
      </c>
      <c r="H586">
        <f>YEAR(cleaned_personal_finance_data3[[#This Row],[date]])</f>
        <v>2024</v>
      </c>
      <c r="I586" t="s">
        <v>263</v>
      </c>
    </row>
    <row r="587" spans="1:9" hidden="1" x14ac:dyDescent="0.25">
      <c r="A587">
        <v>586</v>
      </c>
      <c r="B587" s="1">
        <v>45647</v>
      </c>
      <c r="C587" t="s">
        <v>6</v>
      </c>
      <c r="D587">
        <v>13240</v>
      </c>
      <c r="E587" t="s">
        <v>7</v>
      </c>
      <c r="F587" t="s">
        <v>8</v>
      </c>
      <c r="G587">
        <f>MONTH(cleaned_personal_finance_data3[[#This Row],[date]])</f>
        <v>12</v>
      </c>
      <c r="H587">
        <f>YEAR(cleaned_personal_finance_data3[[#This Row],[date]])</f>
        <v>2024</v>
      </c>
      <c r="I587" t="s">
        <v>318</v>
      </c>
    </row>
    <row r="588" spans="1:9" hidden="1" x14ac:dyDescent="0.25">
      <c r="A588">
        <v>587</v>
      </c>
      <c r="B588" s="1">
        <v>45647</v>
      </c>
      <c r="C588" t="s">
        <v>264</v>
      </c>
      <c r="D588">
        <v>25000</v>
      </c>
      <c r="E588" t="s">
        <v>7</v>
      </c>
      <c r="F588" t="s">
        <v>8</v>
      </c>
      <c r="G588">
        <f>MONTH(cleaned_personal_finance_data3[[#This Row],[date]])</f>
        <v>12</v>
      </c>
      <c r="H588">
        <f>YEAR(cleaned_personal_finance_data3[[#This Row],[date]])</f>
        <v>2024</v>
      </c>
      <c r="I588" t="s">
        <v>326</v>
      </c>
    </row>
    <row r="589" spans="1:9" x14ac:dyDescent="0.25">
      <c r="A589">
        <v>588</v>
      </c>
      <c r="B589" s="1">
        <v>45647</v>
      </c>
      <c r="C589" t="s">
        <v>175</v>
      </c>
      <c r="D589">
        <v>3000</v>
      </c>
      <c r="E589" t="s">
        <v>15</v>
      </c>
      <c r="F589" t="s">
        <v>13</v>
      </c>
      <c r="G589">
        <f>MONTH(cleaned_personal_finance_data3[[#This Row],[date]])</f>
        <v>12</v>
      </c>
      <c r="H589">
        <f>YEAR(cleaned_personal_finance_data3[[#This Row],[date]])</f>
        <v>2024</v>
      </c>
      <c r="I589" t="s">
        <v>159</v>
      </c>
    </row>
    <row r="590" spans="1:9" x14ac:dyDescent="0.25">
      <c r="A590">
        <v>589</v>
      </c>
      <c r="B590" s="1">
        <v>45647</v>
      </c>
      <c r="C590" t="s">
        <v>145</v>
      </c>
      <c r="D590">
        <v>6000</v>
      </c>
      <c r="E590" t="s">
        <v>15</v>
      </c>
      <c r="F590" t="s">
        <v>13</v>
      </c>
      <c r="G590">
        <f>MONTH(cleaned_personal_finance_data3[[#This Row],[date]])</f>
        <v>12</v>
      </c>
      <c r="H590">
        <f>YEAR(cleaned_personal_finance_data3[[#This Row],[date]])</f>
        <v>2024</v>
      </c>
      <c r="I590" t="s">
        <v>145</v>
      </c>
    </row>
    <row r="591" spans="1:9" x14ac:dyDescent="0.25">
      <c r="A591">
        <v>590</v>
      </c>
      <c r="B591" s="1">
        <v>45647</v>
      </c>
      <c r="C591" t="s">
        <v>265</v>
      </c>
      <c r="D591">
        <v>1050</v>
      </c>
      <c r="E591" t="s">
        <v>15</v>
      </c>
      <c r="F591" t="s">
        <v>13</v>
      </c>
      <c r="G591">
        <f>MONTH(cleaned_personal_finance_data3[[#This Row],[date]])</f>
        <v>12</v>
      </c>
      <c r="H591">
        <f>YEAR(cleaned_personal_finance_data3[[#This Row],[date]])</f>
        <v>2024</v>
      </c>
      <c r="I591" t="s">
        <v>265</v>
      </c>
    </row>
    <row r="592" spans="1:9" x14ac:dyDescent="0.25">
      <c r="A592">
        <v>591</v>
      </c>
      <c r="B592" s="1">
        <v>45647</v>
      </c>
      <c r="C592" t="s">
        <v>266</v>
      </c>
      <c r="D592">
        <v>100</v>
      </c>
      <c r="E592" t="s">
        <v>15</v>
      </c>
      <c r="F592" t="s">
        <v>13</v>
      </c>
      <c r="G592">
        <f>MONTH(cleaned_personal_finance_data3[[#This Row],[date]])</f>
        <v>12</v>
      </c>
      <c r="H592">
        <f>YEAR(cleaned_personal_finance_data3[[#This Row],[date]])</f>
        <v>2024</v>
      </c>
      <c r="I592" t="s">
        <v>266</v>
      </c>
    </row>
    <row r="593" spans="1:9" x14ac:dyDescent="0.25">
      <c r="A593">
        <v>592</v>
      </c>
      <c r="B593" s="1">
        <v>45647</v>
      </c>
      <c r="C593" t="s">
        <v>267</v>
      </c>
      <c r="D593">
        <v>210</v>
      </c>
      <c r="E593" t="s">
        <v>15</v>
      </c>
      <c r="F593" t="s">
        <v>13</v>
      </c>
      <c r="G593">
        <f>MONTH(cleaned_personal_finance_data3[[#This Row],[date]])</f>
        <v>12</v>
      </c>
      <c r="H593">
        <f>YEAR(cleaned_personal_finance_data3[[#This Row],[date]])</f>
        <v>2024</v>
      </c>
      <c r="I593" t="s">
        <v>267</v>
      </c>
    </row>
    <row r="594" spans="1:9" x14ac:dyDescent="0.25">
      <c r="A594">
        <v>593</v>
      </c>
      <c r="B594" s="1">
        <v>45649</v>
      </c>
      <c r="C594" t="s">
        <v>108</v>
      </c>
      <c r="D594">
        <v>25</v>
      </c>
      <c r="E594" t="s">
        <v>15</v>
      </c>
      <c r="F594" t="s">
        <v>13</v>
      </c>
      <c r="G594">
        <f>MONTH(cleaned_personal_finance_data3[[#This Row],[date]])</f>
        <v>12</v>
      </c>
      <c r="H594">
        <f>YEAR(cleaned_personal_finance_data3[[#This Row],[date]])</f>
        <v>2024</v>
      </c>
      <c r="I594" t="s">
        <v>43</v>
      </c>
    </row>
    <row r="595" spans="1:9" x14ac:dyDescent="0.25">
      <c r="A595">
        <v>594</v>
      </c>
      <c r="B595" s="1">
        <v>45649</v>
      </c>
      <c r="C595" t="s">
        <v>66</v>
      </c>
      <c r="D595">
        <v>10</v>
      </c>
      <c r="E595" t="s">
        <v>15</v>
      </c>
      <c r="F595" t="s">
        <v>13</v>
      </c>
      <c r="G595">
        <f>MONTH(cleaned_personal_finance_data3[[#This Row],[date]])</f>
        <v>12</v>
      </c>
      <c r="H595">
        <f>YEAR(cleaned_personal_finance_data3[[#This Row],[date]])</f>
        <v>2024</v>
      </c>
      <c r="I595" t="s">
        <v>66</v>
      </c>
    </row>
    <row r="596" spans="1:9" x14ac:dyDescent="0.25">
      <c r="A596">
        <v>595</v>
      </c>
      <c r="B596" s="1">
        <v>45649</v>
      </c>
      <c r="C596" t="s">
        <v>67</v>
      </c>
      <c r="D596">
        <v>15</v>
      </c>
      <c r="E596" t="s">
        <v>15</v>
      </c>
      <c r="F596" t="s">
        <v>13</v>
      </c>
      <c r="G596">
        <f>MONTH(cleaned_personal_finance_data3[[#This Row],[date]])</f>
        <v>12</v>
      </c>
      <c r="H596">
        <f>YEAR(cleaned_personal_finance_data3[[#This Row],[date]])</f>
        <v>2024</v>
      </c>
      <c r="I596" t="s">
        <v>67</v>
      </c>
    </row>
    <row r="597" spans="1:9" x14ac:dyDescent="0.25">
      <c r="A597">
        <v>596</v>
      </c>
      <c r="B597" s="1">
        <v>45649</v>
      </c>
      <c r="C597" t="s">
        <v>54</v>
      </c>
      <c r="D597">
        <v>160</v>
      </c>
      <c r="E597" t="s">
        <v>15</v>
      </c>
      <c r="F597" t="s">
        <v>13</v>
      </c>
      <c r="G597">
        <f>MONTH(cleaned_personal_finance_data3[[#This Row],[date]])</f>
        <v>12</v>
      </c>
      <c r="H597">
        <f>YEAR(cleaned_personal_finance_data3[[#This Row],[date]])</f>
        <v>2024</v>
      </c>
      <c r="I597" t="s">
        <v>54</v>
      </c>
    </row>
    <row r="598" spans="1:9" x14ac:dyDescent="0.25">
      <c r="A598">
        <v>597</v>
      </c>
      <c r="B598" s="1">
        <v>45649</v>
      </c>
      <c r="C598" t="s">
        <v>106</v>
      </c>
      <c r="D598">
        <v>185</v>
      </c>
      <c r="E598" t="s">
        <v>15</v>
      </c>
      <c r="F598" t="s">
        <v>13</v>
      </c>
      <c r="G598">
        <f>MONTH(cleaned_personal_finance_data3[[#This Row],[date]])</f>
        <v>12</v>
      </c>
      <c r="H598">
        <f>YEAR(cleaned_personal_finance_data3[[#This Row],[date]])</f>
        <v>2024</v>
      </c>
      <c r="I598" t="s">
        <v>106</v>
      </c>
    </row>
    <row r="599" spans="1:9" x14ac:dyDescent="0.25">
      <c r="A599">
        <v>598</v>
      </c>
      <c r="B599" s="1">
        <v>45649</v>
      </c>
      <c r="C599" t="s">
        <v>268</v>
      </c>
      <c r="D599">
        <v>190</v>
      </c>
      <c r="E599" t="s">
        <v>15</v>
      </c>
      <c r="F599" t="s">
        <v>13</v>
      </c>
      <c r="G599">
        <f>MONTH(cleaned_personal_finance_data3[[#This Row],[date]])</f>
        <v>12</v>
      </c>
      <c r="H599">
        <f>YEAR(cleaned_personal_finance_data3[[#This Row],[date]])</f>
        <v>2024</v>
      </c>
      <c r="I599" t="s">
        <v>268</v>
      </c>
    </row>
    <row r="600" spans="1:9" hidden="1" x14ac:dyDescent="0.25">
      <c r="A600">
        <v>599</v>
      </c>
      <c r="B600" s="1">
        <v>45649</v>
      </c>
      <c r="C600" t="s">
        <v>6</v>
      </c>
      <c r="D600">
        <v>13241</v>
      </c>
      <c r="E600" t="s">
        <v>7</v>
      </c>
      <c r="F600" t="s">
        <v>8</v>
      </c>
      <c r="G600">
        <f>MONTH(cleaned_personal_finance_data3[[#This Row],[date]])</f>
        <v>12</v>
      </c>
      <c r="H600">
        <f>YEAR(cleaned_personal_finance_data3[[#This Row],[date]])</f>
        <v>2024</v>
      </c>
      <c r="I600" t="s">
        <v>318</v>
      </c>
    </row>
    <row r="601" spans="1:9" hidden="1" x14ac:dyDescent="0.25">
      <c r="A601">
        <v>600</v>
      </c>
      <c r="B601" s="1">
        <v>45649</v>
      </c>
      <c r="C601" t="s">
        <v>162</v>
      </c>
      <c r="D601">
        <v>10000</v>
      </c>
      <c r="E601" t="s">
        <v>10</v>
      </c>
      <c r="F601" t="s">
        <v>8</v>
      </c>
      <c r="G601">
        <f>MONTH(cleaned_personal_finance_data3[[#This Row],[date]])</f>
        <v>12</v>
      </c>
      <c r="H601">
        <f>YEAR(cleaned_personal_finance_data3[[#This Row],[date]])</f>
        <v>2024</v>
      </c>
      <c r="I601" t="s">
        <v>162</v>
      </c>
    </row>
    <row r="602" spans="1:9" x14ac:dyDescent="0.25">
      <c r="A602">
        <v>601</v>
      </c>
      <c r="B602" s="1">
        <v>45650</v>
      </c>
      <c r="C602" t="s">
        <v>170</v>
      </c>
      <c r="D602">
        <v>320</v>
      </c>
      <c r="E602" t="s">
        <v>15</v>
      </c>
      <c r="F602" t="s">
        <v>13</v>
      </c>
      <c r="G602">
        <f>MONTH(cleaned_personal_finance_data3[[#This Row],[date]])</f>
        <v>12</v>
      </c>
      <c r="H602">
        <f>YEAR(cleaned_personal_finance_data3[[#This Row],[date]])</f>
        <v>2024</v>
      </c>
      <c r="I602" t="s">
        <v>170</v>
      </c>
    </row>
    <row r="603" spans="1:9" x14ac:dyDescent="0.25">
      <c r="A603">
        <v>602</v>
      </c>
      <c r="B603" s="1">
        <v>45650</v>
      </c>
      <c r="C603" t="s">
        <v>269</v>
      </c>
      <c r="D603">
        <v>798</v>
      </c>
      <c r="E603" t="s">
        <v>15</v>
      </c>
      <c r="F603" t="s">
        <v>13</v>
      </c>
      <c r="G603">
        <f>MONTH(cleaned_personal_finance_data3[[#This Row],[date]])</f>
        <v>12</v>
      </c>
      <c r="H603">
        <f>YEAR(cleaned_personal_finance_data3[[#This Row],[date]])</f>
        <v>2024</v>
      </c>
      <c r="I603" t="s">
        <v>269</v>
      </c>
    </row>
    <row r="604" spans="1:9" x14ac:dyDescent="0.25">
      <c r="A604">
        <v>603</v>
      </c>
      <c r="B604" s="1">
        <v>45650</v>
      </c>
      <c r="C604" t="s">
        <v>270</v>
      </c>
      <c r="D604">
        <v>180</v>
      </c>
      <c r="E604" t="s">
        <v>15</v>
      </c>
      <c r="F604" t="s">
        <v>13</v>
      </c>
      <c r="G604">
        <f>MONTH(cleaned_personal_finance_data3[[#This Row],[date]])</f>
        <v>12</v>
      </c>
      <c r="H604">
        <f>YEAR(cleaned_personal_finance_data3[[#This Row],[date]])</f>
        <v>2024</v>
      </c>
      <c r="I604" t="s">
        <v>270</v>
      </c>
    </row>
    <row r="605" spans="1:9" x14ac:dyDescent="0.25">
      <c r="A605">
        <v>604</v>
      </c>
      <c r="B605" s="1">
        <v>45650</v>
      </c>
      <c r="C605" t="s">
        <v>179</v>
      </c>
      <c r="D605">
        <v>28</v>
      </c>
      <c r="E605" t="s">
        <v>15</v>
      </c>
      <c r="F605" t="s">
        <v>13</v>
      </c>
      <c r="G605">
        <f>MONTH(cleaned_personal_finance_data3[[#This Row],[date]])</f>
        <v>12</v>
      </c>
      <c r="H605">
        <f>YEAR(cleaned_personal_finance_data3[[#This Row],[date]])</f>
        <v>2024</v>
      </c>
      <c r="I605" t="s">
        <v>179</v>
      </c>
    </row>
    <row r="606" spans="1:9" x14ac:dyDescent="0.25">
      <c r="A606">
        <v>605</v>
      </c>
      <c r="B606" s="1">
        <v>45650</v>
      </c>
      <c r="C606" t="s">
        <v>108</v>
      </c>
      <c r="D606">
        <v>140</v>
      </c>
      <c r="E606" t="s">
        <v>15</v>
      </c>
      <c r="F606" t="s">
        <v>13</v>
      </c>
      <c r="G606">
        <f>MONTH(cleaned_personal_finance_data3[[#This Row],[date]])</f>
        <v>12</v>
      </c>
      <c r="H606">
        <f>YEAR(cleaned_personal_finance_data3[[#This Row],[date]])</f>
        <v>2024</v>
      </c>
      <c r="I606" t="s">
        <v>43</v>
      </c>
    </row>
    <row r="607" spans="1:9" x14ac:dyDescent="0.25">
      <c r="A607">
        <v>606</v>
      </c>
      <c r="B607" s="1">
        <v>45650</v>
      </c>
      <c r="C607" t="s">
        <v>271</v>
      </c>
      <c r="D607">
        <v>200</v>
      </c>
      <c r="E607" t="s">
        <v>15</v>
      </c>
      <c r="F607" t="s">
        <v>13</v>
      </c>
      <c r="G607">
        <f>MONTH(cleaned_personal_finance_data3[[#This Row],[date]])</f>
        <v>12</v>
      </c>
      <c r="H607">
        <f>YEAR(cleaned_personal_finance_data3[[#This Row],[date]])</f>
        <v>2024</v>
      </c>
      <c r="I607" t="s">
        <v>271</v>
      </c>
    </row>
    <row r="608" spans="1:9" x14ac:dyDescent="0.25">
      <c r="A608">
        <v>607</v>
      </c>
      <c r="B608" s="1">
        <v>45650</v>
      </c>
      <c r="C608" t="s">
        <v>272</v>
      </c>
      <c r="D608">
        <v>720</v>
      </c>
      <c r="E608" t="s">
        <v>15</v>
      </c>
      <c r="F608" t="s">
        <v>13</v>
      </c>
      <c r="G608">
        <f>MONTH(cleaned_personal_finance_data3[[#This Row],[date]])</f>
        <v>12</v>
      </c>
      <c r="H608">
        <f>YEAR(cleaned_personal_finance_data3[[#This Row],[date]])</f>
        <v>2024</v>
      </c>
      <c r="I608" t="s">
        <v>322</v>
      </c>
    </row>
    <row r="609" spans="1:9" x14ac:dyDescent="0.25">
      <c r="A609">
        <v>608</v>
      </c>
      <c r="B609" s="1">
        <v>45651</v>
      </c>
      <c r="C609" t="s">
        <v>273</v>
      </c>
      <c r="D609">
        <v>1150</v>
      </c>
      <c r="E609" t="s">
        <v>15</v>
      </c>
      <c r="F609" t="s">
        <v>13</v>
      </c>
      <c r="G609">
        <f>MONTH(cleaned_personal_finance_data3[[#This Row],[date]])</f>
        <v>12</v>
      </c>
      <c r="H609">
        <f>YEAR(cleaned_personal_finance_data3[[#This Row],[date]])</f>
        <v>2024</v>
      </c>
      <c r="I609" t="s">
        <v>273</v>
      </c>
    </row>
    <row r="610" spans="1:9" x14ac:dyDescent="0.25">
      <c r="A610">
        <v>609</v>
      </c>
      <c r="B610" s="1">
        <v>45652</v>
      </c>
      <c r="C610" t="s">
        <v>78</v>
      </c>
      <c r="D610">
        <v>350</v>
      </c>
      <c r="E610" t="s">
        <v>15</v>
      </c>
      <c r="F610" t="s">
        <v>13</v>
      </c>
      <c r="G610">
        <f>MONTH(cleaned_personal_finance_data3[[#This Row],[date]])</f>
        <v>12</v>
      </c>
      <c r="H610">
        <f>YEAR(cleaned_personal_finance_data3[[#This Row],[date]])</f>
        <v>2024</v>
      </c>
      <c r="I610" t="s">
        <v>78</v>
      </c>
    </row>
    <row r="611" spans="1:9" x14ac:dyDescent="0.25">
      <c r="A611">
        <v>610</v>
      </c>
      <c r="B611" s="1">
        <v>45655</v>
      </c>
      <c r="C611" t="s">
        <v>66</v>
      </c>
      <c r="D611">
        <v>20</v>
      </c>
      <c r="E611" t="s">
        <v>15</v>
      </c>
      <c r="F611" t="s">
        <v>13</v>
      </c>
      <c r="G611">
        <f>MONTH(cleaned_personal_finance_data3[[#This Row],[date]])</f>
        <v>12</v>
      </c>
      <c r="H611">
        <f>YEAR(cleaned_personal_finance_data3[[#This Row],[date]])</f>
        <v>2024</v>
      </c>
      <c r="I611" t="s">
        <v>66</v>
      </c>
    </row>
    <row r="612" spans="1:9" x14ac:dyDescent="0.25">
      <c r="A612">
        <v>611</v>
      </c>
      <c r="B612" s="1">
        <v>45655</v>
      </c>
      <c r="C612" t="s">
        <v>67</v>
      </c>
      <c r="D612">
        <v>15</v>
      </c>
      <c r="E612" t="s">
        <v>15</v>
      </c>
      <c r="F612" t="s">
        <v>13</v>
      </c>
      <c r="G612">
        <f>MONTH(cleaned_personal_finance_data3[[#This Row],[date]])</f>
        <v>12</v>
      </c>
      <c r="H612">
        <f>YEAR(cleaned_personal_finance_data3[[#This Row],[date]])</f>
        <v>2024</v>
      </c>
      <c r="I612" t="s">
        <v>67</v>
      </c>
    </row>
    <row r="613" spans="1:9" x14ac:dyDescent="0.25">
      <c r="A613">
        <v>612</v>
      </c>
      <c r="B613" s="1">
        <v>45655</v>
      </c>
      <c r="C613" t="s">
        <v>54</v>
      </c>
      <c r="D613">
        <v>281</v>
      </c>
      <c r="E613" t="s">
        <v>15</v>
      </c>
      <c r="F613" t="s">
        <v>13</v>
      </c>
      <c r="G613">
        <f>MONTH(cleaned_personal_finance_data3[[#This Row],[date]])</f>
        <v>12</v>
      </c>
      <c r="H613">
        <f>YEAR(cleaned_personal_finance_data3[[#This Row],[date]])</f>
        <v>2024</v>
      </c>
      <c r="I613" t="s">
        <v>54</v>
      </c>
    </row>
    <row r="614" spans="1:9" hidden="1" x14ac:dyDescent="0.25">
      <c r="A614">
        <v>613</v>
      </c>
      <c r="B614" s="1">
        <v>45655</v>
      </c>
      <c r="C614" t="s">
        <v>162</v>
      </c>
      <c r="D614">
        <v>9972</v>
      </c>
      <c r="E614" t="s">
        <v>10</v>
      </c>
      <c r="F614" t="s">
        <v>8</v>
      </c>
      <c r="G614">
        <f>MONTH(cleaned_personal_finance_data3[[#This Row],[date]])</f>
        <v>12</v>
      </c>
      <c r="H614">
        <f>YEAR(cleaned_personal_finance_data3[[#This Row],[date]])</f>
        <v>2024</v>
      </c>
      <c r="I614" t="s">
        <v>162</v>
      </c>
    </row>
    <row r="615" spans="1:9" x14ac:dyDescent="0.25">
      <c r="A615">
        <v>614</v>
      </c>
      <c r="B615" s="1">
        <v>45655</v>
      </c>
      <c r="C615" t="s">
        <v>179</v>
      </c>
      <c r="D615">
        <v>26</v>
      </c>
      <c r="E615" t="s">
        <v>15</v>
      </c>
      <c r="F615" t="s">
        <v>13</v>
      </c>
      <c r="G615">
        <f>MONTH(cleaned_personal_finance_data3[[#This Row],[date]])</f>
        <v>12</v>
      </c>
      <c r="H615">
        <f>YEAR(cleaned_personal_finance_data3[[#This Row],[date]])</f>
        <v>2024</v>
      </c>
      <c r="I615" t="s">
        <v>179</v>
      </c>
    </row>
    <row r="616" spans="1:9" x14ac:dyDescent="0.25">
      <c r="A616">
        <v>615</v>
      </c>
      <c r="B616" s="1">
        <v>45655</v>
      </c>
      <c r="C616" t="s">
        <v>274</v>
      </c>
      <c r="D616">
        <v>69</v>
      </c>
      <c r="E616" t="s">
        <v>15</v>
      </c>
      <c r="F616" t="s">
        <v>13</v>
      </c>
      <c r="G616">
        <f>MONTH(cleaned_personal_finance_data3[[#This Row],[date]])</f>
        <v>12</v>
      </c>
      <c r="H616">
        <f>YEAR(cleaned_personal_finance_data3[[#This Row],[date]])</f>
        <v>2024</v>
      </c>
      <c r="I616" t="s">
        <v>274</v>
      </c>
    </row>
    <row r="617" spans="1:9" x14ac:dyDescent="0.25">
      <c r="A617">
        <v>616</v>
      </c>
      <c r="B617" s="1">
        <v>45655</v>
      </c>
      <c r="C617" t="s">
        <v>275</v>
      </c>
      <c r="D617">
        <v>269</v>
      </c>
      <c r="E617" t="s">
        <v>15</v>
      </c>
      <c r="F617" t="s">
        <v>13</v>
      </c>
      <c r="G617">
        <f>MONTH(cleaned_personal_finance_data3[[#This Row],[date]])</f>
        <v>12</v>
      </c>
      <c r="H617">
        <f>YEAR(cleaned_personal_finance_data3[[#This Row],[date]])</f>
        <v>2024</v>
      </c>
      <c r="I617" t="s">
        <v>275</v>
      </c>
    </row>
    <row r="618" spans="1:9" x14ac:dyDescent="0.25">
      <c r="A618">
        <v>617</v>
      </c>
      <c r="B618" s="1">
        <v>45655</v>
      </c>
      <c r="C618" t="s">
        <v>276</v>
      </c>
      <c r="D618">
        <v>263</v>
      </c>
      <c r="E618" t="s">
        <v>15</v>
      </c>
      <c r="F618" t="s">
        <v>13</v>
      </c>
      <c r="G618">
        <f>MONTH(cleaned_personal_finance_data3[[#This Row],[date]])</f>
        <v>12</v>
      </c>
      <c r="H618">
        <f>YEAR(cleaned_personal_finance_data3[[#This Row],[date]])</f>
        <v>2024</v>
      </c>
      <c r="I618" t="s">
        <v>276</v>
      </c>
    </row>
    <row r="619" spans="1:9" x14ac:dyDescent="0.25">
      <c r="A619">
        <v>618</v>
      </c>
      <c r="B619" s="1">
        <v>45655</v>
      </c>
      <c r="C619" t="s">
        <v>277</v>
      </c>
      <c r="D619">
        <v>279</v>
      </c>
      <c r="E619" t="s">
        <v>15</v>
      </c>
      <c r="F619" t="s">
        <v>13</v>
      </c>
      <c r="G619">
        <f>MONTH(cleaned_personal_finance_data3[[#This Row],[date]])</f>
        <v>12</v>
      </c>
      <c r="H619">
        <f>YEAR(cleaned_personal_finance_data3[[#This Row],[date]])</f>
        <v>2024</v>
      </c>
      <c r="I619" t="s">
        <v>277</v>
      </c>
    </row>
    <row r="620" spans="1:9" x14ac:dyDescent="0.25">
      <c r="A620">
        <v>619</v>
      </c>
      <c r="B620" s="1">
        <v>45655</v>
      </c>
      <c r="C620" t="s">
        <v>82</v>
      </c>
      <c r="D620">
        <v>250</v>
      </c>
      <c r="E620" t="s">
        <v>15</v>
      </c>
      <c r="F620" t="s">
        <v>13</v>
      </c>
      <c r="G620">
        <f>MONTH(cleaned_personal_finance_data3[[#This Row],[date]])</f>
        <v>12</v>
      </c>
      <c r="H620">
        <f>YEAR(cleaned_personal_finance_data3[[#This Row],[date]])</f>
        <v>2024</v>
      </c>
      <c r="I620" t="s">
        <v>82</v>
      </c>
    </row>
    <row r="621" spans="1:9" x14ac:dyDescent="0.25">
      <c r="A621">
        <v>620</v>
      </c>
      <c r="B621" s="1">
        <v>45655</v>
      </c>
      <c r="C621" t="s">
        <v>278</v>
      </c>
      <c r="D621">
        <v>87</v>
      </c>
      <c r="E621" t="s">
        <v>15</v>
      </c>
      <c r="F621" t="s">
        <v>13</v>
      </c>
      <c r="G621">
        <f>MONTH(cleaned_personal_finance_data3[[#This Row],[date]])</f>
        <v>12</v>
      </c>
      <c r="H621">
        <f>YEAR(cleaned_personal_finance_data3[[#This Row],[date]])</f>
        <v>2024</v>
      </c>
      <c r="I621" t="s">
        <v>278</v>
      </c>
    </row>
    <row r="622" spans="1:9" x14ac:dyDescent="0.25">
      <c r="A622">
        <v>621</v>
      </c>
      <c r="B622" s="1">
        <v>45656</v>
      </c>
      <c r="C622" t="s">
        <v>279</v>
      </c>
      <c r="D622">
        <v>1289</v>
      </c>
      <c r="E622" t="s">
        <v>15</v>
      </c>
      <c r="F622" t="s">
        <v>13</v>
      </c>
      <c r="G622">
        <f>MONTH(cleaned_personal_finance_data3[[#This Row],[date]])</f>
        <v>12</v>
      </c>
      <c r="H622">
        <f>YEAR(cleaned_personal_finance_data3[[#This Row],[date]])</f>
        <v>2024</v>
      </c>
      <c r="I622" t="s">
        <v>279</v>
      </c>
    </row>
    <row r="623" spans="1:9" x14ac:dyDescent="0.25">
      <c r="A623">
        <v>622</v>
      </c>
      <c r="B623" s="1">
        <v>45656</v>
      </c>
      <c r="C623" t="s">
        <v>103</v>
      </c>
      <c r="D623">
        <v>270</v>
      </c>
      <c r="E623" t="s">
        <v>15</v>
      </c>
      <c r="F623" t="s">
        <v>13</v>
      </c>
      <c r="G623">
        <f>MONTH(cleaned_personal_finance_data3[[#This Row],[date]])</f>
        <v>12</v>
      </c>
      <c r="H623">
        <f>YEAR(cleaned_personal_finance_data3[[#This Row],[date]])</f>
        <v>2024</v>
      </c>
      <c r="I623" t="s">
        <v>329</v>
      </c>
    </row>
    <row r="624" spans="1:9" x14ac:dyDescent="0.25">
      <c r="A624">
        <v>623</v>
      </c>
      <c r="B624" s="1">
        <v>45657</v>
      </c>
      <c r="C624" t="s">
        <v>280</v>
      </c>
      <c r="D624">
        <v>720</v>
      </c>
      <c r="E624" t="s">
        <v>15</v>
      </c>
      <c r="F624" t="s">
        <v>13</v>
      </c>
      <c r="G624">
        <f>MONTH(cleaned_personal_finance_data3[[#This Row],[date]])</f>
        <v>12</v>
      </c>
      <c r="H624">
        <f>YEAR(cleaned_personal_finance_data3[[#This Row],[date]])</f>
        <v>2024</v>
      </c>
      <c r="I624" t="s">
        <v>280</v>
      </c>
    </row>
    <row r="625" spans="1:9" x14ac:dyDescent="0.25">
      <c r="A625">
        <v>624</v>
      </c>
      <c r="B625" s="1">
        <v>45658</v>
      </c>
      <c r="C625" t="s">
        <v>36</v>
      </c>
      <c r="D625">
        <v>5</v>
      </c>
      <c r="E625" t="s">
        <v>15</v>
      </c>
      <c r="F625" t="s">
        <v>13</v>
      </c>
      <c r="G625">
        <f>MONTH(cleaned_personal_finance_data3[[#This Row],[date]])</f>
        <v>1</v>
      </c>
      <c r="H625">
        <f>YEAR(cleaned_personal_finance_data3[[#This Row],[date]])</f>
        <v>2025</v>
      </c>
      <c r="I625" t="s">
        <v>329</v>
      </c>
    </row>
    <row r="626" spans="1:9" x14ac:dyDescent="0.25">
      <c r="A626">
        <v>625</v>
      </c>
      <c r="B626" s="1">
        <v>45659</v>
      </c>
      <c r="C626" t="s">
        <v>67</v>
      </c>
      <c r="D626">
        <v>25</v>
      </c>
      <c r="E626" t="s">
        <v>15</v>
      </c>
      <c r="F626" t="s">
        <v>13</v>
      </c>
      <c r="G626">
        <f>MONTH(cleaned_personal_finance_data3[[#This Row],[date]])</f>
        <v>1</v>
      </c>
      <c r="H626">
        <f>YEAR(cleaned_personal_finance_data3[[#This Row],[date]])</f>
        <v>2025</v>
      </c>
      <c r="I626" t="s">
        <v>67</v>
      </c>
    </row>
    <row r="627" spans="1:9" x14ac:dyDescent="0.25">
      <c r="A627">
        <v>626</v>
      </c>
      <c r="B627" s="1">
        <v>45661</v>
      </c>
      <c r="C627" t="s">
        <v>175</v>
      </c>
      <c r="D627">
        <v>2100</v>
      </c>
      <c r="E627" t="s">
        <v>15</v>
      </c>
      <c r="F627" t="s">
        <v>13</v>
      </c>
      <c r="G627">
        <f>MONTH(cleaned_personal_finance_data3[[#This Row],[date]])</f>
        <v>1</v>
      </c>
      <c r="H627">
        <f>YEAR(cleaned_personal_finance_data3[[#This Row],[date]])</f>
        <v>2025</v>
      </c>
      <c r="I627" t="s">
        <v>159</v>
      </c>
    </row>
    <row r="628" spans="1:9" x14ac:dyDescent="0.25">
      <c r="A628">
        <v>627</v>
      </c>
      <c r="B628" s="1">
        <v>45661</v>
      </c>
      <c r="C628" t="s">
        <v>145</v>
      </c>
      <c r="D628">
        <v>7000</v>
      </c>
      <c r="E628" t="s">
        <v>15</v>
      </c>
      <c r="F628" t="s">
        <v>13</v>
      </c>
      <c r="G628">
        <f>MONTH(cleaned_personal_finance_data3[[#This Row],[date]])</f>
        <v>1</v>
      </c>
      <c r="H628">
        <f>YEAR(cleaned_personal_finance_data3[[#This Row],[date]])</f>
        <v>2025</v>
      </c>
      <c r="I628" t="s">
        <v>145</v>
      </c>
    </row>
    <row r="629" spans="1:9" x14ac:dyDescent="0.25">
      <c r="A629">
        <v>628</v>
      </c>
      <c r="B629" s="1">
        <v>45667</v>
      </c>
      <c r="C629" t="s">
        <v>281</v>
      </c>
      <c r="D629">
        <v>150</v>
      </c>
      <c r="E629" t="s">
        <v>15</v>
      </c>
      <c r="F629" t="s">
        <v>13</v>
      </c>
      <c r="G629">
        <f>MONTH(cleaned_personal_finance_data3[[#This Row],[date]])</f>
        <v>1</v>
      </c>
      <c r="H629">
        <f>YEAR(cleaned_personal_finance_data3[[#This Row],[date]])</f>
        <v>2025</v>
      </c>
      <c r="I629" t="s">
        <v>43</v>
      </c>
    </row>
    <row r="630" spans="1:9" x14ac:dyDescent="0.25">
      <c r="A630">
        <v>629</v>
      </c>
      <c r="B630" s="1">
        <v>45667</v>
      </c>
      <c r="C630" t="s">
        <v>180</v>
      </c>
      <c r="D630">
        <v>30</v>
      </c>
      <c r="E630" t="s">
        <v>15</v>
      </c>
      <c r="F630" t="s">
        <v>13</v>
      </c>
      <c r="G630">
        <f>MONTH(cleaned_personal_finance_data3[[#This Row],[date]])</f>
        <v>1</v>
      </c>
      <c r="H630">
        <f>YEAR(cleaned_personal_finance_data3[[#This Row],[date]])</f>
        <v>2025</v>
      </c>
      <c r="I630" t="s">
        <v>43</v>
      </c>
    </row>
    <row r="631" spans="1:9" x14ac:dyDescent="0.25">
      <c r="A631">
        <v>630</v>
      </c>
      <c r="B631" s="1">
        <v>45667</v>
      </c>
      <c r="C631" t="s">
        <v>107</v>
      </c>
      <c r="D631">
        <v>40</v>
      </c>
      <c r="E631" t="s">
        <v>15</v>
      </c>
      <c r="F631" t="s">
        <v>13</v>
      </c>
      <c r="G631">
        <f>MONTH(cleaned_personal_finance_data3[[#This Row],[date]])</f>
        <v>1</v>
      </c>
      <c r="H631">
        <f>YEAR(cleaned_personal_finance_data3[[#This Row],[date]])</f>
        <v>2025</v>
      </c>
      <c r="I631" t="s">
        <v>107</v>
      </c>
    </row>
    <row r="632" spans="1:9" x14ac:dyDescent="0.25">
      <c r="A632">
        <v>631</v>
      </c>
      <c r="B632" s="1">
        <v>45667</v>
      </c>
      <c r="C632" t="s">
        <v>106</v>
      </c>
      <c r="D632">
        <v>83</v>
      </c>
      <c r="E632" t="s">
        <v>15</v>
      </c>
      <c r="F632" t="s">
        <v>13</v>
      </c>
      <c r="G632">
        <f>MONTH(cleaned_personal_finance_data3[[#This Row],[date]])</f>
        <v>1</v>
      </c>
      <c r="H632">
        <f>YEAR(cleaned_personal_finance_data3[[#This Row],[date]])</f>
        <v>2025</v>
      </c>
      <c r="I632" t="s">
        <v>106</v>
      </c>
    </row>
    <row r="633" spans="1:9" x14ac:dyDescent="0.25">
      <c r="A633">
        <v>632</v>
      </c>
      <c r="B633" s="1">
        <v>45667</v>
      </c>
      <c r="C633" t="s">
        <v>282</v>
      </c>
      <c r="D633">
        <v>230</v>
      </c>
      <c r="E633" t="s">
        <v>15</v>
      </c>
      <c r="F633" t="s">
        <v>13</v>
      </c>
      <c r="G633">
        <f>MONTH(cleaned_personal_finance_data3[[#This Row],[date]])</f>
        <v>1</v>
      </c>
      <c r="H633">
        <f>YEAR(cleaned_personal_finance_data3[[#This Row],[date]])</f>
        <v>2025</v>
      </c>
      <c r="I633" t="s">
        <v>282</v>
      </c>
    </row>
    <row r="634" spans="1:9" x14ac:dyDescent="0.25">
      <c r="A634">
        <v>633</v>
      </c>
      <c r="B634" s="1">
        <v>45667</v>
      </c>
      <c r="C634" t="s">
        <v>283</v>
      </c>
      <c r="D634">
        <v>130</v>
      </c>
      <c r="E634" t="s">
        <v>15</v>
      </c>
      <c r="F634" t="s">
        <v>13</v>
      </c>
      <c r="G634">
        <f>MONTH(cleaned_personal_finance_data3[[#This Row],[date]])</f>
        <v>1</v>
      </c>
      <c r="H634">
        <f>YEAR(cleaned_personal_finance_data3[[#This Row],[date]])</f>
        <v>2025</v>
      </c>
      <c r="I634" t="s">
        <v>43</v>
      </c>
    </row>
    <row r="635" spans="1:9" x14ac:dyDescent="0.25">
      <c r="A635">
        <v>634</v>
      </c>
      <c r="B635" s="1">
        <v>45667</v>
      </c>
      <c r="C635" t="s">
        <v>284</v>
      </c>
      <c r="D635">
        <v>200</v>
      </c>
      <c r="E635" t="s">
        <v>15</v>
      </c>
      <c r="F635" t="s">
        <v>13</v>
      </c>
      <c r="G635">
        <f>MONTH(cleaned_personal_finance_data3[[#This Row],[date]])</f>
        <v>1</v>
      </c>
      <c r="H635">
        <f>YEAR(cleaned_personal_finance_data3[[#This Row],[date]])</f>
        <v>2025</v>
      </c>
      <c r="I635" t="s">
        <v>43</v>
      </c>
    </row>
    <row r="636" spans="1:9" x14ac:dyDescent="0.25">
      <c r="A636">
        <v>635</v>
      </c>
      <c r="B636" s="1">
        <v>45670</v>
      </c>
      <c r="C636" t="s">
        <v>281</v>
      </c>
      <c r="D636">
        <v>150</v>
      </c>
      <c r="E636" t="s">
        <v>15</v>
      </c>
      <c r="F636" t="s">
        <v>13</v>
      </c>
      <c r="G636">
        <f>MONTH(cleaned_personal_finance_data3[[#This Row],[date]])</f>
        <v>1</v>
      </c>
      <c r="H636">
        <f>YEAR(cleaned_personal_finance_data3[[#This Row],[date]])</f>
        <v>2025</v>
      </c>
      <c r="I636" t="s">
        <v>43</v>
      </c>
    </row>
    <row r="637" spans="1:9" x14ac:dyDescent="0.25">
      <c r="A637">
        <v>636</v>
      </c>
      <c r="B637" s="1">
        <v>45670</v>
      </c>
      <c r="C637" t="s">
        <v>54</v>
      </c>
      <c r="D637">
        <v>89</v>
      </c>
      <c r="E637" t="s">
        <v>15</v>
      </c>
      <c r="F637" t="s">
        <v>13</v>
      </c>
      <c r="G637">
        <f>MONTH(cleaned_personal_finance_data3[[#This Row],[date]])</f>
        <v>1</v>
      </c>
      <c r="H637">
        <f>YEAR(cleaned_personal_finance_data3[[#This Row],[date]])</f>
        <v>2025</v>
      </c>
      <c r="I637" t="s">
        <v>54</v>
      </c>
    </row>
    <row r="638" spans="1:9" x14ac:dyDescent="0.25">
      <c r="A638">
        <v>637</v>
      </c>
      <c r="B638" s="1">
        <v>45670</v>
      </c>
      <c r="C638" t="s">
        <v>108</v>
      </c>
      <c r="D638">
        <v>60</v>
      </c>
      <c r="E638" t="s">
        <v>15</v>
      </c>
      <c r="F638" t="s">
        <v>13</v>
      </c>
      <c r="G638">
        <f>MONTH(cleaned_personal_finance_data3[[#This Row],[date]])</f>
        <v>1</v>
      </c>
      <c r="H638">
        <f>YEAR(cleaned_personal_finance_data3[[#This Row],[date]])</f>
        <v>2025</v>
      </c>
      <c r="I638" t="s">
        <v>43</v>
      </c>
    </row>
    <row r="639" spans="1:9" hidden="1" x14ac:dyDescent="0.25">
      <c r="A639">
        <v>638</v>
      </c>
      <c r="B639" s="1">
        <v>45670</v>
      </c>
      <c r="C639" t="s">
        <v>162</v>
      </c>
      <c r="D639">
        <v>20000</v>
      </c>
      <c r="E639" t="s">
        <v>10</v>
      </c>
      <c r="F639" t="s">
        <v>8</v>
      </c>
      <c r="G639">
        <f>MONTH(cleaned_personal_finance_data3[[#This Row],[date]])</f>
        <v>1</v>
      </c>
      <c r="H639">
        <f>YEAR(cleaned_personal_finance_data3[[#This Row],[date]])</f>
        <v>2025</v>
      </c>
      <c r="I639" t="s">
        <v>162</v>
      </c>
    </row>
    <row r="640" spans="1:9" x14ac:dyDescent="0.25">
      <c r="A640">
        <v>639</v>
      </c>
      <c r="B640" s="1">
        <v>45670</v>
      </c>
      <c r="C640" t="s">
        <v>285</v>
      </c>
      <c r="D640">
        <v>5490</v>
      </c>
      <c r="E640" t="s">
        <v>15</v>
      </c>
      <c r="F640" t="s">
        <v>13</v>
      </c>
      <c r="G640">
        <f>MONTH(cleaned_personal_finance_data3[[#This Row],[date]])</f>
        <v>1</v>
      </c>
      <c r="H640">
        <f>YEAR(cleaned_personal_finance_data3[[#This Row],[date]])</f>
        <v>2025</v>
      </c>
      <c r="I640" t="s">
        <v>285</v>
      </c>
    </row>
    <row r="641" spans="1:9" x14ac:dyDescent="0.25">
      <c r="A641">
        <v>640</v>
      </c>
      <c r="B641" s="1">
        <v>45670</v>
      </c>
      <c r="C641" t="s">
        <v>180</v>
      </c>
      <c r="D641">
        <v>10</v>
      </c>
      <c r="E641" t="s">
        <v>15</v>
      </c>
      <c r="F641" t="s">
        <v>13</v>
      </c>
      <c r="G641">
        <f>MONTH(cleaned_personal_finance_data3[[#This Row],[date]])</f>
        <v>1</v>
      </c>
      <c r="H641">
        <f>YEAR(cleaned_personal_finance_data3[[#This Row],[date]])</f>
        <v>2025</v>
      </c>
      <c r="I641" t="s">
        <v>43</v>
      </c>
    </row>
    <row r="642" spans="1:9" x14ac:dyDescent="0.25">
      <c r="A642">
        <v>641</v>
      </c>
      <c r="B642" s="1">
        <v>45670</v>
      </c>
      <c r="C642" t="s">
        <v>286</v>
      </c>
      <c r="D642">
        <v>150</v>
      </c>
      <c r="E642" t="s">
        <v>15</v>
      </c>
      <c r="F642" t="s">
        <v>13</v>
      </c>
      <c r="G642">
        <f>MONTH(cleaned_personal_finance_data3[[#This Row],[date]])</f>
        <v>1</v>
      </c>
      <c r="H642">
        <f>YEAR(cleaned_personal_finance_data3[[#This Row],[date]])</f>
        <v>2025</v>
      </c>
      <c r="I642" t="s">
        <v>43</v>
      </c>
    </row>
    <row r="643" spans="1:9" x14ac:dyDescent="0.25">
      <c r="A643">
        <v>642</v>
      </c>
      <c r="B643" s="1">
        <v>45672</v>
      </c>
      <c r="C643" t="s">
        <v>287</v>
      </c>
      <c r="D643">
        <v>30</v>
      </c>
      <c r="E643" t="s">
        <v>15</v>
      </c>
      <c r="F643" t="s">
        <v>13</v>
      </c>
      <c r="G643">
        <f>MONTH(cleaned_personal_finance_data3[[#This Row],[date]])</f>
        <v>1</v>
      </c>
      <c r="H643">
        <f>YEAR(cleaned_personal_finance_data3[[#This Row],[date]])</f>
        <v>2025</v>
      </c>
      <c r="I643" t="s">
        <v>43</v>
      </c>
    </row>
    <row r="644" spans="1:9" x14ac:dyDescent="0.25">
      <c r="A644">
        <v>643</v>
      </c>
      <c r="B644" s="1">
        <v>45672</v>
      </c>
      <c r="C644" t="s">
        <v>160</v>
      </c>
      <c r="D644">
        <v>120</v>
      </c>
      <c r="E644" t="s">
        <v>15</v>
      </c>
      <c r="F644" t="s">
        <v>13</v>
      </c>
      <c r="G644">
        <f>MONTH(cleaned_personal_finance_data3[[#This Row],[date]])</f>
        <v>1</v>
      </c>
      <c r="H644">
        <f>YEAR(cleaned_personal_finance_data3[[#This Row],[date]])</f>
        <v>2025</v>
      </c>
      <c r="I644" t="s">
        <v>43</v>
      </c>
    </row>
    <row r="645" spans="1:9" x14ac:dyDescent="0.25">
      <c r="A645">
        <v>644</v>
      </c>
      <c r="B645" s="1">
        <v>45672</v>
      </c>
      <c r="C645" t="s">
        <v>54</v>
      </c>
      <c r="D645">
        <v>184</v>
      </c>
      <c r="E645" t="s">
        <v>15</v>
      </c>
      <c r="F645" t="s">
        <v>13</v>
      </c>
      <c r="G645">
        <f>MONTH(cleaned_personal_finance_data3[[#This Row],[date]])</f>
        <v>1</v>
      </c>
      <c r="H645">
        <f>YEAR(cleaned_personal_finance_data3[[#This Row],[date]])</f>
        <v>2025</v>
      </c>
      <c r="I645" t="s">
        <v>54</v>
      </c>
    </row>
    <row r="646" spans="1:9" x14ac:dyDescent="0.25">
      <c r="A646">
        <v>645</v>
      </c>
      <c r="B646" s="1">
        <v>45672</v>
      </c>
      <c r="C646" t="s">
        <v>128</v>
      </c>
      <c r="D646">
        <v>13</v>
      </c>
      <c r="E646" t="s">
        <v>15</v>
      </c>
      <c r="F646" t="s">
        <v>13</v>
      </c>
      <c r="G646">
        <f>MONTH(cleaned_personal_finance_data3[[#This Row],[date]])</f>
        <v>1</v>
      </c>
      <c r="H646">
        <f>YEAR(cleaned_personal_finance_data3[[#This Row],[date]])</f>
        <v>2025</v>
      </c>
      <c r="I646" t="s">
        <v>43</v>
      </c>
    </row>
    <row r="647" spans="1:9" x14ac:dyDescent="0.25">
      <c r="A647">
        <v>646</v>
      </c>
      <c r="B647" s="1">
        <v>45672</v>
      </c>
      <c r="C647" t="s">
        <v>108</v>
      </c>
      <c r="D647">
        <v>40</v>
      </c>
      <c r="E647" t="s">
        <v>15</v>
      </c>
      <c r="F647" t="s">
        <v>13</v>
      </c>
      <c r="G647">
        <f>MONTH(cleaned_personal_finance_data3[[#This Row],[date]])</f>
        <v>1</v>
      </c>
      <c r="H647">
        <f>YEAR(cleaned_personal_finance_data3[[#This Row],[date]])</f>
        <v>2025</v>
      </c>
      <c r="I647" t="s">
        <v>43</v>
      </c>
    </row>
    <row r="648" spans="1:9" x14ac:dyDescent="0.25">
      <c r="A648">
        <v>647</v>
      </c>
      <c r="B648" s="1">
        <v>45672</v>
      </c>
      <c r="C648" t="s">
        <v>277</v>
      </c>
      <c r="D648">
        <v>638</v>
      </c>
      <c r="E648" t="s">
        <v>15</v>
      </c>
      <c r="F648" t="s">
        <v>13</v>
      </c>
      <c r="G648">
        <f>MONTH(cleaned_personal_finance_data3[[#This Row],[date]])</f>
        <v>1</v>
      </c>
      <c r="H648">
        <f>YEAR(cleaned_personal_finance_data3[[#This Row],[date]])</f>
        <v>2025</v>
      </c>
      <c r="I648" t="s">
        <v>277</v>
      </c>
    </row>
    <row r="649" spans="1:9" x14ac:dyDescent="0.25">
      <c r="A649">
        <v>648</v>
      </c>
      <c r="B649" s="1">
        <v>45672</v>
      </c>
      <c r="C649" t="s">
        <v>269</v>
      </c>
      <c r="D649">
        <v>599</v>
      </c>
      <c r="E649" t="s">
        <v>15</v>
      </c>
      <c r="F649" t="s">
        <v>13</v>
      </c>
      <c r="G649">
        <f>MONTH(cleaned_personal_finance_data3[[#This Row],[date]])</f>
        <v>1</v>
      </c>
      <c r="H649">
        <f>YEAR(cleaned_personal_finance_data3[[#This Row],[date]])</f>
        <v>2025</v>
      </c>
      <c r="I649" t="s">
        <v>269</v>
      </c>
    </row>
    <row r="650" spans="1:9" x14ac:dyDescent="0.25">
      <c r="A650">
        <v>649</v>
      </c>
      <c r="B650" s="1">
        <v>45672</v>
      </c>
      <c r="C650" t="s">
        <v>229</v>
      </c>
      <c r="D650">
        <v>42</v>
      </c>
      <c r="E650" t="s">
        <v>15</v>
      </c>
      <c r="F650" t="s">
        <v>13</v>
      </c>
      <c r="G650">
        <f>MONTH(cleaned_personal_finance_data3[[#This Row],[date]])</f>
        <v>1</v>
      </c>
      <c r="H650">
        <f>YEAR(cleaned_personal_finance_data3[[#This Row],[date]])</f>
        <v>2025</v>
      </c>
      <c r="I650" t="s">
        <v>229</v>
      </c>
    </row>
    <row r="651" spans="1:9" x14ac:dyDescent="0.25">
      <c r="A651">
        <v>650</v>
      </c>
      <c r="B651" s="1">
        <v>45672</v>
      </c>
      <c r="C651" t="s">
        <v>61</v>
      </c>
      <c r="D651">
        <v>120</v>
      </c>
      <c r="E651" t="s">
        <v>15</v>
      </c>
      <c r="F651" t="s">
        <v>13</v>
      </c>
      <c r="G651">
        <f>MONTH(cleaned_personal_finance_data3[[#This Row],[date]])</f>
        <v>1</v>
      </c>
      <c r="H651">
        <f>YEAR(cleaned_personal_finance_data3[[#This Row],[date]])</f>
        <v>2025</v>
      </c>
      <c r="I651" t="s">
        <v>43</v>
      </c>
    </row>
    <row r="652" spans="1:9" x14ac:dyDescent="0.25">
      <c r="A652">
        <v>651</v>
      </c>
      <c r="B652" s="1">
        <v>45672</v>
      </c>
      <c r="C652" t="s">
        <v>76</v>
      </c>
      <c r="D652">
        <v>20</v>
      </c>
      <c r="E652" t="s">
        <v>15</v>
      </c>
      <c r="F652" t="s">
        <v>13</v>
      </c>
      <c r="G652">
        <f>MONTH(cleaned_personal_finance_data3[[#This Row],[date]])</f>
        <v>1</v>
      </c>
      <c r="H652">
        <f>YEAR(cleaned_personal_finance_data3[[#This Row],[date]])</f>
        <v>2025</v>
      </c>
      <c r="I652" t="s">
        <v>43</v>
      </c>
    </row>
    <row r="653" spans="1:9" x14ac:dyDescent="0.25">
      <c r="A653">
        <v>652</v>
      </c>
      <c r="B653" s="1">
        <v>45672</v>
      </c>
      <c r="C653" t="s">
        <v>85</v>
      </c>
      <c r="D653">
        <v>300</v>
      </c>
      <c r="E653" t="s">
        <v>15</v>
      </c>
      <c r="F653" t="s">
        <v>13</v>
      </c>
      <c r="G653">
        <f>MONTH(cleaned_personal_finance_data3[[#This Row],[date]])</f>
        <v>1</v>
      </c>
      <c r="H653">
        <f>YEAR(cleaned_personal_finance_data3[[#This Row],[date]])</f>
        <v>2025</v>
      </c>
      <c r="I653" t="s">
        <v>85</v>
      </c>
    </row>
    <row r="654" spans="1:9" hidden="1" x14ac:dyDescent="0.25">
      <c r="A654">
        <v>653</v>
      </c>
      <c r="B654" s="1">
        <v>45673</v>
      </c>
      <c r="C654" t="s">
        <v>6</v>
      </c>
      <c r="D654">
        <v>13201</v>
      </c>
      <c r="E654" t="s">
        <v>7</v>
      </c>
      <c r="F654" t="s">
        <v>8</v>
      </c>
      <c r="G654">
        <f>MONTH(cleaned_personal_finance_data3[[#This Row],[date]])</f>
        <v>1</v>
      </c>
      <c r="H654">
        <f>YEAR(cleaned_personal_finance_data3[[#This Row],[date]])</f>
        <v>2025</v>
      </c>
      <c r="I654" t="s">
        <v>318</v>
      </c>
    </row>
    <row r="655" spans="1:9" x14ac:dyDescent="0.25">
      <c r="A655">
        <v>654</v>
      </c>
      <c r="B655" s="1">
        <v>45674</v>
      </c>
      <c r="C655" t="s">
        <v>287</v>
      </c>
      <c r="D655">
        <v>50</v>
      </c>
      <c r="E655" t="s">
        <v>15</v>
      </c>
      <c r="F655" t="s">
        <v>13</v>
      </c>
      <c r="G655">
        <f>MONTH(cleaned_personal_finance_data3[[#This Row],[date]])</f>
        <v>1</v>
      </c>
      <c r="H655">
        <f>YEAR(cleaned_personal_finance_data3[[#This Row],[date]])</f>
        <v>2025</v>
      </c>
      <c r="I655" t="s">
        <v>43</v>
      </c>
    </row>
    <row r="656" spans="1:9" x14ac:dyDescent="0.25">
      <c r="A656">
        <v>655</v>
      </c>
      <c r="B656" s="1">
        <v>45674</v>
      </c>
      <c r="C656" t="s">
        <v>59</v>
      </c>
      <c r="D656">
        <v>20</v>
      </c>
      <c r="E656" t="s">
        <v>15</v>
      </c>
      <c r="F656" t="s">
        <v>13</v>
      </c>
      <c r="G656">
        <f>MONTH(cleaned_personal_finance_data3[[#This Row],[date]])</f>
        <v>1</v>
      </c>
      <c r="H656">
        <f>YEAR(cleaned_personal_finance_data3[[#This Row],[date]])</f>
        <v>2025</v>
      </c>
      <c r="I656" t="s">
        <v>59</v>
      </c>
    </row>
    <row r="657" spans="1:9" x14ac:dyDescent="0.25">
      <c r="A657">
        <v>656</v>
      </c>
      <c r="B657" s="1">
        <v>45674</v>
      </c>
      <c r="C657" t="s">
        <v>67</v>
      </c>
      <c r="D657">
        <v>20</v>
      </c>
      <c r="E657" t="s">
        <v>15</v>
      </c>
      <c r="F657" t="s">
        <v>13</v>
      </c>
      <c r="G657">
        <f>MONTH(cleaned_personal_finance_data3[[#This Row],[date]])</f>
        <v>1</v>
      </c>
      <c r="H657">
        <f>YEAR(cleaned_personal_finance_data3[[#This Row],[date]])</f>
        <v>2025</v>
      </c>
      <c r="I657" t="s">
        <v>67</v>
      </c>
    </row>
    <row r="658" spans="1:9" x14ac:dyDescent="0.25">
      <c r="A658">
        <v>657</v>
      </c>
      <c r="B658" s="1">
        <v>45674</v>
      </c>
      <c r="C658" t="s">
        <v>110</v>
      </c>
      <c r="D658">
        <v>120</v>
      </c>
      <c r="E658" t="s">
        <v>15</v>
      </c>
      <c r="F658" t="s">
        <v>13</v>
      </c>
      <c r="G658">
        <f>MONTH(cleaned_personal_finance_data3[[#This Row],[date]])</f>
        <v>1</v>
      </c>
      <c r="H658">
        <f>YEAR(cleaned_personal_finance_data3[[#This Row],[date]])</f>
        <v>2025</v>
      </c>
      <c r="I658" t="s">
        <v>43</v>
      </c>
    </row>
    <row r="659" spans="1:9" x14ac:dyDescent="0.25">
      <c r="A659">
        <v>658</v>
      </c>
      <c r="B659" s="1">
        <v>45674</v>
      </c>
      <c r="C659" t="s">
        <v>54</v>
      </c>
      <c r="D659">
        <v>120</v>
      </c>
      <c r="E659" t="s">
        <v>15</v>
      </c>
      <c r="F659" t="s">
        <v>13</v>
      </c>
      <c r="G659">
        <f>MONTH(cleaned_personal_finance_data3[[#This Row],[date]])</f>
        <v>1</v>
      </c>
      <c r="H659">
        <f>YEAR(cleaned_personal_finance_data3[[#This Row],[date]])</f>
        <v>2025</v>
      </c>
      <c r="I659" t="s">
        <v>54</v>
      </c>
    </row>
    <row r="660" spans="1:9" x14ac:dyDescent="0.25">
      <c r="A660">
        <v>659</v>
      </c>
      <c r="B660" s="1">
        <v>45674</v>
      </c>
      <c r="C660" t="s">
        <v>108</v>
      </c>
      <c r="D660">
        <v>60</v>
      </c>
      <c r="E660" t="s">
        <v>15</v>
      </c>
      <c r="F660" t="s">
        <v>13</v>
      </c>
      <c r="G660">
        <f>MONTH(cleaned_personal_finance_data3[[#This Row],[date]])</f>
        <v>1</v>
      </c>
      <c r="H660">
        <f>YEAR(cleaned_personal_finance_data3[[#This Row],[date]])</f>
        <v>2025</v>
      </c>
      <c r="I660" t="s">
        <v>43</v>
      </c>
    </row>
    <row r="661" spans="1:9" x14ac:dyDescent="0.25">
      <c r="A661">
        <v>660</v>
      </c>
      <c r="B661" s="1">
        <v>45674</v>
      </c>
      <c r="C661" t="s">
        <v>288</v>
      </c>
      <c r="D661">
        <v>135</v>
      </c>
      <c r="E661" t="s">
        <v>15</v>
      </c>
      <c r="F661" t="s">
        <v>13</v>
      </c>
      <c r="G661">
        <f>MONTH(cleaned_personal_finance_data3[[#This Row],[date]])</f>
        <v>1</v>
      </c>
      <c r="H661">
        <f>YEAR(cleaned_personal_finance_data3[[#This Row],[date]])</f>
        <v>2025</v>
      </c>
      <c r="I661" t="s">
        <v>288</v>
      </c>
    </row>
    <row r="662" spans="1:9" x14ac:dyDescent="0.25">
      <c r="A662">
        <v>661</v>
      </c>
      <c r="B662" s="1">
        <v>45674</v>
      </c>
      <c r="C662" t="s">
        <v>179</v>
      </c>
      <c r="D662">
        <v>20</v>
      </c>
      <c r="E662" t="s">
        <v>15</v>
      </c>
      <c r="F662" t="s">
        <v>13</v>
      </c>
      <c r="G662">
        <f>MONTH(cleaned_personal_finance_data3[[#This Row],[date]])</f>
        <v>1</v>
      </c>
      <c r="H662">
        <f>YEAR(cleaned_personal_finance_data3[[#This Row],[date]])</f>
        <v>2025</v>
      </c>
      <c r="I662" t="s">
        <v>179</v>
      </c>
    </row>
    <row r="663" spans="1:9" x14ac:dyDescent="0.25">
      <c r="A663">
        <v>662</v>
      </c>
      <c r="B663" s="1">
        <v>45674</v>
      </c>
      <c r="C663" t="s">
        <v>180</v>
      </c>
      <c r="D663">
        <v>10</v>
      </c>
      <c r="E663" t="s">
        <v>15</v>
      </c>
      <c r="F663" t="s">
        <v>13</v>
      </c>
      <c r="G663">
        <f>MONTH(cleaned_personal_finance_data3[[#This Row],[date]])</f>
        <v>1</v>
      </c>
      <c r="H663">
        <f>YEAR(cleaned_personal_finance_data3[[#This Row],[date]])</f>
        <v>2025</v>
      </c>
      <c r="I663" t="s">
        <v>43</v>
      </c>
    </row>
    <row r="664" spans="1:9" x14ac:dyDescent="0.25">
      <c r="A664">
        <v>663</v>
      </c>
      <c r="B664" s="1">
        <v>45674</v>
      </c>
      <c r="C664" t="s">
        <v>67</v>
      </c>
      <c r="D664">
        <v>25</v>
      </c>
      <c r="E664" t="s">
        <v>15</v>
      </c>
      <c r="F664" t="s">
        <v>13</v>
      </c>
      <c r="G664">
        <f>MONTH(cleaned_personal_finance_data3[[#This Row],[date]])</f>
        <v>1</v>
      </c>
      <c r="H664">
        <f>YEAR(cleaned_personal_finance_data3[[#This Row],[date]])</f>
        <v>2025</v>
      </c>
      <c r="I664" t="s">
        <v>67</v>
      </c>
    </row>
    <row r="665" spans="1:9" x14ac:dyDescent="0.25">
      <c r="A665">
        <v>664</v>
      </c>
      <c r="B665" s="1">
        <v>45674</v>
      </c>
      <c r="C665" t="s">
        <v>181</v>
      </c>
      <c r="D665">
        <v>120</v>
      </c>
      <c r="E665" t="s">
        <v>15</v>
      </c>
      <c r="F665" t="s">
        <v>13</v>
      </c>
      <c r="G665">
        <f>MONTH(cleaned_personal_finance_data3[[#This Row],[date]])</f>
        <v>1</v>
      </c>
      <c r="H665">
        <f>YEAR(cleaned_personal_finance_data3[[#This Row],[date]])</f>
        <v>2025</v>
      </c>
      <c r="I665" t="s">
        <v>43</v>
      </c>
    </row>
    <row r="666" spans="1:9" x14ac:dyDescent="0.25">
      <c r="A666">
        <v>665</v>
      </c>
      <c r="B666" s="1">
        <v>45674</v>
      </c>
      <c r="C666" t="s">
        <v>76</v>
      </c>
      <c r="D666">
        <v>100</v>
      </c>
      <c r="E666" t="s">
        <v>15</v>
      </c>
      <c r="F666" t="s">
        <v>13</v>
      </c>
      <c r="G666">
        <f>MONTH(cleaned_personal_finance_data3[[#This Row],[date]])</f>
        <v>1</v>
      </c>
      <c r="H666">
        <f>YEAR(cleaned_personal_finance_data3[[#This Row],[date]])</f>
        <v>2025</v>
      </c>
      <c r="I666" t="s">
        <v>43</v>
      </c>
    </row>
    <row r="667" spans="1:9" x14ac:dyDescent="0.25">
      <c r="A667">
        <v>666</v>
      </c>
      <c r="B667" s="1">
        <v>45681</v>
      </c>
      <c r="C667" t="s">
        <v>281</v>
      </c>
      <c r="D667">
        <v>300</v>
      </c>
      <c r="E667" t="s">
        <v>15</v>
      </c>
      <c r="F667" t="s">
        <v>13</v>
      </c>
      <c r="G667">
        <f>MONTH(cleaned_personal_finance_data3[[#This Row],[date]])</f>
        <v>1</v>
      </c>
      <c r="H667">
        <f>YEAR(cleaned_personal_finance_data3[[#This Row],[date]])</f>
        <v>2025</v>
      </c>
      <c r="I667" t="s">
        <v>43</v>
      </c>
    </row>
    <row r="668" spans="1:9" x14ac:dyDescent="0.25">
      <c r="A668">
        <v>667</v>
      </c>
      <c r="B668" s="1">
        <v>45681</v>
      </c>
      <c r="C668" t="s">
        <v>54</v>
      </c>
      <c r="D668">
        <v>392</v>
      </c>
      <c r="E668" t="s">
        <v>15</v>
      </c>
      <c r="F668" t="s">
        <v>13</v>
      </c>
      <c r="G668">
        <f>MONTH(cleaned_personal_finance_data3[[#This Row],[date]])</f>
        <v>1</v>
      </c>
      <c r="H668">
        <f>YEAR(cleaned_personal_finance_data3[[#This Row],[date]])</f>
        <v>2025</v>
      </c>
      <c r="I668" t="s">
        <v>54</v>
      </c>
    </row>
    <row r="669" spans="1:9" x14ac:dyDescent="0.25">
      <c r="A669">
        <v>668</v>
      </c>
      <c r="B669" s="1">
        <v>45681</v>
      </c>
      <c r="C669" t="s">
        <v>289</v>
      </c>
      <c r="D669">
        <v>58</v>
      </c>
      <c r="E669" t="s">
        <v>15</v>
      </c>
      <c r="F669" t="s">
        <v>13</v>
      </c>
      <c r="G669">
        <f>MONTH(cleaned_personal_finance_data3[[#This Row],[date]])</f>
        <v>1</v>
      </c>
      <c r="H669">
        <f>YEAR(cleaned_personal_finance_data3[[#This Row],[date]])</f>
        <v>2025</v>
      </c>
      <c r="I669" t="s">
        <v>289</v>
      </c>
    </row>
    <row r="670" spans="1:9" x14ac:dyDescent="0.25">
      <c r="A670">
        <v>669</v>
      </c>
      <c r="B670" s="1">
        <v>45681</v>
      </c>
      <c r="C670" t="s">
        <v>290</v>
      </c>
      <c r="D670">
        <v>18</v>
      </c>
      <c r="E670" t="s">
        <v>15</v>
      </c>
      <c r="F670" t="s">
        <v>13</v>
      </c>
      <c r="G670">
        <f>MONTH(cleaned_personal_finance_data3[[#This Row],[date]])</f>
        <v>1</v>
      </c>
      <c r="H670">
        <f>YEAR(cleaned_personal_finance_data3[[#This Row],[date]])</f>
        <v>2025</v>
      </c>
      <c r="I670" t="s">
        <v>290</v>
      </c>
    </row>
    <row r="671" spans="1:9" x14ac:dyDescent="0.25">
      <c r="A671">
        <v>670</v>
      </c>
      <c r="B671" s="1">
        <v>45681</v>
      </c>
      <c r="C671" t="s">
        <v>291</v>
      </c>
      <c r="D671">
        <v>20</v>
      </c>
      <c r="E671" t="s">
        <v>15</v>
      </c>
      <c r="F671" t="s">
        <v>13</v>
      </c>
      <c r="G671">
        <f>MONTH(cleaned_personal_finance_data3[[#This Row],[date]])</f>
        <v>1</v>
      </c>
      <c r="H671">
        <f>YEAR(cleaned_personal_finance_data3[[#This Row],[date]])</f>
        <v>2025</v>
      </c>
      <c r="I671" t="s">
        <v>291</v>
      </c>
    </row>
    <row r="672" spans="1:9" hidden="1" x14ac:dyDescent="0.25">
      <c r="A672">
        <v>671</v>
      </c>
      <c r="B672" s="1">
        <v>45687</v>
      </c>
      <c r="C672" t="s">
        <v>6</v>
      </c>
      <c r="D672">
        <v>13202</v>
      </c>
      <c r="E672" t="s">
        <v>7</v>
      </c>
      <c r="F672" t="s">
        <v>8</v>
      </c>
      <c r="G672">
        <f>MONTH(cleaned_personal_finance_data3[[#This Row],[date]])</f>
        <v>1</v>
      </c>
      <c r="H672">
        <f>YEAR(cleaned_personal_finance_data3[[#This Row],[date]])</f>
        <v>2025</v>
      </c>
      <c r="I672" t="s">
        <v>318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8069-6291-499E-BAF4-CDDF477BD712}">
  <dimension ref="A1:I672"/>
  <sheetViews>
    <sheetView workbookViewId="0">
      <selection activeCell="F107" sqref="F107"/>
    </sheetView>
  </sheetViews>
  <sheetFormatPr defaultRowHeight="15" x14ac:dyDescent="0.25"/>
  <cols>
    <col min="2" max="2" width="10.85546875" customWidth="1"/>
    <col min="9" max="9" width="15.5703125" customWidth="1"/>
  </cols>
  <sheetData>
    <row r="1" spans="1:9" x14ac:dyDescent="0.25">
      <c r="A1" t="s">
        <v>0</v>
      </c>
      <c r="B1" t="s">
        <v>1</v>
      </c>
      <c r="C1" t="s">
        <v>2</v>
      </c>
      <c r="D1" t="s">
        <v>3</v>
      </c>
      <c r="E1" t="s">
        <v>4</v>
      </c>
      <c r="F1" t="s">
        <v>5</v>
      </c>
      <c r="G1" t="s">
        <v>292</v>
      </c>
      <c r="H1" t="s">
        <v>293</v>
      </c>
      <c r="I1" t="s">
        <v>317</v>
      </c>
    </row>
    <row r="2" spans="1:9" x14ac:dyDescent="0.25">
      <c r="A2">
        <v>1</v>
      </c>
      <c r="B2" s="1">
        <v>45183</v>
      </c>
      <c r="C2" t="s">
        <v>6</v>
      </c>
      <c r="D2">
        <v>17732</v>
      </c>
      <c r="E2" t="s">
        <v>7</v>
      </c>
      <c r="F2" t="s">
        <v>8</v>
      </c>
      <c r="G2">
        <f>MONTH(cleaned_personal_finance_data4[[#This Row],[date]])</f>
        <v>9</v>
      </c>
      <c r="H2">
        <f>YEAR(cleaned_personal_finance_data4[[#This Row],[date]])</f>
        <v>2023</v>
      </c>
      <c r="I2" t="s">
        <v>318</v>
      </c>
    </row>
    <row r="3" spans="1:9" x14ac:dyDescent="0.25">
      <c r="A3">
        <v>2</v>
      </c>
      <c r="B3" s="1">
        <v>45208</v>
      </c>
      <c r="C3" t="s">
        <v>6</v>
      </c>
      <c r="D3">
        <v>12754</v>
      </c>
      <c r="E3" t="s">
        <v>7</v>
      </c>
      <c r="F3" t="s">
        <v>8</v>
      </c>
      <c r="G3">
        <f>MONTH(cleaned_personal_finance_data4[[#This Row],[date]])</f>
        <v>10</v>
      </c>
      <c r="H3">
        <f>YEAR(cleaned_personal_finance_data4[[#This Row],[date]])</f>
        <v>2023</v>
      </c>
      <c r="I3" t="s">
        <v>318</v>
      </c>
    </row>
    <row r="4" spans="1:9" hidden="1" x14ac:dyDescent="0.25">
      <c r="A4">
        <v>3</v>
      </c>
      <c r="B4" s="1">
        <v>45214</v>
      </c>
      <c r="C4" t="s">
        <v>9</v>
      </c>
      <c r="D4">
        <v>26142</v>
      </c>
      <c r="E4" t="s">
        <v>10</v>
      </c>
      <c r="F4" t="s">
        <v>8</v>
      </c>
      <c r="G4">
        <f>MONTH(cleaned_personal_finance_data4[[#This Row],[date]])</f>
        <v>10</v>
      </c>
      <c r="H4">
        <f>YEAR(cleaned_personal_finance_data4[[#This Row],[date]])</f>
        <v>2023</v>
      </c>
      <c r="I4" t="s">
        <v>9</v>
      </c>
    </row>
    <row r="5" spans="1:9" hidden="1" x14ac:dyDescent="0.25">
      <c r="A5">
        <v>4</v>
      </c>
      <c r="B5" s="1">
        <v>45214</v>
      </c>
      <c r="C5" t="s">
        <v>11</v>
      </c>
      <c r="D5">
        <v>26142</v>
      </c>
      <c r="E5" t="s">
        <v>12</v>
      </c>
      <c r="F5" t="s">
        <v>13</v>
      </c>
      <c r="G5">
        <f>MONTH(cleaned_personal_finance_data4[[#This Row],[date]])</f>
        <v>10</v>
      </c>
      <c r="H5">
        <f>YEAR(cleaned_personal_finance_data4[[#This Row],[date]])</f>
        <v>2023</v>
      </c>
      <c r="I5" t="s">
        <v>11</v>
      </c>
    </row>
    <row r="6" spans="1:9" x14ac:dyDescent="0.25">
      <c r="A6">
        <v>5</v>
      </c>
      <c r="B6" s="1">
        <v>45230</v>
      </c>
      <c r="C6" t="s">
        <v>6</v>
      </c>
      <c r="D6">
        <v>12834</v>
      </c>
      <c r="E6" t="s">
        <v>7</v>
      </c>
      <c r="F6" t="s">
        <v>8</v>
      </c>
      <c r="G6">
        <f>MONTH(cleaned_personal_finance_data4[[#This Row],[date]])</f>
        <v>10</v>
      </c>
      <c r="H6">
        <f>YEAR(cleaned_personal_finance_data4[[#This Row],[date]])</f>
        <v>2023</v>
      </c>
      <c r="I6" t="s">
        <v>318</v>
      </c>
    </row>
    <row r="7" spans="1:9" hidden="1" x14ac:dyDescent="0.25">
      <c r="A7">
        <v>6</v>
      </c>
      <c r="B7" s="1">
        <v>45235</v>
      </c>
      <c r="C7" t="s">
        <v>14</v>
      </c>
      <c r="D7">
        <v>2550</v>
      </c>
      <c r="E7" t="s">
        <v>15</v>
      </c>
      <c r="F7" t="s">
        <v>13</v>
      </c>
      <c r="G7">
        <f>MONTH(cleaned_personal_finance_data4[[#This Row],[date]])</f>
        <v>11</v>
      </c>
      <c r="H7">
        <f>YEAR(cleaned_personal_finance_data4[[#This Row],[date]])</f>
        <v>2023</v>
      </c>
      <c r="I7" t="s">
        <v>159</v>
      </c>
    </row>
    <row r="8" spans="1:9" hidden="1" x14ac:dyDescent="0.25">
      <c r="A8">
        <v>7</v>
      </c>
      <c r="B8" s="1">
        <v>45235</v>
      </c>
      <c r="C8" t="s">
        <v>16</v>
      </c>
      <c r="D8">
        <v>5000</v>
      </c>
      <c r="E8" t="s">
        <v>15</v>
      </c>
      <c r="F8" t="s">
        <v>13</v>
      </c>
      <c r="G8">
        <f>MONTH(cleaned_personal_finance_data4[[#This Row],[date]])</f>
        <v>11</v>
      </c>
      <c r="H8">
        <f>YEAR(cleaned_personal_finance_data4[[#This Row],[date]])</f>
        <v>2023</v>
      </c>
      <c r="I8" t="s">
        <v>145</v>
      </c>
    </row>
    <row r="9" spans="1:9" x14ac:dyDescent="0.25">
      <c r="A9">
        <v>8</v>
      </c>
      <c r="B9" s="1">
        <v>45235</v>
      </c>
      <c r="C9" t="s">
        <v>17</v>
      </c>
      <c r="D9">
        <v>12560</v>
      </c>
      <c r="E9" t="s">
        <v>7</v>
      </c>
      <c r="F9" t="s">
        <v>13</v>
      </c>
      <c r="G9">
        <f>MONTH(cleaned_personal_finance_data4[[#This Row],[date]])</f>
        <v>11</v>
      </c>
      <c r="H9">
        <f>YEAR(cleaned_personal_finance_data4[[#This Row],[date]])</f>
        <v>2023</v>
      </c>
      <c r="I9" t="s">
        <v>17</v>
      </c>
    </row>
    <row r="10" spans="1:9" hidden="1" x14ac:dyDescent="0.25">
      <c r="A10">
        <v>9</v>
      </c>
      <c r="B10" s="1">
        <v>45235</v>
      </c>
      <c r="C10" t="s">
        <v>18</v>
      </c>
      <c r="D10">
        <v>56</v>
      </c>
      <c r="E10" t="s">
        <v>15</v>
      </c>
      <c r="F10" t="s">
        <v>13</v>
      </c>
      <c r="G10">
        <f>MONTH(cleaned_personal_finance_data4[[#This Row],[date]])</f>
        <v>11</v>
      </c>
      <c r="H10">
        <f>YEAR(cleaned_personal_finance_data4[[#This Row],[date]])</f>
        <v>2023</v>
      </c>
      <c r="I10" t="s">
        <v>18</v>
      </c>
    </row>
    <row r="11" spans="1:9" hidden="1" x14ac:dyDescent="0.25">
      <c r="A11">
        <v>10</v>
      </c>
      <c r="B11" s="1">
        <v>45235</v>
      </c>
      <c r="C11" t="s">
        <v>19</v>
      </c>
      <c r="D11">
        <v>30</v>
      </c>
      <c r="E11" t="s">
        <v>15</v>
      </c>
      <c r="F11" t="s">
        <v>13</v>
      </c>
      <c r="G11">
        <f>MONTH(cleaned_personal_finance_data4[[#This Row],[date]])</f>
        <v>11</v>
      </c>
      <c r="H11">
        <f>YEAR(cleaned_personal_finance_data4[[#This Row],[date]])</f>
        <v>2023</v>
      </c>
      <c r="I11" t="s">
        <v>25</v>
      </c>
    </row>
    <row r="12" spans="1:9" hidden="1" x14ac:dyDescent="0.25">
      <c r="A12">
        <v>11</v>
      </c>
      <c r="B12" s="1">
        <v>45235</v>
      </c>
      <c r="C12" t="s">
        <v>20</v>
      </c>
      <c r="D12">
        <v>2010</v>
      </c>
      <c r="E12" t="s">
        <v>10</v>
      </c>
      <c r="F12" t="s">
        <v>13</v>
      </c>
      <c r="G12">
        <f>MONTH(cleaned_personal_finance_data4[[#This Row],[date]])</f>
        <v>11</v>
      </c>
      <c r="H12">
        <f>YEAR(cleaned_personal_finance_data4[[#This Row],[date]])</f>
        <v>2023</v>
      </c>
      <c r="I12" t="s">
        <v>20</v>
      </c>
    </row>
    <row r="13" spans="1:9" hidden="1" x14ac:dyDescent="0.25">
      <c r="A13">
        <v>12</v>
      </c>
      <c r="B13" s="1">
        <v>45235</v>
      </c>
      <c r="C13" t="s">
        <v>20</v>
      </c>
      <c r="D13">
        <v>2010</v>
      </c>
      <c r="E13" t="s">
        <v>12</v>
      </c>
      <c r="F13" t="s">
        <v>21</v>
      </c>
      <c r="G13">
        <f>MONTH(cleaned_personal_finance_data4[[#This Row],[date]])</f>
        <v>11</v>
      </c>
      <c r="H13">
        <f>YEAR(cleaned_personal_finance_data4[[#This Row],[date]])</f>
        <v>2023</v>
      </c>
      <c r="I13" t="s">
        <v>20</v>
      </c>
    </row>
    <row r="14" spans="1:9" hidden="1" x14ac:dyDescent="0.25">
      <c r="A14">
        <v>13</v>
      </c>
      <c r="B14" s="1">
        <v>45235</v>
      </c>
      <c r="C14" t="s">
        <v>22</v>
      </c>
      <c r="D14">
        <v>1000</v>
      </c>
      <c r="E14" t="s">
        <v>15</v>
      </c>
      <c r="F14" t="s">
        <v>13</v>
      </c>
      <c r="G14">
        <f>MONTH(cleaned_personal_finance_data4[[#This Row],[date]])</f>
        <v>11</v>
      </c>
      <c r="H14">
        <f>YEAR(cleaned_personal_finance_data4[[#This Row],[date]])</f>
        <v>2023</v>
      </c>
      <c r="I14" t="s">
        <v>22</v>
      </c>
    </row>
    <row r="15" spans="1:9" hidden="1" x14ac:dyDescent="0.25">
      <c r="A15">
        <v>14</v>
      </c>
      <c r="B15" s="1">
        <v>45236</v>
      </c>
      <c r="C15" t="s">
        <v>23</v>
      </c>
      <c r="D15">
        <v>20</v>
      </c>
      <c r="E15" t="s">
        <v>15</v>
      </c>
      <c r="F15" t="s">
        <v>13</v>
      </c>
      <c r="G15">
        <f>MONTH(cleaned_personal_finance_data4[[#This Row],[date]])</f>
        <v>11</v>
      </c>
      <c r="H15">
        <f>YEAR(cleaned_personal_finance_data4[[#This Row],[date]])</f>
        <v>2023</v>
      </c>
      <c r="I15" t="s">
        <v>23</v>
      </c>
    </row>
    <row r="16" spans="1:9" hidden="1" x14ac:dyDescent="0.25">
      <c r="A16">
        <v>15</v>
      </c>
      <c r="B16" s="1">
        <v>45236</v>
      </c>
      <c r="C16" t="s">
        <v>24</v>
      </c>
      <c r="D16">
        <v>194</v>
      </c>
      <c r="E16" t="s">
        <v>15</v>
      </c>
      <c r="F16" t="s">
        <v>21</v>
      </c>
      <c r="G16">
        <f>MONTH(cleaned_personal_finance_data4[[#This Row],[date]])</f>
        <v>11</v>
      </c>
      <c r="H16">
        <f>YEAR(cleaned_personal_finance_data4[[#This Row],[date]])</f>
        <v>2023</v>
      </c>
      <c r="I16" t="s">
        <v>24</v>
      </c>
    </row>
    <row r="17" spans="1:9" hidden="1" x14ac:dyDescent="0.25">
      <c r="A17">
        <v>16</v>
      </c>
      <c r="B17" s="1">
        <v>45240</v>
      </c>
      <c r="C17" t="s">
        <v>25</v>
      </c>
      <c r="D17">
        <v>30</v>
      </c>
      <c r="E17" t="s">
        <v>15</v>
      </c>
      <c r="F17" t="s">
        <v>13</v>
      </c>
      <c r="G17">
        <f>MONTH(cleaned_personal_finance_data4[[#This Row],[date]])</f>
        <v>11</v>
      </c>
      <c r="H17">
        <f>YEAR(cleaned_personal_finance_data4[[#This Row],[date]])</f>
        <v>2023</v>
      </c>
      <c r="I17" t="s">
        <v>25</v>
      </c>
    </row>
    <row r="18" spans="1:9" hidden="1" x14ac:dyDescent="0.25">
      <c r="A18">
        <v>17</v>
      </c>
      <c r="B18" s="1">
        <v>45240</v>
      </c>
      <c r="C18" t="s">
        <v>26</v>
      </c>
      <c r="D18">
        <v>43</v>
      </c>
      <c r="E18" t="s">
        <v>15</v>
      </c>
      <c r="F18" t="s">
        <v>13</v>
      </c>
      <c r="G18">
        <f>MONTH(cleaned_personal_finance_data4[[#This Row],[date]])</f>
        <v>11</v>
      </c>
      <c r="H18">
        <f>YEAR(cleaned_personal_finance_data4[[#This Row],[date]])</f>
        <v>2023</v>
      </c>
      <c r="I18" t="s">
        <v>26</v>
      </c>
    </row>
    <row r="19" spans="1:9" hidden="1" x14ac:dyDescent="0.25">
      <c r="A19">
        <v>18</v>
      </c>
      <c r="B19" s="1">
        <v>45243</v>
      </c>
      <c r="C19" t="s">
        <v>27</v>
      </c>
      <c r="D19">
        <v>12</v>
      </c>
      <c r="E19" t="s">
        <v>15</v>
      </c>
      <c r="F19" t="s">
        <v>13</v>
      </c>
      <c r="G19">
        <f>MONTH(cleaned_personal_finance_data4[[#This Row],[date]])</f>
        <v>11</v>
      </c>
      <c r="H19">
        <f>YEAR(cleaned_personal_finance_data4[[#This Row],[date]])</f>
        <v>2023</v>
      </c>
      <c r="I19" t="s">
        <v>27</v>
      </c>
    </row>
    <row r="20" spans="1:9" hidden="1" x14ac:dyDescent="0.25">
      <c r="A20">
        <v>19</v>
      </c>
      <c r="B20" s="1">
        <v>45243</v>
      </c>
      <c r="C20" t="s">
        <v>28</v>
      </c>
      <c r="D20">
        <v>25</v>
      </c>
      <c r="E20" t="s">
        <v>15</v>
      </c>
      <c r="F20" t="s">
        <v>21</v>
      </c>
      <c r="G20">
        <f>MONTH(cleaned_personal_finance_data4[[#This Row],[date]])</f>
        <v>11</v>
      </c>
      <c r="H20">
        <f>YEAR(cleaned_personal_finance_data4[[#This Row],[date]])</f>
        <v>2023</v>
      </c>
      <c r="I20" t="s">
        <v>28</v>
      </c>
    </row>
    <row r="21" spans="1:9" hidden="1" x14ac:dyDescent="0.25">
      <c r="A21">
        <v>20</v>
      </c>
      <c r="B21" s="1">
        <v>45243</v>
      </c>
      <c r="C21" t="s">
        <v>28</v>
      </c>
      <c r="D21">
        <v>125</v>
      </c>
      <c r="E21" t="s">
        <v>15</v>
      </c>
      <c r="F21" t="s">
        <v>21</v>
      </c>
      <c r="G21">
        <f>MONTH(cleaned_personal_finance_data4[[#This Row],[date]])</f>
        <v>11</v>
      </c>
      <c r="H21">
        <f>YEAR(cleaned_personal_finance_data4[[#This Row],[date]])</f>
        <v>2023</v>
      </c>
      <c r="I21" t="s">
        <v>28</v>
      </c>
    </row>
    <row r="22" spans="1:9" hidden="1" x14ac:dyDescent="0.25">
      <c r="A22">
        <v>21</v>
      </c>
      <c r="B22" s="1">
        <v>45244</v>
      </c>
      <c r="C22" t="s">
        <v>29</v>
      </c>
      <c r="D22">
        <v>25</v>
      </c>
      <c r="E22" t="s">
        <v>15</v>
      </c>
      <c r="F22" t="s">
        <v>13</v>
      </c>
      <c r="G22">
        <f>MONTH(cleaned_personal_finance_data4[[#This Row],[date]])</f>
        <v>11</v>
      </c>
      <c r="H22">
        <f>YEAR(cleaned_personal_finance_data4[[#This Row],[date]])</f>
        <v>2023</v>
      </c>
      <c r="I22" t="s">
        <v>29</v>
      </c>
    </row>
    <row r="23" spans="1:9" hidden="1" x14ac:dyDescent="0.25">
      <c r="A23">
        <v>22</v>
      </c>
      <c r="B23" s="1">
        <v>45245</v>
      </c>
      <c r="C23" t="s">
        <v>28</v>
      </c>
      <c r="D23">
        <v>125</v>
      </c>
      <c r="E23" t="s">
        <v>15</v>
      </c>
      <c r="F23" t="s">
        <v>21</v>
      </c>
      <c r="G23">
        <f>MONTH(cleaned_personal_finance_data4[[#This Row],[date]])</f>
        <v>11</v>
      </c>
      <c r="H23">
        <f>YEAR(cleaned_personal_finance_data4[[#This Row],[date]])</f>
        <v>2023</v>
      </c>
      <c r="I23" t="s">
        <v>28</v>
      </c>
    </row>
    <row r="24" spans="1:9" hidden="1" x14ac:dyDescent="0.25">
      <c r="A24">
        <v>23</v>
      </c>
      <c r="B24" s="1">
        <v>45246</v>
      </c>
      <c r="C24" t="s">
        <v>29</v>
      </c>
      <c r="D24">
        <v>25</v>
      </c>
      <c r="E24" t="s">
        <v>15</v>
      </c>
      <c r="F24" t="s">
        <v>13</v>
      </c>
      <c r="G24">
        <f>MONTH(cleaned_personal_finance_data4[[#This Row],[date]])</f>
        <v>11</v>
      </c>
      <c r="H24">
        <f>YEAR(cleaned_personal_finance_data4[[#This Row],[date]])</f>
        <v>2023</v>
      </c>
      <c r="I24" t="s">
        <v>29</v>
      </c>
    </row>
    <row r="25" spans="1:9" hidden="1" x14ac:dyDescent="0.25">
      <c r="A25">
        <v>24</v>
      </c>
      <c r="B25" s="1">
        <v>45247</v>
      </c>
      <c r="C25" t="s">
        <v>30</v>
      </c>
      <c r="D25">
        <v>12</v>
      </c>
      <c r="E25" t="s">
        <v>15</v>
      </c>
      <c r="F25" t="s">
        <v>13</v>
      </c>
      <c r="G25">
        <f>MONTH(cleaned_personal_finance_data4[[#This Row],[date]])</f>
        <v>11</v>
      </c>
      <c r="H25">
        <f>YEAR(cleaned_personal_finance_data4[[#This Row],[date]])</f>
        <v>2023</v>
      </c>
      <c r="I25" t="s">
        <v>30</v>
      </c>
    </row>
    <row r="26" spans="1:9" hidden="1" x14ac:dyDescent="0.25">
      <c r="A26">
        <v>25</v>
      </c>
      <c r="B26" s="1">
        <v>45247</v>
      </c>
      <c r="C26" t="s">
        <v>29</v>
      </c>
      <c r="D26">
        <v>25</v>
      </c>
      <c r="E26" t="s">
        <v>15</v>
      </c>
      <c r="F26" t="s">
        <v>13</v>
      </c>
      <c r="G26">
        <f>MONTH(cleaned_personal_finance_data4[[#This Row],[date]])</f>
        <v>11</v>
      </c>
      <c r="H26">
        <f>YEAR(cleaned_personal_finance_data4[[#This Row],[date]])</f>
        <v>2023</v>
      </c>
      <c r="I26" t="s">
        <v>29</v>
      </c>
    </row>
    <row r="27" spans="1:9" hidden="1" x14ac:dyDescent="0.25">
      <c r="A27">
        <v>26</v>
      </c>
      <c r="B27" s="1">
        <v>45248</v>
      </c>
      <c r="C27" t="s">
        <v>31</v>
      </c>
      <c r="D27">
        <v>300</v>
      </c>
      <c r="E27" t="s">
        <v>15</v>
      </c>
      <c r="F27" t="s">
        <v>13</v>
      </c>
      <c r="G27">
        <f>MONTH(cleaned_personal_finance_data4[[#This Row],[date]])</f>
        <v>11</v>
      </c>
      <c r="H27">
        <f>YEAR(cleaned_personal_finance_data4[[#This Row],[date]])</f>
        <v>2023</v>
      </c>
      <c r="I27" t="s">
        <v>31</v>
      </c>
    </row>
    <row r="28" spans="1:9" hidden="1" x14ac:dyDescent="0.25">
      <c r="A28">
        <v>27</v>
      </c>
      <c r="B28" s="1">
        <v>45248</v>
      </c>
      <c r="C28" t="s">
        <v>32</v>
      </c>
      <c r="D28">
        <v>20</v>
      </c>
      <c r="E28" t="s">
        <v>15</v>
      </c>
      <c r="F28" t="s">
        <v>13</v>
      </c>
      <c r="G28">
        <f>MONTH(cleaned_personal_finance_data4[[#This Row],[date]])</f>
        <v>11</v>
      </c>
      <c r="H28">
        <f>YEAR(cleaned_personal_finance_data4[[#This Row],[date]])</f>
        <v>2023</v>
      </c>
      <c r="I28" t="s">
        <v>32</v>
      </c>
    </row>
    <row r="29" spans="1:9" x14ac:dyDescent="0.25">
      <c r="A29">
        <v>28</v>
      </c>
      <c r="B29" s="1">
        <v>45248</v>
      </c>
      <c r="C29" t="s">
        <v>33</v>
      </c>
      <c r="D29">
        <v>44732</v>
      </c>
      <c r="E29" t="s">
        <v>7</v>
      </c>
      <c r="F29" t="s">
        <v>8</v>
      </c>
      <c r="G29">
        <f>MONTH(cleaned_personal_finance_data4[[#This Row],[date]])</f>
        <v>11</v>
      </c>
      <c r="H29">
        <f>YEAR(cleaned_personal_finance_data4[[#This Row],[date]])</f>
        <v>2023</v>
      </c>
      <c r="I29" t="s">
        <v>33</v>
      </c>
    </row>
    <row r="30" spans="1:9" hidden="1" x14ac:dyDescent="0.25">
      <c r="A30">
        <v>29</v>
      </c>
      <c r="B30" s="1">
        <v>45246</v>
      </c>
      <c r="C30" t="s">
        <v>25</v>
      </c>
      <c r="D30">
        <v>30</v>
      </c>
      <c r="E30" t="s">
        <v>15</v>
      </c>
      <c r="F30" t="s">
        <v>13</v>
      </c>
      <c r="G30">
        <f>MONTH(cleaned_personal_finance_data4[[#This Row],[date]])</f>
        <v>11</v>
      </c>
      <c r="H30">
        <f>YEAR(cleaned_personal_finance_data4[[#This Row],[date]])</f>
        <v>2023</v>
      </c>
      <c r="I30" t="s">
        <v>25</v>
      </c>
    </row>
    <row r="31" spans="1:9" hidden="1" x14ac:dyDescent="0.25">
      <c r="A31">
        <v>30</v>
      </c>
      <c r="B31" s="1">
        <v>45252</v>
      </c>
      <c r="C31" t="s">
        <v>34</v>
      </c>
      <c r="D31">
        <v>129</v>
      </c>
      <c r="E31" t="s">
        <v>15</v>
      </c>
      <c r="F31" t="s">
        <v>21</v>
      </c>
      <c r="G31">
        <f>MONTH(cleaned_personal_finance_data4[[#This Row],[date]])</f>
        <v>11</v>
      </c>
      <c r="H31">
        <f>YEAR(cleaned_personal_finance_data4[[#This Row],[date]])</f>
        <v>2023</v>
      </c>
      <c r="I31" t="s">
        <v>34</v>
      </c>
    </row>
    <row r="32" spans="1:9" hidden="1" x14ac:dyDescent="0.25">
      <c r="A32">
        <v>31</v>
      </c>
      <c r="B32" s="1">
        <v>45252</v>
      </c>
      <c r="C32" t="s">
        <v>35</v>
      </c>
      <c r="D32">
        <v>280</v>
      </c>
      <c r="E32" t="s">
        <v>15</v>
      </c>
      <c r="F32" t="s">
        <v>21</v>
      </c>
      <c r="G32">
        <f>MONTH(cleaned_personal_finance_data4[[#This Row],[date]])</f>
        <v>11</v>
      </c>
      <c r="H32">
        <f>YEAR(cleaned_personal_finance_data4[[#This Row],[date]])</f>
        <v>2023</v>
      </c>
      <c r="I32" t="s">
        <v>35</v>
      </c>
    </row>
    <row r="33" spans="1:9" hidden="1" x14ac:dyDescent="0.25">
      <c r="A33">
        <v>32</v>
      </c>
      <c r="B33" s="1">
        <v>45253</v>
      </c>
      <c r="C33" t="s">
        <v>28</v>
      </c>
      <c r="D33">
        <v>125</v>
      </c>
      <c r="E33" t="s">
        <v>15</v>
      </c>
      <c r="F33" t="s">
        <v>21</v>
      </c>
      <c r="G33">
        <f>MONTH(cleaned_personal_finance_data4[[#This Row],[date]])</f>
        <v>11</v>
      </c>
      <c r="H33">
        <f>YEAR(cleaned_personal_finance_data4[[#This Row],[date]])</f>
        <v>2023</v>
      </c>
      <c r="I33" t="s">
        <v>28</v>
      </c>
    </row>
    <row r="34" spans="1:9" x14ac:dyDescent="0.25">
      <c r="A34">
        <v>33</v>
      </c>
      <c r="B34" s="1">
        <v>45260</v>
      </c>
      <c r="C34" t="s">
        <v>6</v>
      </c>
      <c r="D34">
        <v>12734</v>
      </c>
      <c r="E34" t="s">
        <v>7</v>
      </c>
      <c r="F34" t="s">
        <v>8</v>
      </c>
      <c r="G34">
        <f>MONTH(cleaned_personal_finance_data4[[#This Row],[date]])</f>
        <v>11</v>
      </c>
      <c r="H34">
        <f>YEAR(cleaned_personal_finance_data4[[#This Row],[date]])</f>
        <v>2023</v>
      </c>
      <c r="I34" t="s">
        <v>318</v>
      </c>
    </row>
    <row r="35" spans="1:9" hidden="1" x14ac:dyDescent="0.25">
      <c r="A35">
        <v>34</v>
      </c>
      <c r="B35" s="1">
        <v>45262</v>
      </c>
      <c r="C35" t="s">
        <v>28</v>
      </c>
      <c r="D35">
        <v>125</v>
      </c>
      <c r="E35" t="s">
        <v>15</v>
      </c>
      <c r="F35" t="s">
        <v>21</v>
      </c>
      <c r="G35">
        <f>MONTH(cleaned_personal_finance_data4[[#This Row],[date]])</f>
        <v>12</v>
      </c>
      <c r="H35">
        <f>YEAR(cleaned_personal_finance_data4[[#This Row],[date]])</f>
        <v>2023</v>
      </c>
      <c r="I35" t="s">
        <v>28</v>
      </c>
    </row>
    <row r="36" spans="1:9" hidden="1" x14ac:dyDescent="0.25">
      <c r="A36">
        <v>35</v>
      </c>
      <c r="B36" s="1">
        <v>45263</v>
      </c>
      <c r="C36" t="s">
        <v>36</v>
      </c>
      <c r="D36">
        <v>265</v>
      </c>
      <c r="E36" t="s">
        <v>15</v>
      </c>
      <c r="F36" t="s">
        <v>13</v>
      </c>
      <c r="G36">
        <f>MONTH(cleaned_personal_finance_data4[[#This Row],[date]])</f>
        <v>12</v>
      </c>
      <c r="H36">
        <f>YEAR(cleaned_personal_finance_data4[[#This Row],[date]])</f>
        <v>2023</v>
      </c>
      <c r="I36" t="s">
        <v>329</v>
      </c>
    </row>
    <row r="37" spans="1:9" hidden="1" x14ac:dyDescent="0.25">
      <c r="A37">
        <v>36</v>
      </c>
      <c r="B37" s="1">
        <v>45264</v>
      </c>
      <c r="C37" t="s">
        <v>37</v>
      </c>
      <c r="D37">
        <v>25</v>
      </c>
      <c r="E37" t="s">
        <v>15</v>
      </c>
      <c r="F37" t="s">
        <v>13</v>
      </c>
      <c r="G37">
        <f>MONTH(cleaned_personal_finance_data4[[#This Row],[date]])</f>
        <v>12</v>
      </c>
      <c r="H37">
        <f>YEAR(cleaned_personal_finance_data4[[#This Row],[date]])</f>
        <v>2023</v>
      </c>
      <c r="I37" t="s">
        <v>47</v>
      </c>
    </row>
    <row r="38" spans="1:9" hidden="1" x14ac:dyDescent="0.25">
      <c r="A38">
        <v>37</v>
      </c>
      <c r="B38" s="1">
        <v>45264</v>
      </c>
      <c r="C38" t="s">
        <v>38</v>
      </c>
      <c r="D38">
        <v>1500</v>
      </c>
      <c r="E38" t="s">
        <v>15</v>
      </c>
      <c r="F38" t="s">
        <v>13</v>
      </c>
      <c r="G38">
        <f>MONTH(cleaned_personal_finance_data4[[#This Row],[date]])</f>
        <v>12</v>
      </c>
      <c r="H38">
        <f>YEAR(cleaned_personal_finance_data4[[#This Row],[date]])</f>
        <v>2023</v>
      </c>
      <c r="I38" t="s">
        <v>38</v>
      </c>
    </row>
    <row r="39" spans="1:9" hidden="1" x14ac:dyDescent="0.25">
      <c r="A39">
        <v>38</v>
      </c>
      <c r="B39" s="1">
        <v>45266</v>
      </c>
      <c r="C39" t="s">
        <v>24</v>
      </c>
      <c r="D39">
        <v>239</v>
      </c>
      <c r="E39" t="s">
        <v>15</v>
      </c>
      <c r="F39" t="s">
        <v>21</v>
      </c>
      <c r="G39">
        <f>MONTH(cleaned_personal_finance_data4[[#This Row],[date]])</f>
        <v>12</v>
      </c>
      <c r="H39">
        <f>YEAR(cleaned_personal_finance_data4[[#This Row],[date]])</f>
        <v>2023</v>
      </c>
      <c r="I39" t="s">
        <v>24</v>
      </c>
    </row>
    <row r="40" spans="1:9" hidden="1" x14ac:dyDescent="0.25">
      <c r="A40">
        <v>39</v>
      </c>
      <c r="B40" s="1">
        <v>45267</v>
      </c>
      <c r="C40" t="s">
        <v>29</v>
      </c>
      <c r="D40">
        <v>25</v>
      </c>
      <c r="E40" t="s">
        <v>15</v>
      </c>
      <c r="F40" t="s">
        <v>13</v>
      </c>
      <c r="G40">
        <f>MONTH(cleaned_personal_finance_data4[[#This Row],[date]])</f>
        <v>12</v>
      </c>
      <c r="H40">
        <f>YEAR(cleaned_personal_finance_data4[[#This Row],[date]])</f>
        <v>2023</v>
      </c>
      <c r="I40" t="s">
        <v>29</v>
      </c>
    </row>
    <row r="41" spans="1:9" hidden="1" x14ac:dyDescent="0.25">
      <c r="A41">
        <v>40</v>
      </c>
      <c r="B41" s="1">
        <v>45268</v>
      </c>
      <c r="C41" t="s">
        <v>28</v>
      </c>
      <c r="D41">
        <v>125</v>
      </c>
      <c r="E41" t="s">
        <v>15</v>
      </c>
      <c r="F41" t="s">
        <v>21</v>
      </c>
      <c r="G41">
        <f>MONTH(cleaned_personal_finance_data4[[#This Row],[date]])</f>
        <v>12</v>
      </c>
      <c r="H41">
        <f>YEAR(cleaned_personal_finance_data4[[#This Row],[date]])</f>
        <v>2023</v>
      </c>
      <c r="I41" t="s">
        <v>28</v>
      </c>
    </row>
    <row r="42" spans="1:9" hidden="1" x14ac:dyDescent="0.25">
      <c r="A42">
        <v>41</v>
      </c>
      <c r="B42" s="1">
        <v>45269</v>
      </c>
      <c r="C42" t="s">
        <v>39</v>
      </c>
      <c r="D42">
        <v>30</v>
      </c>
      <c r="E42" t="s">
        <v>15</v>
      </c>
      <c r="F42" t="s">
        <v>13</v>
      </c>
      <c r="G42">
        <f>MONTH(cleaned_personal_finance_data4[[#This Row],[date]])</f>
        <v>12</v>
      </c>
      <c r="H42">
        <f>YEAR(cleaned_personal_finance_data4[[#This Row],[date]])</f>
        <v>2023</v>
      </c>
      <c r="I42" t="s">
        <v>43</v>
      </c>
    </row>
    <row r="43" spans="1:9" hidden="1" x14ac:dyDescent="0.25">
      <c r="A43">
        <v>42</v>
      </c>
      <c r="B43" s="1">
        <v>45269</v>
      </c>
      <c r="C43" t="s">
        <v>40</v>
      </c>
      <c r="D43">
        <v>45</v>
      </c>
      <c r="E43" t="s">
        <v>15</v>
      </c>
      <c r="F43" t="s">
        <v>13</v>
      </c>
      <c r="G43">
        <f>MONTH(cleaned_personal_finance_data4[[#This Row],[date]])</f>
        <v>12</v>
      </c>
      <c r="H43">
        <f>YEAR(cleaned_personal_finance_data4[[#This Row],[date]])</f>
        <v>2023</v>
      </c>
      <c r="I43" t="s">
        <v>40</v>
      </c>
    </row>
    <row r="44" spans="1:9" hidden="1" x14ac:dyDescent="0.25">
      <c r="A44">
        <v>43</v>
      </c>
      <c r="B44" s="1">
        <v>45269</v>
      </c>
      <c r="C44" t="s">
        <v>29</v>
      </c>
      <c r="D44">
        <v>30</v>
      </c>
      <c r="E44" t="s">
        <v>15</v>
      </c>
      <c r="F44" t="s">
        <v>13</v>
      </c>
      <c r="G44">
        <f>MONTH(cleaned_personal_finance_data4[[#This Row],[date]])</f>
        <v>12</v>
      </c>
      <c r="H44">
        <f>YEAR(cleaned_personal_finance_data4[[#This Row],[date]])</f>
        <v>2023</v>
      </c>
      <c r="I44" t="s">
        <v>29</v>
      </c>
    </row>
    <row r="45" spans="1:9" hidden="1" x14ac:dyDescent="0.25">
      <c r="A45">
        <v>44</v>
      </c>
      <c r="B45" s="1">
        <v>45269</v>
      </c>
      <c r="C45" t="s">
        <v>41</v>
      </c>
      <c r="D45">
        <v>20</v>
      </c>
      <c r="E45" t="s">
        <v>15</v>
      </c>
      <c r="F45" t="s">
        <v>13</v>
      </c>
      <c r="G45">
        <f>MONTH(cleaned_personal_finance_data4[[#This Row],[date]])</f>
        <v>12</v>
      </c>
      <c r="H45">
        <f>YEAR(cleaned_personal_finance_data4[[#This Row],[date]])</f>
        <v>2023</v>
      </c>
      <c r="I45" t="s">
        <v>41</v>
      </c>
    </row>
    <row r="46" spans="1:9" hidden="1" x14ac:dyDescent="0.25">
      <c r="A46">
        <v>45</v>
      </c>
      <c r="B46" s="1">
        <v>45269</v>
      </c>
      <c r="C46" t="s">
        <v>42</v>
      </c>
      <c r="D46">
        <v>40</v>
      </c>
      <c r="E46" t="s">
        <v>15</v>
      </c>
      <c r="F46" t="s">
        <v>13</v>
      </c>
      <c r="G46">
        <f>MONTH(cleaned_personal_finance_data4[[#This Row],[date]])</f>
        <v>12</v>
      </c>
      <c r="H46">
        <f>YEAR(cleaned_personal_finance_data4[[#This Row],[date]])</f>
        <v>2023</v>
      </c>
      <c r="I46" t="s">
        <v>42</v>
      </c>
    </row>
    <row r="47" spans="1:9" hidden="1" x14ac:dyDescent="0.25">
      <c r="A47">
        <v>46</v>
      </c>
      <c r="B47" s="1">
        <v>45269</v>
      </c>
      <c r="C47" t="s">
        <v>43</v>
      </c>
      <c r="D47">
        <v>90</v>
      </c>
      <c r="E47" t="s">
        <v>15</v>
      </c>
      <c r="F47" t="s">
        <v>13</v>
      </c>
      <c r="G47">
        <f>MONTH(cleaned_personal_finance_data4[[#This Row],[date]])</f>
        <v>12</v>
      </c>
      <c r="H47">
        <f>YEAR(cleaned_personal_finance_data4[[#This Row],[date]])</f>
        <v>2023</v>
      </c>
      <c r="I47" t="s">
        <v>43</v>
      </c>
    </row>
    <row r="48" spans="1:9" hidden="1" x14ac:dyDescent="0.25">
      <c r="A48">
        <v>47</v>
      </c>
      <c r="B48" s="1">
        <v>45269</v>
      </c>
      <c r="C48" t="s">
        <v>44</v>
      </c>
      <c r="D48">
        <v>13</v>
      </c>
      <c r="E48" t="s">
        <v>15</v>
      </c>
      <c r="F48" t="s">
        <v>13</v>
      </c>
      <c r="G48">
        <f>MONTH(cleaned_personal_finance_data4[[#This Row],[date]])</f>
        <v>12</v>
      </c>
      <c r="H48">
        <f>YEAR(cleaned_personal_finance_data4[[#This Row],[date]])</f>
        <v>2023</v>
      </c>
      <c r="I48" t="s">
        <v>44</v>
      </c>
    </row>
    <row r="49" spans="1:9" hidden="1" x14ac:dyDescent="0.25">
      <c r="A49">
        <v>48</v>
      </c>
      <c r="B49" s="1">
        <v>45270</v>
      </c>
      <c r="C49" t="s">
        <v>45</v>
      </c>
      <c r="D49">
        <v>5000</v>
      </c>
      <c r="E49" t="s">
        <v>15</v>
      </c>
      <c r="F49" t="s">
        <v>13</v>
      </c>
      <c r="G49">
        <f>MONTH(cleaned_personal_finance_data4[[#This Row],[date]])</f>
        <v>12</v>
      </c>
      <c r="H49">
        <f>YEAR(cleaned_personal_finance_data4[[#This Row],[date]])</f>
        <v>2023</v>
      </c>
      <c r="I49" t="s">
        <v>145</v>
      </c>
    </row>
    <row r="50" spans="1:9" hidden="1" x14ac:dyDescent="0.25">
      <c r="A50">
        <v>49</v>
      </c>
      <c r="B50" s="1">
        <v>45270</v>
      </c>
      <c r="C50" t="s">
        <v>46</v>
      </c>
      <c r="D50">
        <v>2100</v>
      </c>
      <c r="E50" t="s">
        <v>15</v>
      </c>
      <c r="F50" t="s">
        <v>13</v>
      </c>
      <c r="G50">
        <f>MONTH(cleaned_personal_finance_data4[[#This Row],[date]])</f>
        <v>12</v>
      </c>
      <c r="H50">
        <f>YEAR(cleaned_personal_finance_data4[[#This Row],[date]])</f>
        <v>2023</v>
      </c>
      <c r="I50" t="s">
        <v>159</v>
      </c>
    </row>
    <row r="51" spans="1:9" hidden="1" x14ac:dyDescent="0.25">
      <c r="A51">
        <v>50</v>
      </c>
      <c r="B51" s="1">
        <v>45271</v>
      </c>
      <c r="C51" t="s">
        <v>47</v>
      </c>
      <c r="D51">
        <v>25</v>
      </c>
      <c r="E51" t="s">
        <v>15</v>
      </c>
      <c r="F51" t="s">
        <v>13</v>
      </c>
      <c r="G51">
        <f>MONTH(cleaned_personal_finance_data4[[#This Row],[date]])</f>
        <v>12</v>
      </c>
      <c r="H51">
        <f>YEAR(cleaned_personal_finance_data4[[#This Row],[date]])</f>
        <v>2023</v>
      </c>
      <c r="I51" t="s">
        <v>47</v>
      </c>
    </row>
    <row r="52" spans="1:9" hidden="1" x14ac:dyDescent="0.25">
      <c r="A52">
        <v>51</v>
      </c>
      <c r="B52" s="1">
        <v>45271</v>
      </c>
      <c r="C52" t="s">
        <v>29</v>
      </c>
      <c r="D52">
        <v>30</v>
      </c>
      <c r="E52" t="s">
        <v>15</v>
      </c>
      <c r="F52" t="s">
        <v>13</v>
      </c>
      <c r="G52">
        <f>MONTH(cleaned_personal_finance_data4[[#This Row],[date]])</f>
        <v>12</v>
      </c>
      <c r="H52">
        <f>YEAR(cleaned_personal_finance_data4[[#This Row],[date]])</f>
        <v>2023</v>
      </c>
      <c r="I52" t="s">
        <v>29</v>
      </c>
    </row>
    <row r="53" spans="1:9" hidden="1" x14ac:dyDescent="0.25">
      <c r="A53">
        <v>52</v>
      </c>
      <c r="B53" s="1">
        <v>45271</v>
      </c>
      <c r="C53" t="s">
        <v>48</v>
      </c>
      <c r="D53">
        <v>544</v>
      </c>
      <c r="E53" t="s">
        <v>15</v>
      </c>
      <c r="F53" t="s">
        <v>13</v>
      </c>
      <c r="G53">
        <f>MONTH(cleaned_personal_finance_data4[[#This Row],[date]])</f>
        <v>12</v>
      </c>
      <c r="H53">
        <f>YEAR(cleaned_personal_finance_data4[[#This Row],[date]])</f>
        <v>2023</v>
      </c>
      <c r="I53" t="s">
        <v>319</v>
      </c>
    </row>
    <row r="54" spans="1:9" hidden="1" x14ac:dyDescent="0.25">
      <c r="A54">
        <v>53</v>
      </c>
      <c r="B54" s="1">
        <v>45273</v>
      </c>
      <c r="C54" t="s">
        <v>49</v>
      </c>
      <c r="D54">
        <v>50</v>
      </c>
      <c r="E54" t="s">
        <v>15</v>
      </c>
      <c r="F54" t="s">
        <v>13</v>
      </c>
      <c r="G54">
        <f>MONTH(cleaned_personal_finance_data4[[#This Row],[date]])</f>
        <v>12</v>
      </c>
      <c r="H54">
        <f>YEAR(cleaned_personal_finance_data4[[#This Row],[date]])</f>
        <v>2023</v>
      </c>
      <c r="I54" t="s">
        <v>49</v>
      </c>
    </row>
    <row r="55" spans="1:9" hidden="1" x14ac:dyDescent="0.25">
      <c r="A55">
        <v>54</v>
      </c>
      <c r="B55" s="1">
        <v>45273</v>
      </c>
      <c r="C55" t="s">
        <v>29</v>
      </c>
      <c r="D55">
        <v>20</v>
      </c>
      <c r="E55" t="s">
        <v>15</v>
      </c>
      <c r="F55" t="s">
        <v>13</v>
      </c>
      <c r="G55">
        <f>MONTH(cleaned_personal_finance_data4[[#This Row],[date]])</f>
        <v>12</v>
      </c>
      <c r="H55">
        <f>YEAR(cleaned_personal_finance_data4[[#This Row],[date]])</f>
        <v>2023</v>
      </c>
      <c r="I55" t="s">
        <v>29</v>
      </c>
    </row>
    <row r="56" spans="1:9" x14ac:dyDescent="0.25">
      <c r="A56">
        <v>55</v>
      </c>
      <c r="B56" s="1">
        <v>45274</v>
      </c>
      <c r="C56" t="s">
        <v>6</v>
      </c>
      <c r="D56">
        <v>12732</v>
      </c>
      <c r="E56" t="s">
        <v>7</v>
      </c>
      <c r="F56" t="s">
        <v>8</v>
      </c>
      <c r="G56">
        <f>MONTH(cleaned_personal_finance_data4[[#This Row],[date]])</f>
        <v>12</v>
      </c>
      <c r="H56">
        <f>YEAR(cleaned_personal_finance_data4[[#This Row],[date]])</f>
        <v>2023</v>
      </c>
      <c r="I56" t="s">
        <v>318</v>
      </c>
    </row>
    <row r="57" spans="1:9" hidden="1" x14ac:dyDescent="0.25">
      <c r="A57">
        <v>56</v>
      </c>
      <c r="B57" s="1">
        <v>45274</v>
      </c>
      <c r="C57" t="s">
        <v>20</v>
      </c>
      <c r="D57">
        <v>3000</v>
      </c>
      <c r="E57" t="s">
        <v>10</v>
      </c>
      <c r="F57" t="s">
        <v>21</v>
      </c>
      <c r="G57">
        <f>MONTH(cleaned_personal_finance_data4[[#This Row],[date]])</f>
        <v>12</v>
      </c>
      <c r="H57">
        <f>YEAR(cleaned_personal_finance_data4[[#This Row],[date]])</f>
        <v>2023</v>
      </c>
      <c r="I57" t="s">
        <v>20</v>
      </c>
    </row>
    <row r="58" spans="1:9" hidden="1" x14ac:dyDescent="0.25">
      <c r="A58">
        <v>57</v>
      </c>
      <c r="B58" s="1">
        <v>45274</v>
      </c>
      <c r="C58" t="s">
        <v>20</v>
      </c>
      <c r="D58">
        <v>3000</v>
      </c>
      <c r="E58" t="s">
        <v>12</v>
      </c>
      <c r="F58" t="s">
        <v>21</v>
      </c>
      <c r="G58">
        <f>MONTH(cleaned_personal_finance_data4[[#This Row],[date]])</f>
        <v>12</v>
      </c>
      <c r="H58">
        <f>YEAR(cleaned_personal_finance_data4[[#This Row],[date]])</f>
        <v>2023</v>
      </c>
      <c r="I58" t="s">
        <v>20</v>
      </c>
    </row>
    <row r="59" spans="1:9" hidden="1" x14ac:dyDescent="0.25">
      <c r="A59">
        <v>58</v>
      </c>
      <c r="B59" s="1">
        <v>45274</v>
      </c>
      <c r="C59" t="s">
        <v>50</v>
      </c>
      <c r="D59">
        <v>599</v>
      </c>
      <c r="E59" t="s">
        <v>15</v>
      </c>
      <c r="F59" t="s">
        <v>21</v>
      </c>
      <c r="G59">
        <f>MONTH(cleaned_personal_finance_data4[[#This Row],[date]])</f>
        <v>12</v>
      </c>
      <c r="H59">
        <f>YEAR(cleaned_personal_finance_data4[[#This Row],[date]])</f>
        <v>2023</v>
      </c>
      <c r="I59" t="s">
        <v>50</v>
      </c>
    </row>
    <row r="60" spans="1:9" hidden="1" x14ac:dyDescent="0.25">
      <c r="A60">
        <v>59</v>
      </c>
      <c r="B60" s="1">
        <v>45275</v>
      </c>
      <c r="C60" t="s">
        <v>51</v>
      </c>
      <c r="D60">
        <v>30</v>
      </c>
      <c r="E60" t="s">
        <v>15</v>
      </c>
      <c r="F60" t="s">
        <v>13</v>
      </c>
      <c r="G60">
        <f>MONTH(cleaned_personal_finance_data4[[#This Row],[date]])</f>
        <v>12</v>
      </c>
      <c r="H60">
        <f>YEAR(cleaned_personal_finance_data4[[#This Row],[date]])</f>
        <v>2023</v>
      </c>
      <c r="I60" t="s">
        <v>43</v>
      </c>
    </row>
    <row r="61" spans="1:9" hidden="1" x14ac:dyDescent="0.25">
      <c r="A61">
        <v>60</v>
      </c>
      <c r="B61" s="1">
        <v>45275</v>
      </c>
      <c r="C61" t="s">
        <v>52</v>
      </c>
      <c r="D61">
        <v>15</v>
      </c>
      <c r="E61" t="s">
        <v>15</v>
      </c>
      <c r="F61" t="s">
        <v>13</v>
      </c>
      <c r="G61">
        <f>MONTH(cleaned_personal_finance_data4[[#This Row],[date]])</f>
        <v>12</v>
      </c>
      <c r="H61">
        <f>YEAR(cleaned_personal_finance_data4[[#This Row],[date]])</f>
        <v>2023</v>
      </c>
      <c r="I61" t="s">
        <v>43</v>
      </c>
    </row>
    <row r="62" spans="1:9" hidden="1" x14ac:dyDescent="0.25">
      <c r="A62">
        <v>61</v>
      </c>
      <c r="B62" s="1">
        <v>45275</v>
      </c>
      <c r="C62" t="s">
        <v>53</v>
      </c>
      <c r="D62">
        <v>120</v>
      </c>
      <c r="E62" t="s">
        <v>15</v>
      </c>
      <c r="F62" t="s">
        <v>13</v>
      </c>
      <c r="G62">
        <f>MONTH(cleaned_personal_finance_data4[[#This Row],[date]])</f>
        <v>12</v>
      </c>
      <c r="H62">
        <f>YEAR(cleaned_personal_finance_data4[[#This Row],[date]])</f>
        <v>2023</v>
      </c>
      <c r="I62" t="s">
        <v>43</v>
      </c>
    </row>
    <row r="63" spans="1:9" hidden="1" x14ac:dyDescent="0.25">
      <c r="A63">
        <v>62</v>
      </c>
      <c r="B63" s="1">
        <v>45275</v>
      </c>
      <c r="C63" t="s">
        <v>54</v>
      </c>
      <c r="D63">
        <v>142</v>
      </c>
      <c r="E63" t="s">
        <v>15</v>
      </c>
      <c r="F63" t="s">
        <v>13</v>
      </c>
      <c r="G63">
        <f>MONTH(cleaned_personal_finance_data4[[#This Row],[date]])</f>
        <v>12</v>
      </c>
      <c r="H63">
        <f>YEAR(cleaned_personal_finance_data4[[#This Row],[date]])</f>
        <v>2023</v>
      </c>
      <c r="I63" t="s">
        <v>54</v>
      </c>
    </row>
    <row r="64" spans="1:9" hidden="1" x14ac:dyDescent="0.25">
      <c r="A64">
        <v>63</v>
      </c>
      <c r="B64" s="1">
        <v>45275</v>
      </c>
      <c r="C64" t="s">
        <v>9</v>
      </c>
      <c r="D64">
        <v>19036</v>
      </c>
      <c r="E64" t="s">
        <v>10</v>
      </c>
      <c r="F64" t="s">
        <v>8</v>
      </c>
      <c r="G64">
        <f>MONTH(cleaned_personal_finance_data4[[#This Row],[date]])</f>
        <v>12</v>
      </c>
      <c r="H64">
        <f>YEAR(cleaned_personal_finance_data4[[#This Row],[date]])</f>
        <v>2023</v>
      </c>
      <c r="I64" t="s">
        <v>9</v>
      </c>
    </row>
    <row r="65" spans="1:9" hidden="1" x14ac:dyDescent="0.25">
      <c r="A65">
        <v>64</v>
      </c>
      <c r="B65" s="1">
        <v>45275</v>
      </c>
      <c r="C65" t="s">
        <v>11</v>
      </c>
      <c r="D65">
        <v>19000</v>
      </c>
      <c r="E65" t="s">
        <v>12</v>
      </c>
      <c r="F65" t="s">
        <v>13</v>
      </c>
      <c r="G65">
        <f>MONTH(cleaned_personal_finance_data4[[#This Row],[date]])</f>
        <v>12</v>
      </c>
      <c r="H65">
        <f>YEAR(cleaned_personal_finance_data4[[#This Row],[date]])</f>
        <v>2023</v>
      </c>
      <c r="I65" t="s">
        <v>11</v>
      </c>
    </row>
    <row r="66" spans="1:9" hidden="1" x14ac:dyDescent="0.25">
      <c r="A66">
        <v>65</v>
      </c>
      <c r="B66" s="1">
        <v>45275</v>
      </c>
      <c r="C66" t="s">
        <v>55</v>
      </c>
      <c r="D66">
        <v>1500</v>
      </c>
      <c r="E66" t="s">
        <v>15</v>
      </c>
      <c r="F66" t="s">
        <v>13</v>
      </c>
      <c r="G66">
        <f>MONTH(cleaned_personal_finance_data4[[#This Row],[date]])</f>
        <v>12</v>
      </c>
      <c r="H66">
        <f>YEAR(cleaned_personal_finance_data4[[#This Row],[date]])</f>
        <v>2023</v>
      </c>
      <c r="I66" t="s">
        <v>55</v>
      </c>
    </row>
    <row r="67" spans="1:9" hidden="1" x14ac:dyDescent="0.25">
      <c r="A67">
        <v>66</v>
      </c>
      <c r="B67" s="1">
        <v>45275</v>
      </c>
      <c r="C67" t="s">
        <v>56</v>
      </c>
      <c r="D67">
        <v>3600</v>
      </c>
      <c r="E67" t="s">
        <v>15</v>
      </c>
      <c r="F67" t="s">
        <v>13</v>
      </c>
      <c r="G67">
        <f>MONTH(cleaned_personal_finance_data4[[#This Row],[date]])</f>
        <v>12</v>
      </c>
      <c r="H67">
        <f>YEAR(cleaned_personal_finance_data4[[#This Row],[date]])</f>
        <v>2023</v>
      </c>
      <c r="I67" t="s">
        <v>56</v>
      </c>
    </row>
    <row r="68" spans="1:9" hidden="1" x14ac:dyDescent="0.25">
      <c r="A68">
        <v>67</v>
      </c>
      <c r="B68" s="1">
        <v>45275</v>
      </c>
      <c r="C68" t="s">
        <v>57</v>
      </c>
      <c r="D68">
        <v>2900</v>
      </c>
      <c r="E68" t="s">
        <v>15</v>
      </c>
      <c r="F68" t="s">
        <v>13</v>
      </c>
      <c r="G68">
        <f>MONTH(cleaned_personal_finance_data4[[#This Row],[date]])</f>
        <v>12</v>
      </c>
      <c r="H68">
        <f>YEAR(cleaned_personal_finance_data4[[#This Row],[date]])</f>
        <v>2023</v>
      </c>
      <c r="I68" t="s">
        <v>57</v>
      </c>
    </row>
    <row r="69" spans="1:9" hidden="1" x14ac:dyDescent="0.25">
      <c r="A69">
        <v>68</v>
      </c>
      <c r="B69" s="1">
        <v>45275</v>
      </c>
      <c r="C69" t="s">
        <v>58</v>
      </c>
      <c r="D69">
        <v>599</v>
      </c>
      <c r="E69" t="s">
        <v>15</v>
      </c>
      <c r="F69" t="s">
        <v>13</v>
      </c>
      <c r="G69">
        <f>MONTH(cleaned_personal_finance_data4[[#This Row],[date]])</f>
        <v>12</v>
      </c>
      <c r="H69">
        <f>YEAR(cleaned_personal_finance_data4[[#This Row],[date]])</f>
        <v>2023</v>
      </c>
      <c r="I69" t="s">
        <v>58</v>
      </c>
    </row>
    <row r="70" spans="1:9" hidden="1" x14ac:dyDescent="0.25">
      <c r="A70">
        <v>69</v>
      </c>
      <c r="B70" s="1">
        <v>45275</v>
      </c>
      <c r="C70" t="s">
        <v>59</v>
      </c>
      <c r="D70">
        <v>20</v>
      </c>
      <c r="E70" t="s">
        <v>15</v>
      </c>
      <c r="F70" t="s">
        <v>13</v>
      </c>
      <c r="G70">
        <f>MONTH(cleaned_personal_finance_data4[[#This Row],[date]])</f>
        <v>12</v>
      </c>
      <c r="H70">
        <f>YEAR(cleaned_personal_finance_data4[[#This Row],[date]])</f>
        <v>2023</v>
      </c>
      <c r="I70" t="s">
        <v>59</v>
      </c>
    </row>
    <row r="71" spans="1:9" hidden="1" x14ac:dyDescent="0.25">
      <c r="A71">
        <v>70</v>
      </c>
      <c r="B71" s="1">
        <v>45275</v>
      </c>
      <c r="C71" t="s">
        <v>60</v>
      </c>
      <c r="D71">
        <v>60</v>
      </c>
      <c r="E71" t="s">
        <v>15</v>
      </c>
      <c r="F71" t="s">
        <v>13</v>
      </c>
      <c r="G71">
        <f>MONTH(cleaned_personal_finance_data4[[#This Row],[date]])</f>
        <v>12</v>
      </c>
      <c r="H71">
        <f>YEAR(cleaned_personal_finance_data4[[#This Row],[date]])</f>
        <v>2023</v>
      </c>
      <c r="I71" t="s">
        <v>60</v>
      </c>
    </row>
    <row r="72" spans="1:9" hidden="1" x14ac:dyDescent="0.25">
      <c r="A72">
        <v>71</v>
      </c>
      <c r="B72" s="1">
        <v>45275</v>
      </c>
      <c r="C72" t="s">
        <v>61</v>
      </c>
      <c r="D72">
        <v>120</v>
      </c>
      <c r="E72" t="s">
        <v>15</v>
      </c>
      <c r="F72" t="s">
        <v>13</v>
      </c>
      <c r="G72">
        <f>MONTH(cleaned_personal_finance_data4[[#This Row],[date]])</f>
        <v>12</v>
      </c>
      <c r="H72">
        <f>YEAR(cleaned_personal_finance_data4[[#This Row],[date]])</f>
        <v>2023</v>
      </c>
      <c r="I72" t="s">
        <v>43</v>
      </c>
    </row>
    <row r="73" spans="1:9" hidden="1" x14ac:dyDescent="0.25">
      <c r="A73">
        <v>72</v>
      </c>
      <c r="B73" s="1">
        <v>45275</v>
      </c>
      <c r="C73" t="s">
        <v>62</v>
      </c>
      <c r="D73">
        <v>150</v>
      </c>
      <c r="E73" t="s">
        <v>15</v>
      </c>
      <c r="F73" t="s">
        <v>13</v>
      </c>
      <c r="G73">
        <f>MONTH(cleaned_personal_finance_data4[[#This Row],[date]])</f>
        <v>12</v>
      </c>
      <c r="H73">
        <f>YEAR(cleaned_personal_finance_data4[[#This Row],[date]])</f>
        <v>2023</v>
      </c>
      <c r="I73" t="s">
        <v>43</v>
      </c>
    </row>
    <row r="74" spans="1:9" hidden="1" x14ac:dyDescent="0.25">
      <c r="A74">
        <v>73</v>
      </c>
      <c r="B74" s="1">
        <v>45278</v>
      </c>
      <c r="C74" t="s">
        <v>37</v>
      </c>
      <c r="D74">
        <v>25</v>
      </c>
      <c r="E74" t="s">
        <v>15</v>
      </c>
      <c r="F74" t="s">
        <v>13</v>
      </c>
      <c r="G74">
        <f>MONTH(cleaned_personal_finance_data4[[#This Row],[date]])</f>
        <v>12</v>
      </c>
      <c r="H74">
        <f>YEAR(cleaned_personal_finance_data4[[#This Row],[date]])</f>
        <v>2023</v>
      </c>
      <c r="I74" t="s">
        <v>47</v>
      </c>
    </row>
    <row r="75" spans="1:9" hidden="1" x14ac:dyDescent="0.25">
      <c r="A75">
        <v>74</v>
      </c>
      <c r="B75" s="1">
        <v>45278</v>
      </c>
      <c r="C75" t="s">
        <v>63</v>
      </c>
      <c r="D75">
        <v>30</v>
      </c>
      <c r="E75" t="s">
        <v>15</v>
      </c>
      <c r="F75" t="s">
        <v>13</v>
      </c>
      <c r="G75">
        <f>MONTH(cleaned_personal_finance_data4[[#This Row],[date]])</f>
        <v>12</v>
      </c>
      <c r="H75">
        <f>YEAR(cleaned_personal_finance_data4[[#This Row],[date]])</f>
        <v>2023</v>
      </c>
      <c r="I75" t="s">
        <v>63</v>
      </c>
    </row>
    <row r="76" spans="1:9" hidden="1" x14ac:dyDescent="0.25">
      <c r="A76">
        <v>75</v>
      </c>
      <c r="B76" s="1">
        <v>45278</v>
      </c>
      <c r="C76" t="s">
        <v>35</v>
      </c>
      <c r="D76">
        <v>280</v>
      </c>
      <c r="E76" t="s">
        <v>15</v>
      </c>
      <c r="F76" t="s">
        <v>21</v>
      </c>
      <c r="G76">
        <f>MONTH(cleaned_personal_finance_data4[[#This Row],[date]])</f>
        <v>12</v>
      </c>
      <c r="H76">
        <f>YEAR(cleaned_personal_finance_data4[[#This Row],[date]])</f>
        <v>2023</v>
      </c>
      <c r="I76" t="s">
        <v>35</v>
      </c>
    </row>
    <row r="77" spans="1:9" hidden="1" x14ac:dyDescent="0.25">
      <c r="A77">
        <v>76</v>
      </c>
      <c r="B77" s="1">
        <v>45279</v>
      </c>
      <c r="C77" t="s">
        <v>64</v>
      </c>
      <c r="D77">
        <v>199</v>
      </c>
      <c r="E77" t="s">
        <v>15</v>
      </c>
      <c r="F77" t="s">
        <v>21</v>
      </c>
      <c r="G77">
        <f>MONTH(cleaned_personal_finance_data4[[#This Row],[date]])</f>
        <v>12</v>
      </c>
      <c r="H77">
        <f>YEAR(cleaned_personal_finance_data4[[#This Row],[date]])</f>
        <v>2023</v>
      </c>
      <c r="I77" t="s">
        <v>64</v>
      </c>
    </row>
    <row r="78" spans="1:9" hidden="1" x14ac:dyDescent="0.25">
      <c r="A78">
        <v>77</v>
      </c>
      <c r="B78" s="1">
        <v>45281</v>
      </c>
      <c r="C78" t="s">
        <v>65</v>
      </c>
      <c r="D78">
        <v>768</v>
      </c>
      <c r="E78" t="s">
        <v>15</v>
      </c>
      <c r="F78" t="s">
        <v>21</v>
      </c>
      <c r="G78">
        <f>MONTH(cleaned_personal_finance_data4[[#This Row],[date]])</f>
        <v>12</v>
      </c>
      <c r="H78">
        <f>YEAR(cleaned_personal_finance_data4[[#This Row],[date]])</f>
        <v>2023</v>
      </c>
      <c r="I78" t="s">
        <v>324</v>
      </c>
    </row>
    <row r="79" spans="1:9" hidden="1" x14ac:dyDescent="0.25">
      <c r="A79">
        <v>78</v>
      </c>
      <c r="B79" s="1">
        <v>45282</v>
      </c>
      <c r="C79" t="s">
        <v>34</v>
      </c>
      <c r="D79">
        <v>129</v>
      </c>
      <c r="E79" t="s">
        <v>15</v>
      </c>
      <c r="F79" t="s">
        <v>21</v>
      </c>
      <c r="G79">
        <f>MONTH(cleaned_personal_finance_data4[[#This Row],[date]])</f>
        <v>12</v>
      </c>
      <c r="H79">
        <f>YEAR(cleaned_personal_finance_data4[[#This Row],[date]])</f>
        <v>2023</v>
      </c>
      <c r="I79" t="s">
        <v>34</v>
      </c>
    </row>
    <row r="80" spans="1:9" hidden="1" x14ac:dyDescent="0.25">
      <c r="A80">
        <v>79</v>
      </c>
      <c r="B80" s="1">
        <v>45283</v>
      </c>
      <c r="C80" t="s">
        <v>51</v>
      </c>
      <c r="D80">
        <v>30</v>
      </c>
      <c r="E80" t="s">
        <v>15</v>
      </c>
      <c r="F80" t="s">
        <v>13</v>
      </c>
      <c r="G80">
        <f>MONTH(cleaned_personal_finance_data4[[#This Row],[date]])</f>
        <v>12</v>
      </c>
      <c r="H80">
        <f>YEAR(cleaned_personal_finance_data4[[#This Row],[date]])</f>
        <v>2023</v>
      </c>
      <c r="I80" t="s">
        <v>43</v>
      </c>
    </row>
    <row r="81" spans="1:9" hidden="1" x14ac:dyDescent="0.25">
      <c r="A81">
        <v>80</v>
      </c>
      <c r="B81" s="1">
        <v>45283</v>
      </c>
      <c r="C81" t="s">
        <v>66</v>
      </c>
      <c r="D81">
        <v>10</v>
      </c>
      <c r="E81" t="s">
        <v>15</v>
      </c>
      <c r="F81" t="s">
        <v>13</v>
      </c>
      <c r="G81">
        <f>MONTH(cleaned_personal_finance_data4[[#This Row],[date]])</f>
        <v>12</v>
      </c>
      <c r="H81">
        <f>YEAR(cleaned_personal_finance_data4[[#This Row],[date]])</f>
        <v>2023</v>
      </c>
      <c r="I81" t="s">
        <v>66</v>
      </c>
    </row>
    <row r="82" spans="1:9" hidden="1" x14ac:dyDescent="0.25">
      <c r="A82">
        <v>81</v>
      </c>
      <c r="B82" s="1">
        <v>45283</v>
      </c>
      <c r="C82" t="s">
        <v>67</v>
      </c>
      <c r="D82">
        <v>15</v>
      </c>
      <c r="E82" t="s">
        <v>15</v>
      </c>
      <c r="F82" t="s">
        <v>13</v>
      </c>
      <c r="G82">
        <f>MONTH(cleaned_personal_finance_data4[[#This Row],[date]])</f>
        <v>12</v>
      </c>
      <c r="H82">
        <f>YEAR(cleaned_personal_finance_data4[[#This Row],[date]])</f>
        <v>2023</v>
      </c>
      <c r="I82" t="s">
        <v>67</v>
      </c>
    </row>
    <row r="83" spans="1:9" hidden="1" x14ac:dyDescent="0.25">
      <c r="A83">
        <v>82</v>
      </c>
      <c r="B83" s="1">
        <v>45283</v>
      </c>
      <c r="C83" t="s">
        <v>68</v>
      </c>
      <c r="D83">
        <v>50</v>
      </c>
      <c r="E83" t="s">
        <v>15</v>
      </c>
      <c r="F83" t="s">
        <v>13</v>
      </c>
      <c r="G83">
        <f>MONTH(cleaned_personal_finance_data4[[#This Row],[date]])</f>
        <v>12</v>
      </c>
      <c r="H83">
        <f>YEAR(cleaned_personal_finance_data4[[#This Row],[date]])</f>
        <v>2023</v>
      </c>
      <c r="I83" t="s">
        <v>43</v>
      </c>
    </row>
    <row r="84" spans="1:9" hidden="1" x14ac:dyDescent="0.25">
      <c r="A84">
        <v>83</v>
      </c>
      <c r="B84" s="1">
        <v>45283</v>
      </c>
      <c r="C84" t="s">
        <v>69</v>
      </c>
      <c r="D84">
        <v>50</v>
      </c>
      <c r="E84" t="s">
        <v>15</v>
      </c>
      <c r="F84" t="s">
        <v>13</v>
      </c>
      <c r="G84">
        <f>MONTH(cleaned_personal_finance_data4[[#This Row],[date]])</f>
        <v>12</v>
      </c>
      <c r="H84">
        <f>YEAR(cleaned_personal_finance_data4[[#This Row],[date]])</f>
        <v>2023</v>
      </c>
      <c r="I84" t="s">
        <v>69</v>
      </c>
    </row>
    <row r="85" spans="1:9" hidden="1" x14ac:dyDescent="0.25">
      <c r="A85">
        <v>84</v>
      </c>
      <c r="B85" s="1">
        <v>45283</v>
      </c>
      <c r="C85" t="s">
        <v>67</v>
      </c>
      <c r="D85">
        <v>20</v>
      </c>
      <c r="E85" t="s">
        <v>15</v>
      </c>
      <c r="F85" t="s">
        <v>13</v>
      </c>
      <c r="G85">
        <f>MONTH(cleaned_personal_finance_data4[[#This Row],[date]])</f>
        <v>12</v>
      </c>
      <c r="H85">
        <f>YEAR(cleaned_personal_finance_data4[[#This Row],[date]])</f>
        <v>2023</v>
      </c>
      <c r="I85" t="s">
        <v>67</v>
      </c>
    </row>
    <row r="86" spans="1:9" hidden="1" x14ac:dyDescent="0.25">
      <c r="A86">
        <v>85</v>
      </c>
      <c r="B86" s="1">
        <v>45283</v>
      </c>
      <c r="C86" t="s">
        <v>70</v>
      </c>
      <c r="D86">
        <v>10</v>
      </c>
      <c r="E86" t="s">
        <v>15</v>
      </c>
      <c r="F86" t="s">
        <v>13</v>
      </c>
      <c r="G86">
        <f>MONTH(cleaned_personal_finance_data4[[#This Row],[date]])</f>
        <v>12</v>
      </c>
      <c r="H86">
        <f>YEAR(cleaned_personal_finance_data4[[#This Row],[date]])</f>
        <v>2023</v>
      </c>
      <c r="I86" t="s">
        <v>70</v>
      </c>
    </row>
    <row r="87" spans="1:9" x14ac:dyDescent="0.25">
      <c r="A87">
        <v>86</v>
      </c>
      <c r="B87" s="1">
        <v>45283</v>
      </c>
      <c r="C87" t="s">
        <v>71</v>
      </c>
      <c r="D87">
        <v>18000</v>
      </c>
      <c r="E87" t="s">
        <v>7</v>
      </c>
      <c r="F87" t="s">
        <v>13</v>
      </c>
      <c r="G87">
        <f>MONTH(cleaned_personal_finance_data4[[#This Row],[date]])</f>
        <v>12</v>
      </c>
      <c r="H87">
        <f>YEAR(cleaned_personal_finance_data4[[#This Row],[date]])</f>
        <v>2023</v>
      </c>
      <c r="I87" t="s">
        <v>71</v>
      </c>
    </row>
    <row r="88" spans="1:9" hidden="1" x14ac:dyDescent="0.25">
      <c r="A88">
        <v>87</v>
      </c>
      <c r="B88" s="1">
        <v>45283</v>
      </c>
      <c r="C88" t="s">
        <v>72</v>
      </c>
      <c r="D88">
        <v>600</v>
      </c>
      <c r="E88" t="s">
        <v>15</v>
      </c>
      <c r="F88" t="s">
        <v>13</v>
      </c>
      <c r="G88">
        <f>MONTH(cleaned_personal_finance_data4[[#This Row],[date]])</f>
        <v>12</v>
      </c>
      <c r="H88">
        <f>YEAR(cleaned_personal_finance_data4[[#This Row],[date]])</f>
        <v>2023</v>
      </c>
      <c r="I88" t="s">
        <v>72</v>
      </c>
    </row>
    <row r="89" spans="1:9" hidden="1" x14ac:dyDescent="0.25">
      <c r="A89">
        <v>88</v>
      </c>
      <c r="B89" s="1">
        <v>45283</v>
      </c>
      <c r="C89" t="s">
        <v>73</v>
      </c>
      <c r="D89">
        <v>150</v>
      </c>
      <c r="E89" t="s">
        <v>15</v>
      </c>
      <c r="F89" t="s">
        <v>13</v>
      </c>
      <c r="G89">
        <f>MONTH(cleaned_personal_finance_data4[[#This Row],[date]])</f>
        <v>12</v>
      </c>
      <c r="H89">
        <f>YEAR(cleaned_personal_finance_data4[[#This Row],[date]])</f>
        <v>2023</v>
      </c>
      <c r="I89" t="s">
        <v>43</v>
      </c>
    </row>
    <row r="90" spans="1:9" hidden="1" x14ac:dyDescent="0.25">
      <c r="A90">
        <v>89</v>
      </c>
      <c r="B90" s="1">
        <v>45283</v>
      </c>
      <c r="C90" t="s">
        <v>74</v>
      </c>
      <c r="D90">
        <v>20</v>
      </c>
      <c r="E90" t="s">
        <v>15</v>
      </c>
      <c r="F90" t="s">
        <v>13</v>
      </c>
      <c r="G90">
        <f>MONTH(cleaned_personal_finance_data4[[#This Row],[date]])</f>
        <v>12</v>
      </c>
      <c r="H90">
        <f>YEAR(cleaned_personal_finance_data4[[#This Row],[date]])</f>
        <v>2023</v>
      </c>
      <c r="I90" t="s">
        <v>74</v>
      </c>
    </row>
    <row r="91" spans="1:9" hidden="1" x14ac:dyDescent="0.25">
      <c r="A91">
        <v>90</v>
      </c>
      <c r="B91" s="1">
        <v>45283</v>
      </c>
      <c r="C91" t="s">
        <v>67</v>
      </c>
      <c r="D91">
        <v>15</v>
      </c>
      <c r="E91" t="s">
        <v>15</v>
      </c>
      <c r="F91" t="s">
        <v>13</v>
      </c>
      <c r="G91">
        <f>MONTH(cleaned_personal_finance_data4[[#This Row],[date]])</f>
        <v>12</v>
      </c>
      <c r="H91">
        <f>YEAR(cleaned_personal_finance_data4[[#This Row],[date]])</f>
        <v>2023</v>
      </c>
      <c r="I91" t="s">
        <v>67</v>
      </c>
    </row>
    <row r="92" spans="1:9" hidden="1" x14ac:dyDescent="0.25">
      <c r="A92">
        <v>91</v>
      </c>
      <c r="B92" s="1">
        <v>45283</v>
      </c>
      <c r="C92" t="s">
        <v>75</v>
      </c>
      <c r="D92">
        <v>15</v>
      </c>
      <c r="E92" t="s">
        <v>15</v>
      </c>
      <c r="F92" t="s">
        <v>13</v>
      </c>
      <c r="G92">
        <f>MONTH(cleaned_personal_finance_data4[[#This Row],[date]])</f>
        <v>12</v>
      </c>
      <c r="H92">
        <f>YEAR(cleaned_personal_finance_data4[[#This Row],[date]])</f>
        <v>2023</v>
      </c>
      <c r="I92" t="s">
        <v>43</v>
      </c>
    </row>
    <row r="93" spans="1:9" hidden="1" x14ac:dyDescent="0.25">
      <c r="A93">
        <v>92</v>
      </c>
      <c r="B93" s="1">
        <v>45283</v>
      </c>
      <c r="C93" t="s">
        <v>76</v>
      </c>
      <c r="D93">
        <v>50</v>
      </c>
      <c r="E93" t="s">
        <v>15</v>
      </c>
      <c r="F93" t="s">
        <v>13</v>
      </c>
      <c r="G93">
        <f>MONTH(cleaned_personal_finance_data4[[#This Row],[date]])</f>
        <v>12</v>
      </c>
      <c r="H93">
        <f>YEAR(cleaned_personal_finance_data4[[#This Row],[date]])</f>
        <v>2023</v>
      </c>
      <c r="I93" t="s">
        <v>43</v>
      </c>
    </row>
    <row r="94" spans="1:9" hidden="1" x14ac:dyDescent="0.25">
      <c r="A94">
        <v>93</v>
      </c>
      <c r="B94" s="1">
        <v>45283</v>
      </c>
      <c r="C94" t="s">
        <v>77</v>
      </c>
      <c r="D94">
        <v>3000</v>
      </c>
      <c r="E94" t="s">
        <v>15</v>
      </c>
      <c r="F94" t="s">
        <v>13</v>
      </c>
      <c r="G94">
        <f>MONTH(cleaned_personal_finance_data4[[#This Row],[date]])</f>
        <v>12</v>
      </c>
      <c r="H94">
        <f>YEAR(cleaned_personal_finance_data4[[#This Row],[date]])</f>
        <v>2023</v>
      </c>
      <c r="I94" t="s">
        <v>77</v>
      </c>
    </row>
    <row r="95" spans="1:9" hidden="1" x14ac:dyDescent="0.25">
      <c r="A95">
        <v>94</v>
      </c>
      <c r="B95" s="1">
        <v>45284</v>
      </c>
      <c r="C95" t="s">
        <v>78</v>
      </c>
      <c r="D95">
        <v>400</v>
      </c>
      <c r="E95" t="s">
        <v>15</v>
      </c>
      <c r="F95" t="s">
        <v>13</v>
      </c>
      <c r="G95">
        <f>MONTH(cleaned_personal_finance_data4[[#This Row],[date]])</f>
        <v>12</v>
      </c>
      <c r="H95">
        <f>YEAR(cleaned_personal_finance_data4[[#This Row],[date]])</f>
        <v>2023</v>
      </c>
      <c r="I95" t="s">
        <v>78</v>
      </c>
    </row>
    <row r="96" spans="1:9" hidden="1" x14ac:dyDescent="0.25">
      <c r="A96">
        <v>95</v>
      </c>
      <c r="B96" s="1">
        <v>45284</v>
      </c>
      <c r="C96" t="s">
        <v>79</v>
      </c>
      <c r="D96">
        <v>100</v>
      </c>
      <c r="E96" t="s">
        <v>15</v>
      </c>
      <c r="F96" t="s">
        <v>13</v>
      </c>
      <c r="G96">
        <f>MONTH(cleaned_personal_finance_data4[[#This Row],[date]])</f>
        <v>12</v>
      </c>
      <c r="H96">
        <f>YEAR(cleaned_personal_finance_data4[[#This Row],[date]])</f>
        <v>2023</v>
      </c>
      <c r="I96" t="s">
        <v>79</v>
      </c>
    </row>
    <row r="97" spans="1:9" hidden="1" x14ac:dyDescent="0.25">
      <c r="A97">
        <v>96</v>
      </c>
      <c r="B97" s="1">
        <v>45285</v>
      </c>
      <c r="C97" t="s">
        <v>78</v>
      </c>
      <c r="D97">
        <v>100</v>
      </c>
      <c r="E97" t="s">
        <v>15</v>
      </c>
      <c r="F97" t="s">
        <v>13</v>
      </c>
      <c r="G97">
        <f>MONTH(cleaned_personal_finance_data4[[#This Row],[date]])</f>
        <v>12</v>
      </c>
      <c r="H97">
        <f>YEAR(cleaned_personal_finance_data4[[#This Row],[date]])</f>
        <v>2023</v>
      </c>
      <c r="I97" t="s">
        <v>78</v>
      </c>
    </row>
    <row r="98" spans="1:9" hidden="1" x14ac:dyDescent="0.25">
      <c r="A98">
        <v>97</v>
      </c>
      <c r="B98" s="1">
        <v>45286</v>
      </c>
      <c r="C98" t="s">
        <v>64</v>
      </c>
      <c r="D98">
        <v>199</v>
      </c>
      <c r="E98" t="s">
        <v>15</v>
      </c>
      <c r="F98" t="s">
        <v>21</v>
      </c>
      <c r="G98">
        <f>MONTH(cleaned_personal_finance_data4[[#This Row],[date]])</f>
        <v>12</v>
      </c>
      <c r="H98">
        <f>YEAR(cleaned_personal_finance_data4[[#This Row],[date]])</f>
        <v>2023</v>
      </c>
      <c r="I98" t="s">
        <v>64</v>
      </c>
    </row>
    <row r="99" spans="1:9" hidden="1" x14ac:dyDescent="0.25">
      <c r="A99">
        <v>98</v>
      </c>
      <c r="B99" s="1">
        <v>45288</v>
      </c>
      <c r="C99" t="s">
        <v>51</v>
      </c>
      <c r="D99">
        <v>30</v>
      </c>
      <c r="E99" t="s">
        <v>15</v>
      </c>
      <c r="F99" t="s">
        <v>13</v>
      </c>
      <c r="G99">
        <f>MONTH(cleaned_personal_finance_data4[[#This Row],[date]])</f>
        <v>12</v>
      </c>
      <c r="H99">
        <f>YEAR(cleaned_personal_finance_data4[[#This Row],[date]])</f>
        <v>2023</v>
      </c>
      <c r="I99" t="s">
        <v>43</v>
      </c>
    </row>
    <row r="100" spans="1:9" hidden="1" x14ac:dyDescent="0.25">
      <c r="A100">
        <v>99</v>
      </c>
      <c r="B100" s="1">
        <v>45288</v>
      </c>
      <c r="C100" t="s">
        <v>80</v>
      </c>
      <c r="D100">
        <v>120</v>
      </c>
      <c r="E100" t="s">
        <v>15</v>
      </c>
      <c r="F100" t="s">
        <v>13</v>
      </c>
      <c r="G100">
        <f>MONTH(cleaned_personal_finance_data4[[#This Row],[date]])</f>
        <v>12</v>
      </c>
      <c r="H100">
        <f>YEAR(cleaned_personal_finance_data4[[#This Row],[date]])</f>
        <v>2023</v>
      </c>
      <c r="I100" t="s">
        <v>43</v>
      </c>
    </row>
    <row r="101" spans="1:9" hidden="1" x14ac:dyDescent="0.25">
      <c r="A101">
        <v>100</v>
      </c>
      <c r="B101" s="1">
        <v>45288</v>
      </c>
      <c r="C101" t="s">
        <v>81</v>
      </c>
      <c r="D101">
        <v>1375</v>
      </c>
      <c r="E101" t="s">
        <v>15</v>
      </c>
      <c r="F101" t="s">
        <v>13</v>
      </c>
      <c r="G101">
        <f>MONTH(cleaned_personal_finance_data4[[#This Row],[date]])</f>
        <v>12</v>
      </c>
      <c r="H101">
        <f>YEAR(cleaned_personal_finance_data4[[#This Row],[date]])</f>
        <v>2023</v>
      </c>
      <c r="I101" t="s">
        <v>81</v>
      </c>
    </row>
    <row r="102" spans="1:9" hidden="1" x14ac:dyDescent="0.25">
      <c r="A102">
        <v>101</v>
      </c>
      <c r="B102" s="1">
        <v>45288</v>
      </c>
      <c r="C102" t="s">
        <v>82</v>
      </c>
      <c r="D102">
        <v>157</v>
      </c>
      <c r="E102" t="s">
        <v>15</v>
      </c>
      <c r="F102" t="s">
        <v>13</v>
      </c>
      <c r="G102">
        <f>MONTH(cleaned_personal_finance_data4[[#This Row],[date]])</f>
        <v>12</v>
      </c>
      <c r="H102">
        <f>YEAR(cleaned_personal_finance_data4[[#This Row],[date]])</f>
        <v>2023</v>
      </c>
      <c r="I102" t="s">
        <v>82</v>
      </c>
    </row>
    <row r="103" spans="1:9" hidden="1" x14ac:dyDescent="0.25">
      <c r="A103">
        <v>102</v>
      </c>
      <c r="B103" s="1">
        <v>45288</v>
      </c>
      <c r="C103" t="s">
        <v>83</v>
      </c>
      <c r="D103">
        <v>2600</v>
      </c>
      <c r="E103" t="s">
        <v>15</v>
      </c>
      <c r="F103" t="s">
        <v>13</v>
      </c>
      <c r="G103">
        <f>MONTH(cleaned_personal_finance_data4[[#This Row],[date]])</f>
        <v>12</v>
      </c>
      <c r="H103">
        <f>YEAR(cleaned_personal_finance_data4[[#This Row],[date]])</f>
        <v>2023</v>
      </c>
      <c r="I103" t="s">
        <v>83</v>
      </c>
    </row>
    <row r="104" spans="1:9" hidden="1" x14ac:dyDescent="0.25">
      <c r="A104">
        <v>103</v>
      </c>
      <c r="B104" s="1">
        <v>45288</v>
      </c>
      <c r="C104" t="s">
        <v>84</v>
      </c>
      <c r="D104">
        <v>500</v>
      </c>
      <c r="E104" t="s">
        <v>15</v>
      </c>
      <c r="F104" t="s">
        <v>13</v>
      </c>
      <c r="G104">
        <f>MONTH(cleaned_personal_finance_data4[[#This Row],[date]])</f>
        <v>12</v>
      </c>
      <c r="H104">
        <f>YEAR(cleaned_personal_finance_data4[[#This Row],[date]])</f>
        <v>2023</v>
      </c>
      <c r="I104" t="s">
        <v>84</v>
      </c>
    </row>
    <row r="105" spans="1:9" hidden="1" x14ac:dyDescent="0.25">
      <c r="A105">
        <v>104</v>
      </c>
      <c r="B105" s="1">
        <v>45288</v>
      </c>
      <c r="C105" t="s">
        <v>85</v>
      </c>
      <c r="D105">
        <v>500</v>
      </c>
      <c r="E105" t="s">
        <v>15</v>
      </c>
      <c r="F105" t="s">
        <v>13</v>
      </c>
      <c r="G105">
        <f>MONTH(cleaned_personal_finance_data4[[#This Row],[date]])</f>
        <v>12</v>
      </c>
      <c r="H105">
        <f>YEAR(cleaned_personal_finance_data4[[#This Row],[date]])</f>
        <v>2023</v>
      </c>
      <c r="I105" t="s">
        <v>85</v>
      </c>
    </row>
    <row r="106" spans="1:9" hidden="1" x14ac:dyDescent="0.25">
      <c r="A106">
        <v>105</v>
      </c>
      <c r="B106" s="1">
        <v>45288</v>
      </c>
      <c r="C106" t="s">
        <v>61</v>
      </c>
      <c r="D106">
        <v>120</v>
      </c>
      <c r="E106" t="s">
        <v>15</v>
      </c>
      <c r="F106" t="s">
        <v>13</v>
      </c>
      <c r="G106">
        <f>MONTH(cleaned_personal_finance_data4[[#This Row],[date]])</f>
        <v>12</v>
      </c>
      <c r="H106">
        <f>YEAR(cleaned_personal_finance_data4[[#This Row],[date]])</f>
        <v>2023</v>
      </c>
      <c r="I106" t="s">
        <v>43</v>
      </c>
    </row>
    <row r="107" spans="1:9" x14ac:dyDescent="0.25">
      <c r="A107">
        <v>106</v>
      </c>
      <c r="B107" s="1">
        <v>45288</v>
      </c>
      <c r="C107" t="s">
        <v>6</v>
      </c>
      <c r="D107">
        <v>12733</v>
      </c>
      <c r="E107" t="s">
        <v>7</v>
      </c>
      <c r="F107" t="s">
        <v>8</v>
      </c>
      <c r="G107">
        <f>MONTH(cleaned_personal_finance_data4[[#This Row],[date]])</f>
        <v>12</v>
      </c>
      <c r="H107">
        <f>YEAR(cleaned_personal_finance_data4[[#This Row],[date]])</f>
        <v>2023</v>
      </c>
      <c r="I107" t="s">
        <v>318</v>
      </c>
    </row>
    <row r="108" spans="1:9" hidden="1" x14ac:dyDescent="0.25">
      <c r="A108">
        <v>107</v>
      </c>
      <c r="B108" s="1">
        <v>45291</v>
      </c>
      <c r="C108" t="s">
        <v>86</v>
      </c>
      <c r="D108">
        <v>160</v>
      </c>
      <c r="E108" t="s">
        <v>15</v>
      </c>
      <c r="F108" t="s">
        <v>13</v>
      </c>
      <c r="G108">
        <f>MONTH(cleaned_personal_finance_data4[[#This Row],[date]])</f>
        <v>12</v>
      </c>
      <c r="H108">
        <f>YEAR(cleaned_personal_finance_data4[[#This Row],[date]])</f>
        <v>2023</v>
      </c>
      <c r="I108" t="s">
        <v>262</v>
      </c>
    </row>
    <row r="109" spans="1:9" hidden="1" x14ac:dyDescent="0.25">
      <c r="A109">
        <v>108</v>
      </c>
      <c r="B109" s="1">
        <v>45292</v>
      </c>
      <c r="C109" t="s">
        <v>87</v>
      </c>
      <c r="D109">
        <v>200</v>
      </c>
      <c r="E109" t="s">
        <v>15</v>
      </c>
      <c r="F109" t="s">
        <v>13</v>
      </c>
      <c r="G109">
        <f>MONTH(cleaned_personal_finance_data4[[#This Row],[date]])</f>
        <v>1</v>
      </c>
      <c r="H109">
        <f>YEAR(cleaned_personal_finance_data4[[#This Row],[date]])</f>
        <v>2024</v>
      </c>
      <c r="I109" t="s">
        <v>87</v>
      </c>
    </row>
    <row r="110" spans="1:9" hidden="1" x14ac:dyDescent="0.25">
      <c r="A110">
        <v>109</v>
      </c>
      <c r="B110" s="1">
        <v>45295</v>
      </c>
      <c r="C110" t="s">
        <v>88</v>
      </c>
      <c r="D110">
        <v>784</v>
      </c>
      <c r="E110" t="s">
        <v>12</v>
      </c>
      <c r="F110" t="s">
        <v>21</v>
      </c>
      <c r="G110">
        <f>MONTH(cleaned_personal_finance_data4[[#This Row],[date]])</f>
        <v>1</v>
      </c>
      <c r="H110">
        <f>YEAR(cleaned_personal_finance_data4[[#This Row],[date]])</f>
        <v>2024</v>
      </c>
      <c r="I110" t="s">
        <v>20</v>
      </c>
    </row>
    <row r="111" spans="1:9" hidden="1" x14ac:dyDescent="0.25">
      <c r="A111">
        <v>110</v>
      </c>
      <c r="B111" s="1">
        <v>45297</v>
      </c>
      <c r="C111" t="s">
        <v>24</v>
      </c>
      <c r="D111">
        <v>239</v>
      </c>
      <c r="E111" t="s">
        <v>15</v>
      </c>
      <c r="F111" t="s">
        <v>21</v>
      </c>
      <c r="G111">
        <f>MONTH(cleaned_personal_finance_data4[[#This Row],[date]])</f>
        <v>1</v>
      </c>
      <c r="H111">
        <f>YEAR(cleaned_personal_finance_data4[[#This Row],[date]])</f>
        <v>2024</v>
      </c>
      <c r="I111" t="s">
        <v>24</v>
      </c>
    </row>
    <row r="112" spans="1:9" hidden="1" x14ac:dyDescent="0.25">
      <c r="A112">
        <v>111</v>
      </c>
      <c r="B112" s="1">
        <v>45298</v>
      </c>
      <c r="C112" t="s">
        <v>28</v>
      </c>
      <c r="D112">
        <v>125</v>
      </c>
      <c r="E112" t="s">
        <v>15</v>
      </c>
      <c r="F112" t="s">
        <v>21</v>
      </c>
      <c r="G112">
        <f>MONTH(cleaned_personal_finance_data4[[#This Row],[date]])</f>
        <v>1</v>
      </c>
      <c r="H112">
        <f>YEAR(cleaned_personal_finance_data4[[#This Row],[date]])</f>
        <v>2024</v>
      </c>
      <c r="I112" t="s">
        <v>28</v>
      </c>
    </row>
    <row r="113" spans="1:9" hidden="1" x14ac:dyDescent="0.25">
      <c r="A113">
        <v>112</v>
      </c>
      <c r="B113" s="1">
        <v>45298</v>
      </c>
      <c r="C113" t="s">
        <v>28</v>
      </c>
      <c r="D113">
        <v>50</v>
      </c>
      <c r="E113" t="s">
        <v>15</v>
      </c>
      <c r="F113" t="s">
        <v>21</v>
      </c>
      <c r="G113">
        <f>MONTH(cleaned_personal_finance_data4[[#This Row],[date]])</f>
        <v>1</v>
      </c>
      <c r="H113">
        <f>YEAR(cleaned_personal_finance_data4[[#This Row],[date]])</f>
        <v>2024</v>
      </c>
      <c r="I113" t="s">
        <v>28</v>
      </c>
    </row>
    <row r="114" spans="1:9" hidden="1" x14ac:dyDescent="0.25">
      <c r="A114">
        <v>113</v>
      </c>
      <c r="B114" s="1">
        <v>45298</v>
      </c>
      <c r="C114" t="s">
        <v>89</v>
      </c>
      <c r="D114">
        <v>380</v>
      </c>
      <c r="E114" t="s">
        <v>12</v>
      </c>
      <c r="F114" t="s">
        <v>21</v>
      </c>
      <c r="G114">
        <f>MONTH(cleaned_personal_finance_data4[[#This Row],[date]])</f>
        <v>1</v>
      </c>
      <c r="H114">
        <f>YEAR(cleaned_personal_finance_data4[[#This Row],[date]])</f>
        <v>2024</v>
      </c>
      <c r="I114" t="s">
        <v>20</v>
      </c>
    </row>
    <row r="115" spans="1:9" hidden="1" x14ac:dyDescent="0.25">
      <c r="A115">
        <v>114</v>
      </c>
      <c r="B115" s="1">
        <v>45298</v>
      </c>
      <c r="C115" t="s">
        <v>90</v>
      </c>
      <c r="D115">
        <v>34</v>
      </c>
      <c r="E115" t="s">
        <v>15</v>
      </c>
      <c r="F115" t="s">
        <v>21</v>
      </c>
      <c r="G115">
        <f>MONTH(cleaned_personal_finance_data4[[#This Row],[date]])</f>
        <v>1</v>
      </c>
      <c r="H115">
        <f>YEAR(cleaned_personal_finance_data4[[#This Row],[date]])</f>
        <v>2024</v>
      </c>
      <c r="I115" t="s">
        <v>324</v>
      </c>
    </row>
    <row r="116" spans="1:9" hidden="1" x14ac:dyDescent="0.25">
      <c r="A116">
        <v>115</v>
      </c>
      <c r="B116" s="1">
        <v>45299</v>
      </c>
      <c r="C116" t="s">
        <v>91</v>
      </c>
      <c r="D116">
        <v>392</v>
      </c>
      <c r="E116" t="s">
        <v>15</v>
      </c>
      <c r="F116" t="s">
        <v>13</v>
      </c>
      <c r="G116">
        <f>MONTH(cleaned_personal_finance_data4[[#This Row],[date]])</f>
        <v>1</v>
      </c>
      <c r="H116">
        <f>YEAR(cleaned_personal_finance_data4[[#This Row],[date]])</f>
        <v>2024</v>
      </c>
      <c r="I116" t="s">
        <v>319</v>
      </c>
    </row>
    <row r="117" spans="1:9" hidden="1" x14ac:dyDescent="0.25">
      <c r="A117">
        <v>116</v>
      </c>
      <c r="B117" s="1">
        <v>45299</v>
      </c>
      <c r="C117" t="s">
        <v>92</v>
      </c>
      <c r="D117">
        <v>1176</v>
      </c>
      <c r="E117" t="s">
        <v>10</v>
      </c>
      <c r="F117" t="s">
        <v>13</v>
      </c>
      <c r="G117">
        <f>MONTH(cleaned_personal_finance_data4[[#This Row],[date]])</f>
        <v>1</v>
      </c>
      <c r="H117">
        <f>YEAR(cleaned_personal_finance_data4[[#This Row],[date]])</f>
        <v>2024</v>
      </c>
      <c r="I117" t="s">
        <v>319</v>
      </c>
    </row>
    <row r="118" spans="1:9" hidden="1" x14ac:dyDescent="0.25">
      <c r="A118">
        <v>117</v>
      </c>
      <c r="B118" s="1">
        <v>45299</v>
      </c>
      <c r="C118" t="s">
        <v>28</v>
      </c>
      <c r="D118">
        <v>25</v>
      </c>
      <c r="E118" t="s">
        <v>15</v>
      </c>
      <c r="F118" t="s">
        <v>21</v>
      </c>
      <c r="G118">
        <f>MONTH(cleaned_personal_finance_data4[[#This Row],[date]])</f>
        <v>1</v>
      </c>
      <c r="H118">
        <f>YEAR(cleaned_personal_finance_data4[[#This Row],[date]])</f>
        <v>2024</v>
      </c>
      <c r="I118" t="s">
        <v>28</v>
      </c>
    </row>
    <row r="119" spans="1:9" hidden="1" x14ac:dyDescent="0.25">
      <c r="A119">
        <v>118</v>
      </c>
      <c r="B119" s="1">
        <v>45300</v>
      </c>
      <c r="C119" t="s">
        <v>28</v>
      </c>
      <c r="D119">
        <v>50</v>
      </c>
      <c r="E119" t="s">
        <v>15</v>
      </c>
      <c r="F119" t="s">
        <v>21</v>
      </c>
      <c r="G119">
        <f>MONTH(cleaned_personal_finance_data4[[#This Row],[date]])</f>
        <v>1</v>
      </c>
      <c r="H119">
        <f>YEAR(cleaned_personal_finance_data4[[#This Row],[date]])</f>
        <v>2024</v>
      </c>
      <c r="I119" t="s">
        <v>28</v>
      </c>
    </row>
    <row r="120" spans="1:9" hidden="1" x14ac:dyDescent="0.25">
      <c r="A120">
        <v>119</v>
      </c>
      <c r="B120" s="1">
        <v>45300</v>
      </c>
      <c r="C120" t="s">
        <v>93</v>
      </c>
      <c r="D120">
        <v>50</v>
      </c>
      <c r="E120" t="s">
        <v>15</v>
      </c>
      <c r="F120" t="s">
        <v>13</v>
      </c>
      <c r="G120">
        <f>MONTH(cleaned_personal_finance_data4[[#This Row],[date]])</f>
        <v>1</v>
      </c>
      <c r="H120">
        <f>YEAR(cleaned_personal_finance_data4[[#This Row],[date]])</f>
        <v>2024</v>
      </c>
      <c r="I120" t="s">
        <v>319</v>
      </c>
    </row>
    <row r="121" spans="1:9" hidden="1" x14ac:dyDescent="0.25">
      <c r="A121">
        <v>120</v>
      </c>
      <c r="B121" s="1">
        <v>45300</v>
      </c>
      <c r="C121" t="s">
        <v>94</v>
      </c>
      <c r="D121">
        <v>123</v>
      </c>
      <c r="E121" t="s">
        <v>15</v>
      </c>
      <c r="F121" t="s">
        <v>13</v>
      </c>
      <c r="G121">
        <f>MONTH(cleaned_personal_finance_data4[[#This Row],[date]])</f>
        <v>1</v>
      </c>
      <c r="H121">
        <f>YEAR(cleaned_personal_finance_data4[[#This Row],[date]])</f>
        <v>2024</v>
      </c>
      <c r="I121" t="s">
        <v>319</v>
      </c>
    </row>
    <row r="122" spans="1:9" hidden="1" x14ac:dyDescent="0.25">
      <c r="A122">
        <v>121</v>
      </c>
      <c r="B122" s="1">
        <v>45300</v>
      </c>
      <c r="C122" t="s">
        <v>95</v>
      </c>
      <c r="D122">
        <v>173</v>
      </c>
      <c r="E122" t="s">
        <v>12</v>
      </c>
      <c r="F122" t="s">
        <v>21</v>
      </c>
      <c r="G122">
        <f>MONTH(cleaned_personal_finance_data4[[#This Row],[date]])</f>
        <v>1</v>
      </c>
      <c r="H122">
        <f>YEAR(cleaned_personal_finance_data4[[#This Row],[date]])</f>
        <v>2024</v>
      </c>
      <c r="I122" t="s">
        <v>319</v>
      </c>
    </row>
    <row r="123" spans="1:9" hidden="1" x14ac:dyDescent="0.25">
      <c r="A123">
        <v>122</v>
      </c>
      <c r="B123" s="1">
        <v>45300</v>
      </c>
      <c r="C123" t="s">
        <v>95</v>
      </c>
      <c r="D123">
        <v>173</v>
      </c>
      <c r="E123" t="s">
        <v>10</v>
      </c>
      <c r="F123" t="s">
        <v>21</v>
      </c>
      <c r="G123">
        <f>MONTH(cleaned_personal_finance_data4[[#This Row],[date]])</f>
        <v>1</v>
      </c>
      <c r="H123">
        <f>YEAR(cleaned_personal_finance_data4[[#This Row],[date]])</f>
        <v>2024</v>
      </c>
      <c r="I123" t="s">
        <v>319</v>
      </c>
    </row>
    <row r="124" spans="1:9" hidden="1" x14ac:dyDescent="0.25">
      <c r="A124">
        <v>123</v>
      </c>
      <c r="B124" s="1">
        <v>45303</v>
      </c>
      <c r="C124" t="s">
        <v>96</v>
      </c>
      <c r="D124">
        <v>930</v>
      </c>
      <c r="E124" t="s">
        <v>15</v>
      </c>
      <c r="F124" t="s">
        <v>13</v>
      </c>
      <c r="G124">
        <f>MONTH(cleaned_personal_finance_data4[[#This Row],[date]])</f>
        <v>1</v>
      </c>
      <c r="H124">
        <f>YEAR(cleaned_personal_finance_data4[[#This Row],[date]])</f>
        <v>2024</v>
      </c>
      <c r="I124" t="s">
        <v>96</v>
      </c>
    </row>
    <row r="125" spans="1:9" hidden="1" x14ac:dyDescent="0.25">
      <c r="A125">
        <v>124</v>
      </c>
      <c r="B125" s="1">
        <v>45303</v>
      </c>
      <c r="C125" t="s">
        <v>97</v>
      </c>
      <c r="D125">
        <v>1990</v>
      </c>
      <c r="E125" t="s">
        <v>15</v>
      </c>
      <c r="F125" t="s">
        <v>13</v>
      </c>
      <c r="G125">
        <f>MONTH(cleaned_personal_finance_data4[[#This Row],[date]])</f>
        <v>1</v>
      </c>
      <c r="H125">
        <f>YEAR(cleaned_personal_finance_data4[[#This Row],[date]])</f>
        <v>2024</v>
      </c>
      <c r="I125" t="s">
        <v>97</v>
      </c>
    </row>
    <row r="126" spans="1:9" hidden="1" x14ac:dyDescent="0.25">
      <c r="A126">
        <v>125</v>
      </c>
      <c r="B126" s="1">
        <v>45303</v>
      </c>
      <c r="C126" t="s">
        <v>98</v>
      </c>
      <c r="D126">
        <v>695</v>
      </c>
      <c r="E126" t="s">
        <v>15</v>
      </c>
      <c r="F126" t="s">
        <v>13</v>
      </c>
      <c r="G126">
        <f>MONTH(cleaned_personal_finance_data4[[#This Row],[date]])</f>
        <v>1</v>
      </c>
      <c r="H126">
        <f>YEAR(cleaned_personal_finance_data4[[#This Row],[date]])</f>
        <v>2024</v>
      </c>
      <c r="I126" t="s">
        <v>98</v>
      </c>
    </row>
    <row r="127" spans="1:9" hidden="1" x14ac:dyDescent="0.25">
      <c r="A127">
        <v>126</v>
      </c>
      <c r="B127" s="1">
        <v>45303</v>
      </c>
      <c r="C127" t="s">
        <v>99</v>
      </c>
      <c r="D127">
        <v>77</v>
      </c>
      <c r="E127" t="s">
        <v>15</v>
      </c>
      <c r="F127" t="s">
        <v>13</v>
      </c>
      <c r="G127">
        <f>MONTH(cleaned_personal_finance_data4[[#This Row],[date]])</f>
        <v>1</v>
      </c>
      <c r="H127">
        <f>YEAR(cleaned_personal_finance_data4[[#This Row],[date]])</f>
        <v>2024</v>
      </c>
      <c r="I127" t="s">
        <v>99</v>
      </c>
    </row>
    <row r="128" spans="1:9" hidden="1" x14ac:dyDescent="0.25">
      <c r="A128">
        <v>127</v>
      </c>
      <c r="B128" s="1">
        <v>45303</v>
      </c>
      <c r="C128" t="s">
        <v>85</v>
      </c>
      <c r="D128">
        <v>300</v>
      </c>
      <c r="E128" t="s">
        <v>15</v>
      </c>
      <c r="F128" t="s">
        <v>13</v>
      </c>
      <c r="G128">
        <f>MONTH(cleaned_personal_finance_data4[[#This Row],[date]])</f>
        <v>1</v>
      </c>
      <c r="H128">
        <f>YEAR(cleaned_personal_finance_data4[[#This Row],[date]])</f>
        <v>2024</v>
      </c>
      <c r="I128" t="s">
        <v>85</v>
      </c>
    </row>
    <row r="129" spans="1:9" hidden="1" x14ac:dyDescent="0.25">
      <c r="A129">
        <v>128</v>
      </c>
      <c r="B129" s="1">
        <v>45303</v>
      </c>
      <c r="C129" t="s">
        <v>100</v>
      </c>
      <c r="D129">
        <v>10</v>
      </c>
      <c r="E129" t="s">
        <v>15</v>
      </c>
      <c r="F129" t="s">
        <v>13</v>
      </c>
      <c r="G129">
        <f>MONTH(cleaned_personal_finance_data4[[#This Row],[date]])</f>
        <v>1</v>
      </c>
      <c r="H129">
        <f>YEAR(cleaned_personal_finance_data4[[#This Row],[date]])</f>
        <v>2024</v>
      </c>
      <c r="I129" t="s">
        <v>43</v>
      </c>
    </row>
    <row r="130" spans="1:9" hidden="1" x14ac:dyDescent="0.25">
      <c r="A130">
        <v>129</v>
      </c>
      <c r="B130" s="1">
        <v>45303</v>
      </c>
      <c r="C130" t="s">
        <v>101</v>
      </c>
      <c r="D130">
        <v>600</v>
      </c>
      <c r="E130" t="s">
        <v>15</v>
      </c>
      <c r="F130" t="s">
        <v>13</v>
      </c>
      <c r="G130">
        <f>MONTH(cleaned_personal_finance_data4[[#This Row],[date]])</f>
        <v>1</v>
      </c>
      <c r="H130">
        <f>YEAR(cleaned_personal_finance_data4[[#This Row],[date]])</f>
        <v>2024</v>
      </c>
      <c r="I130" t="s">
        <v>43</v>
      </c>
    </row>
    <row r="131" spans="1:9" hidden="1" x14ac:dyDescent="0.25">
      <c r="A131">
        <v>130</v>
      </c>
      <c r="B131" s="1">
        <v>45303</v>
      </c>
      <c r="C131" t="s">
        <v>102</v>
      </c>
      <c r="D131">
        <v>1050</v>
      </c>
      <c r="E131" t="s">
        <v>15</v>
      </c>
      <c r="F131" t="s">
        <v>13</v>
      </c>
      <c r="G131">
        <f>MONTH(cleaned_personal_finance_data4[[#This Row],[date]])</f>
        <v>1</v>
      </c>
      <c r="H131">
        <f>YEAR(cleaned_personal_finance_data4[[#This Row],[date]])</f>
        <v>2024</v>
      </c>
      <c r="I131" t="s">
        <v>159</v>
      </c>
    </row>
    <row r="132" spans="1:9" hidden="1" x14ac:dyDescent="0.25">
      <c r="A132">
        <v>131</v>
      </c>
      <c r="B132" s="1">
        <v>45303</v>
      </c>
      <c r="C132" t="s">
        <v>35</v>
      </c>
      <c r="D132">
        <v>280</v>
      </c>
      <c r="E132" t="s">
        <v>15</v>
      </c>
      <c r="F132" t="s">
        <v>21</v>
      </c>
      <c r="G132">
        <f>MONTH(cleaned_personal_finance_data4[[#This Row],[date]])</f>
        <v>1</v>
      </c>
      <c r="H132">
        <f>YEAR(cleaned_personal_finance_data4[[#This Row],[date]])</f>
        <v>2024</v>
      </c>
      <c r="I132" t="s">
        <v>35</v>
      </c>
    </row>
    <row r="133" spans="1:9" hidden="1" x14ac:dyDescent="0.25">
      <c r="A133">
        <v>132</v>
      </c>
      <c r="B133" s="1">
        <v>45305</v>
      </c>
      <c r="C133" t="s">
        <v>103</v>
      </c>
      <c r="D133">
        <v>260</v>
      </c>
      <c r="E133" t="s">
        <v>15</v>
      </c>
      <c r="F133" t="s">
        <v>13</v>
      </c>
      <c r="G133">
        <f>MONTH(cleaned_personal_finance_data4[[#This Row],[date]])</f>
        <v>1</v>
      </c>
      <c r="H133">
        <f>YEAR(cleaned_personal_finance_data4[[#This Row],[date]])</f>
        <v>2024</v>
      </c>
      <c r="I133" t="s">
        <v>329</v>
      </c>
    </row>
    <row r="134" spans="1:9" x14ac:dyDescent="0.25">
      <c r="A134">
        <v>133</v>
      </c>
      <c r="B134" s="1">
        <v>45305</v>
      </c>
      <c r="C134" t="s">
        <v>6</v>
      </c>
      <c r="D134">
        <v>12732</v>
      </c>
      <c r="E134" t="s">
        <v>7</v>
      </c>
      <c r="F134" t="s">
        <v>8</v>
      </c>
      <c r="G134">
        <f>MONTH(cleaned_personal_finance_data4[[#This Row],[date]])</f>
        <v>1</v>
      </c>
      <c r="H134">
        <f>YEAR(cleaned_personal_finance_data4[[#This Row],[date]])</f>
        <v>2024</v>
      </c>
      <c r="I134" t="s">
        <v>318</v>
      </c>
    </row>
    <row r="135" spans="1:9" hidden="1" x14ac:dyDescent="0.25">
      <c r="A135">
        <v>134</v>
      </c>
      <c r="B135" s="1">
        <v>45306</v>
      </c>
      <c r="C135" t="s">
        <v>104</v>
      </c>
      <c r="D135">
        <v>300</v>
      </c>
      <c r="E135" t="s">
        <v>15</v>
      </c>
      <c r="F135" t="s">
        <v>13</v>
      </c>
      <c r="G135">
        <f>MONTH(cleaned_personal_finance_data4[[#This Row],[date]])</f>
        <v>1</v>
      </c>
      <c r="H135">
        <f>YEAR(cleaned_personal_finance_data4[[#This Row],[date]])</f>
        <v>2024</v>
      </c>
      <c r="I135" t="s">
        <v>104</v>
      </c>
    </row>
    <row r="136" spans="1:9" hidden="1" x14ac:dyDescent="0.25">
      <c r="A136">
        <v>135</v>
      </c>
      <c r="B136" s="1">
        <v>45306</v>
      </c>
      <c r="C136" t="s">
        <v>28</v>
      </c>
      <c r="D136">
        <v>125</v>
      </c>
      <c r="E136" t="s">
        <v>15</v>
      </c>
      <c r="F136" t="s">
        <v>21</v>
      </c>
      <c r="G136">
        <f>MONTH(cleaned_personal_finance_data4[[#This Row],[date]])</f>
        <v>1</v>
      </c>
      <c r="H136">
        <f>YEAR(cleaned_personal_finance_data4[[#This Row],[date]])</f>
        <v>2024</v>
      </c>
      <c r="I136" t="s">
        <v>28</v>
      </c>
    </row>
    <row r="137" spans="1:9" hidden="1" x14ac:dyDescent="0.25">
      <c r="A137">
        <v>136</v>
      </c>
      <c r="B137" s="1">
        <v>45308</v>
      </c>
      <c r="C137" t="s">
        <v>87</v>
      </c>
      <c r="D137">
        <v>200</v>
      </c>
      <c r="E137" t="s">
        <v>15</v>
      </c>
      <c r="F137" t="s">
        <v>13</v>
      </c>
      <c r="G137">
        <f>MONTH(cleaned_personal_finance_data4[[#This Row],[date]])</f>
        <v>1</v>
      </c>
      <c r="H137">
        <f>YEAR(cleaned_personal_finance_data4[[#This Row],[date]])</f>
        <v>2024</v>
      </c>
      <c r="I137" t="s">
        <v>87</v>
      </c>
    </row>
    <row r="138" spans="1:9" hidden="1" x14ac:dyDescent="0.25">
      <c r="A138">
        <v>137</v>
      </c>
      <c r="B138" s="1">
        <v>45309</v>
      </c>
      <c r="C138" t="s">
        <v>28</v>
      </c>
      <c r="D138">
        <v>125</v>
      </c>
      <c r="E138" t="s">
        <v>15</v>
      </c>
      <c r="F138" t="s">
        <v>21</v>
      </c>
      <c r="G138">
        <f>MONTH(cleaned_personal_finance_data4[[#This Row],[date]])</f>
        <v>1</v>
      </c>
      <c r="H138">
        <f>YEAR(cleaned_personal_finance_data4[[#This Row],[date]])</f>
        <v>2024</v>
      </c>
      <c r="I138" t="s">
        <v>28</v>
      </c>
    </row>
    <row r="139" spans="1:9" hidden="1" x14ac:dyDescent="0.25">
      <c r="A139">
        <v>138</v>
      </c>
      <c r="B139" s="1">
        <v>45310</v>
      </c>
      <c r="C139" t="s">
        <v>28</v>
      </c>
      <c r="D139">
        <v>125</v>
      </c>
      <c r="E139" t="s">
        <v>15</v>
      </c>
      <c r="F139" t="s">
        <v>21</v>
      </c>
      <c r="G139">
        <f>MONTH(cleaned_personal_finance_data4[[#This Row],[date]])</f>
        <v>1</v>
      </c>
      <c r="H139">
        <f>YEAR(cleaned_personal_finance_data4[[#This Row],[date]])</f>
        <v>2024</v>
      </c>
      <c r="I139" t="s">
        <v>28</v>
      </c>
    </row>
    <row r="140" spans="1:9" hidden="1" x14ac:dyDescent="0.25">
      <c r="A140">
        <v>139</v>
      </c>
      <c r="B140" s="1">
        <v>45311</v>
      </c>
      <c r="C140" t="s">
        <v>28</v>
      </c>
      <c r="D140">
        <v>125</v>
      </c>
      <c r="E140" t="s">
        <v>15</v>
      </c>
      <c r="F140" t="s">
        <v>21</v>
      </c>
      <c r="G140">
        <f>MONTH(cleaned_personal_finance_data4[[#This Row],[date]])</f>
        <v>1</v>
      </c>
      <c r="H140">
        <f>YEAR(cleaned_personal_finance_data4[[#This Row],[date]])</f>
        <v>2024</v>
      </c>
      <c r="I140" t="s">
        <v>28</v>
      </c>
    </row>
    <row r="141" spans="1:9" hidden="1" x14ac:dyDescent="0.25">
      <c r="A141">
        <v>140</v>
      </c>
      <c r="B141" s="1">
        <v>45312</v>
      </c>
      <c r="C141" t="s">
        <v>28</v>
      </c>
      <c r="D141">
        <v>125</v>
      </c>
      <c r="E141" t="s">
        <v>15</v>
      </c>
      <c r="F141" t="s">
        <v>21</v>
      </c>
      <c r="G141">
        <f>MONTH(cleaned_personal_finance_data4[[#This Row],[date]])</f>
        <v>1</v>
      </c>
      <c r="H141">
        <f>YEAR(cleaned_personal_finance_data4[[#This Row],[date]])</f>
        <v>2024</v>
      </c>
      <c r="I141" t="s">
        <v>28</v>
      </c>
    </row>
    <row r="142" spans="1:9" hidden="1" x14ac:dyDescent="0.25">
      <c r="A142">
        <v>141</v>
      </c>
      <c r="B142" s="1">
        <v>45313</v>
      </c>
      <c r="C142" t="s">
        <v>34</v>
      </c>
      <c r="D142">
        <v>129</v>
      </c>
      <c r="E142" t="s">
        <v>15</v>
      </c>
      <c r="F142" t="s">
        <v>21</v>
      </c>
      <c r="G142">
        <f>MONTH(cleaned_personal_finance_data4[[#This Row],[date]])</f>
        <v>1</v>
      </c>
      <c r="H142">
        <f>YEAR(cleaned_personal_finance_data4[[#This Row],[date]])</f>
        <v>2024</v>
      </c>
      <c r="I142" t="s">
        <v>34</v>
      </c>
    </row>
    <row r="143" spans="1:9" hidden="1" x14ac:dyDescent="0.25">
      <c r="A143">
        <v>142</v>
      </c>
      <c r="B143" s="1">
        <v>45313</v>
      </c>
      <c r="C143" t="s">
        <v>105</v>
      </c>
      <c r="D143">
        <v>50</v>
      </c>
      <c r="E143" t="s">
        <v>15</v>
      </c>
      <c r="F143" t="s">
        <v>13</v>
      </c>
      <c r="G143">
        <f>MONTH(cleaned_personal_finance_data4[[#This Row],[date]])</f>
        <v>1</v>
      </c>
      <c r="H143">
        <f>YEAR(cleaned_personal_finance_data4[[#This Row],[date]])</f>
        <v>2024</v>
      </c>
      <c r="I143" t="s">
        <v>105</v>
      </c>
    </row>
    <row r="144" spans="1:9" hidden="1" x14ac:dyDescent="0.25">
      <c r="A144">
        <v>143</v>
      </c>
      <c r="B144" s="1">
        <v>45315</v>
      </c>
      <c r="C144" t="s">
        <v>28</v>
      </c>
      <c r="D144">
        <v>125</v>
      </c>
      <c r="E144" t="s">
        <v>15</v>
      </c>
      <c r="F144" t="s">
        <v>21</v>
      </c>
      <c r="G144">
        <f>MONTH(cleaned_personal_finance_data4[[#This Row],[date]])</f>
        <v>1</v>
      </c>
      <c r="H144">
        <f>YEAR(cleaned_personal_finance_data4[[#This Row],[date]])</f>
        <v>2024</v>
      </c>
      <c r="I144" t="s">
        <v>28</v>
      </c>
    </row>
    <row r="145" spans="1:9" hidden="1" x14ac:dyDescent="0.25">
      <c r="A145">
        <v>144</v>
      </c>
      <c r="B145" s="1">
        <v>45315</v>
      </c>
      <c r="C145" t="s">
        <v>28</v>
      </c>
      <c r="D145">
        <v>25</v>
      </c>
      <c r="E145" t="s">
        <v>15</v>
      </c>
      <c r="F145" t="s">
        <v>21</v>
      </c>
      <c r="G145">
        <f>MONTH(cleaned_personal_finance_data4[[#This Row],[date]])</f>
        <v>1</v>
      </c>
      <c r="H145">
        <f>YEAR(cleaned_personal_finance_data4[[#This Row],[date]])</f>
        <v>2024</v>
      </c>
      <c r="I145" t="s">
        <v>28</v>
      </c>
    </row>
    <row r="146" spans="1:9" hidden="1" x14ac:dyDescent="0.25">
      <c r="A146">
        <v>145</v>
      </c>
      <c r="B146" s="1">
        <v>45316</v>
      </c>
      <c r="C146" t="s">
        <v>28</v>
      </c>
      <c r="D146">
        <v>125</v>
      </c>
      <c r="E146" t="s">
        <v>15</v>
      </c>
      <c r="F146" t="s">
        <v>21</v>
      </c>
      <c r="G146">
        <f>MONTH(cleaned_personal_finance_data4[[#This Row],[date]])</f>
        <v>1</v>
      </c>
      <c r="H146">
        <f>YEAR(cleaned_personal_finance_data4[[#This Row],[date]])</f>
        <v>2024</v>
      </c>
      <c r="I146" t="s">
        <v>28</v>
      </c>
    </row>
    <row r="147" spans="1:9" x14ac:dyDescent="0.25">
      <c r="A147">
        <v>146</v>
      </c>
      <c r="B147" s="1">
        <v>45319</v>
      </c>
      <c r="C147" t="s">
        <v>6</v>
      </c>
      <c r="D147">
        <v>12734</v>
      </c>
      <c r="E147" t="s">
        <v>7</v>
      </c>
      <c r="F147" t="s">
        <v>8</v>
      </c>
      <c r="G147">
        <f>MONTH(cleaned_personal_finance_data4[[#This Row],[date]])</f>
        <v>1</v>
      </c>
      <c r="H147">
        <f>YEAR(cleaned_personal_finance_data4[[#This Row],[date]])</f>
        <v>2024</v>
      </c>
      <c r="I147" t="s">
        <v>318</v>
      </c>
    </row>
    <row r="148" spans="1:9" hidden="1" x14ac:dyDescent="0.25">
      <c r="A148">
        <v>147</v>
      </c>
      <c r="B148" s="1">
        <v>45320</v>
      </c>
      <c r="C148" t="s">
        <v>51</v>
      </c>
      <c r="D148">
        <v>30</v>
      </c>
      <c r="E148" t="s">
        <v>15</v>
      </c>
      <c r="F148" t="s">
        <v>13</v>
      </c>
      <c r="G148">
        <f>MONTH(cleaned_personal_finance_data4[[#This Row],[date]])</f>
        <v>1</v>
      </c>
      <c r="H148">
        <f>YEAR(cleaned_personal_finance_data4[[#This Row],[date]])</f>
        <v>2024</v>
      </c>
      <c r="I148" t="s">
        <v>43</v>
      </c>
    </row>
    <row r="149" spans="1:9" hidden="1" x14ac:dyDescent="0.25">
      <c r="A149">
        <v>148</v>
      </c>
      <c r="B149" s="1">
        <v>45320</v>
      </c>
      <c r="C149" t="s">
        <v>54</v>
      </c>
      <c r="D149">
        <v>45</v>
      </c>
      <c r="E149" t="s">
        <v>15</v>
      </c>
      <c r="F149" t="s">
        <v>13</v>
      </c>
      <c r="G149">
        <f>MONTH(cleaned_personal_finance_data4[[#This Row],[date]])</f>
        <v>1</v>
      </c>
      <c r="H149">
        <f>YEAR(cleaned_personal_finance_data4[[#This Row],[date]])</f>
        <v>2024</v>
      </c>
      <c r="I149" t="s">
        <v>54</v>
      </c>
    </row>
    <row r="150" spans="1:9" hidden="1" x14ac:dyDescent="0.25">
      <c r="A150">
        <v>149</v>
      </c>
      <c r="B150" s="1">
        <v>45320</v>
      </c>
      <c r="C150" t="s">
        <v>106</v>
      </c>
      <c r="D150">
        <v>85</v>
      </c>
      <c r="E150" t="s">
        <v>15</v>
      </c>
      <c r="F150" t="s">
        <v>13</v>
      </c>
      <c r="G150">
        <f>MONTH(cleaned_personal_finance_data4[[#This Row],[date]])</f>
        <v>1</v>
      </c>
      <c r="H150">
        <f>YEAR(cleaned_personal_finance_data4[[#This Row],[date]])</f>
        <v>2024</v>
      </c>
      <c r="I150" t="s">
        <v>106</v>
      </c>
    </row>
    <row r="151" spans="1:9" hidden="1" x14ac:dyDescent="0.25">
      <c r="A151">
        <v>150</v>
      </c>
      <c r="B151" s="1">
        <v>45320</v>
      </c>
      <c r="C151" t="s">
        <v>107</v>
      </c>
      <c r="D151">
        <v>35</v>
      </c>
      <c r="E151" t="s">
        <v>15</v>
      </c>
      <c r="F151" t="s">
        <v>13</v>
      </c>
      <c r="G151">
        <f>MONTH(cleaned_personal_finance_data4[[#This Row],[date]])</f>
        <v>1</v>
      </c>
      <c r="H151">
        <f>YEAR(cleaned_personal_finance_data4[[#This Row],[date]])</f>
        <v>2024</v>
      </c>
      <c r="I151" t="s">
        <v>107</v>
      </c>
    </row>
    <row r="152" spans="1:9" hidden="1" x14ac:dyDescent="0.25">
      <c r="A152">
        <v>151</v>
      </c>
      <c r="B152" s="1">
        <v>45320</v>
      </c>
      <c r="C152" t="s">
        <v>76</v>
      </c>
      <c r="D152">
        <v>30</v>
      </c>
      <c r="E152" t="s">
        <v>15</v>
      </c>
      <c r="F152" t="s">
        <v>13</v>
      </c>
      <c r="G152">
        <f>MONTH(cleaned_personal_finance_data4[[#This Row],[date]])</f>
        <v>1</v>
      </c>
      <c r="H152">
        <f>YEAR(cleaned_personal_finance_data4[[#This Row],[date]])</f>
        <v>2024</v>
      </c>
      <c r="I152" t="s">
        <v>43</v>
      </c>
    </row>
    <row r="153" spans="1:9" hidden="1" x14ac:dyDescent="0.25">
      <c r="A153">
        <v>152</v>
      </c>
      <c r="B153" s="1">
        <v>45321</v>
      </c>
      <c r="C153" t="s">
        <v>51</v>
      </c>
      <c r="D153">
        <v>30</v>
      </c>
      <c r="E153" t="s">
        <v>15</v>
      </c>
      <c r="F153" t="s">
        <v>13</v>
      </c>
      <c r="G153">
        <f>MONTH(cleaned_personal_finance_data4[[#This Row],[date]])</f>
        <v>1</v>
      </c>
      <c r="H153">
        <f>YEAR(cleaned_personal_finance_data4[[#This Row],[date]])</f>
        <v>2024</v>
      </c>
      <c r="I153" t="s">
        <v>43</v>
      </c>
    </row>
    <row r="154" spans="1:9" hidden="1" x14ac:dyDescent="0.25">
      <c r="A154">
        <v>153</v>
      </c>
      <c r="B154" s="1">
        <v>45321</v>
      </c>
      <c r="C154" t="s">
        <v>54</v>
      </c>
      <c r="D154">
        <v>45</v>
      </c>
      <c r="E154" t="s">
        <v>15</v>
      </c>
      <c r="F154" t="s">
        <v>13</v>
      </c>
      <c r="G154">
        <f>MONTH(cleaned_personal_finance_data4[[#This Row],[date]])</f>
        <v>1</v>
      </c>
      <c r="H154">
        <f>YEAR(cleaned_personal_finance_data4[[#This Row],[date]])</f>
        <v>2024</v>
      </c>
      <c r="I154" t="s">
        <v>54</v>
      </c>
    </row>
    <row r="155" spans="1:9" hidden="1" x14ac:dyDescent="0.25">
      <c r="A155">
        <v>154</v>
      </c>
      <c r="B155" s="1">
        <v>45321</v>
      </c>
      <c r="C155" t="s">
        <v>108</v>
      </c>
      <c r="D155">
        <v>15</v>
      </c>
      <c r="E155" t="s">
        <v>15</v>
      </c>
      <c r="F155" t="s">
        <v>13</v>
      </c>
      <c r="G155">
        <f>MONTH(cleaned_personal_finance_data4[[#This Row],[date]])</f>
        <v>1</v>
      </c>
      <c r="H155">
        <f>YEAR(cleaned_personal_finance_data4[[#This Row],[date]])</f>
        <v>2024</v>
      </c>
      <c r="I155" t="s">
        <v>43</v>
      </c>
    </row>
    <row r="156" spans="1:9" hidden="1" x14ac:dyDescent="0.25">
      <c r="A156">
        <v>155</v>
      </c>
      <c r="B156" s="1">
        <v>45321</v>
      </c>
      <c r="C156" t="s">
        <v>106</v>
      </c>
      <c r="D156">
        <v>58</v>
      </c>
      <c r="E156" t="s">
        <v>15</v>
      </c>
      <c r="F156" t="s">
        <v>13</v>
      </c>
      <c r="G156">
        <f>MONTH(cleaned_personal_finance_data4[[#This Row],[date]])</f>
        <v>1</v>
      </c>
      <c r="H156">
        <f>YEAR(cleaned_personal_finance_data4[[#This Row],[date]])</f>
        <v>2024</v>
      </c>
      <c r="I156" t="s">
        <v>106</v>
      </c>
    </row>
    <row r="157" spans="1:9" hidden="1" x14ac:dyDescent="0.25">
      <c r="A157">
        <v>156</v>
      </c>
      <c r="B157" s="1">
        <v>45321</v>
      </c>
      <c r="C157" t="s">
        <v>29</v>
      </c>
      <c r="D157">
        <v>15</v>
      </c>
      <c r="E157" t="s">
        <v>15</v>
      </c>
      <c r="F157" t="s">
        <v>13</v>
      </c>
      <c r="G157">
        <f>MONTH(cleaned_personal_finance_data4[[#This Row],[date]])</f>
        <v>1</v>
      </c>
      <c r="H157">
        <f>YEAR(cleaned_personal_finance_data4[[#This Row],[date]])</f>
        <v>2024</v>
      </c>
      <c r="I157" t="s">
        <v>29</v>
      </c>
    </row>
    <row r="158" spans="1:9" hidden="1" x14ac:dyDescent="0.25">
      <c r="A158">
        <v>157</v>
      </c>
      <c r="B158" s="1">
        <v>45321</v>
      </c>
      <c r="C158" t="s">
        <v>107</v>
      </c>
      <c r="D158">
        <v>20</v>
      </c>
      <c r="E158" t="s">
        <v>15</v>
      </c>
      <c r="F158" t="s">
        <v>13</v>
      </c>
      <c r="G158">
        <f>MONTH(cleaned_personal_finance_data4[[#This Row],[date]])</f>
        <v>1</v>
      </c>
      <c r="H158">
        <f>YEAR(cleaned_personal_finance_data4[[#This Row],[date]])</f>
        <v>2024</v>
      </c>
      <c r="I158" t="s">
        <v>107</v>
      </c>
    </row>
    <row r="159" spans="1:9" hidden="1" x14ac:dyDescent="0.25">
      <c r="A159">
        <v>158</v>
      </c>
      <c r="B159" s="1">
        <v>45321</v>
      </c>
      <c r="C159" t="s">
        <v>109</v>
      </c>
      <c r="D159">
        <v>30</v>
      </c>
      <c r="E159" t="s">
        <v>15</v>
      </c>
      <c r="F159" t="s">
        <v>13</v>
      </c>
      <c r="G159">
        <f>MONTH(cleaned_personal_finance_data4[[#This Row],[date]])</f>
        <v>1</v>
      </c>
      <c r="H159">
        <f>YEAR(cleaned_personal_finance_data4[[#This Row],[date]])</f>
        <v>2024</v>
      </c>
      <c r="I159" t="s">
        <v>43</v>
      </c>
    </row>
    <row r="160" spans="1:9" hidden="1" x14ac:dyDescent="0.25">
      <c r="A160">
        <v>159</v>
      </c>
      <c r="B160" s="1">
        <v>45322</v>
      </c>
      <c r="C160" t="s">
        <v>29</v>
      </c>
      <c r="D160">
        <v>25</v>
      </c>
      <c r="E160" t="s">
        <v>15</v>
      </c>
      <c r="F160" t="s">
        <v>13</v>
      </c>
      <c r="G160">
        <f>MONTH(cleaned_personal_finance_data4[[#This Row],[date]])</f>
        <v>1</v>
      </c>
      <c r="H160">
        <f>YEAR(cleaned_personal_finance_data4[[#This Row],[date]])</f>
        <v>2024</v>
      </c>
      <c r="I160" t="s">
        <v>29</v>
      </c>
    </row>
    <row r="161" spans="1:9" hidden="1" x14ac:dyDescent="0.25">
      <c r="A161">
        <v>160</v>
      </c>
      <c r="B161" s="1">
        <v>45322</v>
      </c>
      <c r="C161" t="s">
        <v>28</v>
      </c>
      <c r="D161">
        <v>125</v>
      </c>
      <c r="E161" t="s">
        <v>15</v>
      </c>
      <c r="F161" t="s">
        <v>21</v>
      </c>
      <c r="G161">
        <f>MONTH(cleaned_personal_finance_data4[[#This Row],[date]])</f>
        <v>1</v>
      </c>
      <c r="H161">
        <f>YEAR(cleaned_personal_finance_data4[[#This Row],[date]])</f>
        <v>2024</v>
      </c>
      <c r="I161" t="s">
        <v>28</v>
      </c>
    </row>
    <row r="162" spans="1:9" hidden="1" x14ac:dyDescent="0.25">
      <c r="A162">
        <v>161</v>
      </c>
      <c r="B162" s="1">
        <v>45323</v>
      </c>
      <c r="C162" t="s">
        <v>28</v>
      </c>
      <c r="D162">
        <v>125</v>
      </c>
      <c r="E162" t="s">
        <v>15</v>
      </c>
      <c r="F162" t="s">
        <v>21</v>
      </c>
      <c r="G162">
        <f>MONTH(cleaned_personal_finance_data4[[#This Row],[date]])</f>
        <v>2</v>
      </c>
      <c r="H162">
        <f>YEAR(cleaned_personal_finance_data4[[#This Row],[date]])</f>
        <v>2024</v>
      </c>
      <c r="I162" t="s">
        <v>28</v>
      </c>
    </row>
    <row r="163" spans="1:9" hidden="1" x14ac:dyDescent="0.25">
      <c r="A163">
        <v>162</v>
      </c>
      <c r="B163" s="1">
        <v>45323</v>
      </c>
      <c r="C163" t="s">
        <v>50</v>
      </c>
      <c r="D163">
        <v>599</v>
      </c>
      <c r="E163" t="s">
        <v>15</v>
      </c>
      <c r="F163" t="s">
        <v>21</v>
      </c>
      <c r="G163">
        <f>MONTH(cleaned_personal_finance_data4[[#This Row],[date]])</f>
        <v>2</v>
      </c>
      <c r="H163">
        <f>YEAR(cleaned_personal_finance_data4[[#This Row],[date]])</f>
        <v>2024</v>
      </c>
      <c r="I163" t="s">
        <v>50</v>
      </c>
    </row>
    <row r="164" spans="1:9" hidden="1" x14ac:dyDescent="0.25">
      <c r="A164">
        <v>163</v>
      </c>
      <c r="B164" s="1">
        <v>45323</v>
      </c>
      <c r="C164" t="s">
        <v>28</v>
      </c>
      <c r="D164">
        <v>50</v>
      </c>
      <c r="E164" t="s">
        <v>15</v>
      </c>
      <c r="F164" t="s">
        <v>21</v>
      </c>
      <c r="G164">
        <f>MONTH(cleaned_personal_finance_data4[[#This Row],[date]])</f>
        <v>2</v>
      </c>
      <c r="H164">
        <f>YEAR(cleaned_personal_finance_data4[[#This Row],[date]])</f>
        <v>2024</v>
      </c>
      <c r="I164" t="s">
        <v>28</v>
      </c>
    </row>
    <row r="165" spans="1:9" hidden="1" x14ac:dyDescent="0.25">
      <c r="A165">
        <v>164</v>
      </c>
      <c r="B165" s="1">
        <v>45323</v>
      </c>
      <c r="C165" t="s">
        <v>28</v>
      </c>
      <c r="D165">
        <v>50</v>
      </c>
      <c r="E165" t="s">
        <v>15</v>
      </c>
      <c r="F165" t="s">
        <v>21</v>
      </c>
      <c r="G165">
        <f>MONTH(cleaned_personal_finance_data4[[#This Row],[date]])</f>
        <v>2</v>
      </c>
      <c r="H165">
        <f>YEAR(cleaned_personal_finance_data4[[#This Row],[date]])</f>
        <v>2024</v>
      </c>
      <c r="I165" t="s">
        <v>28</v>
      </c>
    </row>
    <row r="166" spans="1:9" hidden="1" x14ac:dyDescent="0.25">
      <c r="A166">
        <v>165</v>
      </c>
      <c r="B166" s="1">
        <v>45325</v>
      </c>
      <c r="C166" t="s">
        <v>51</v>
      </c>
      <c r="D166">
        <v>30</v>
      </c>
      <c r="E166" t="s">
        <v>15</v>
      </c>
      <c r="F166" t="s">
        <v>13</v>
      </c>
      <c r="G166">
        <f>MONTH(cleaned_personal_finance_data4[[#This Row],[date]])</f>
        <v>2</v>
      </c>
      <c r="H166">
        <f>YEAR(cleaned_personal_finance_data4[[#This Row],[date]])</f>
        <v>2024</v>
      </c>
      <c r="I166" t="s">
        <v>43</v>
      </c>
    </row>
    <row r="167" spans="1:9" hidden="1" x14ac:dyDescent="0.25">
      <c r="A167">
        <v>166</v>
      </c>
      <c r="B167" s="1">
        <v>45325</v>
      </c>
      <c r="C167" t="s">
        <v>54</v>
      </c>
      <c r="D167">
        <v>45</v>
      </c>
      <c r="E167" t="s">
        <v>15</v>
      </c>
      <c r="F167" t="s">
        <v>13</v>
      </c>
      <c r="G167">
        <f>MONTH(cleaned_personal_finance_data4[[#This Row],[date]])</f>
        <v>2</v>
      </c>
      <c r="H167">
        <f>YEAR(cleaned_personal_finance_data4[[#This Row],[date]])</f>
        <v>2024</v>
      </c>
      <c r="I167" t="s">
        <v>54</v>
      </c>
    </row>
    <row r="168" spans="1:9" hidden="1" x14ac:dyDescent="0.25">
      <c r="A168">
        <v>167</v>
      </c>
      <c r="B168" s="1">
        <v>45325</v>
      </c>
      <c r="C168" t="s">
        <v>66</v>
      </c>
      <c r="D168">
        <v>10</v>
      </c>
      <c r="E168" t="s">
        <v>15</v>
      </c>
      <c r="F168" t="s">
        <v>13</v>
      </c>
      <c r="G168">
        <f>MONTH(cleaned_personal_finance_data4[[#This Row],[date]])</f>
        <v>2</v>
      </c>
      <c r="H168">
        <f>YEAR(cleaned_personal_finance_data4[[#This Row],[date]])</f>
        <v>2024</v>
      </c>
      <c r="I168" t="s">
        <v>66</v>
      </c>
    </row>
    <row r="169" spans="1:9" hidden="1" x14ac:dyDescent="0.25">
      <c r="A169">
        <v>168</v>
      </c>
      <c r="B169" s="1">
        <v>45325</v>
      </c>
      <c r="C169" t="s">
        <v>106</v>
      </c>
      <c r="D169">
        <v>40</v>
      </c>
      <c r="E169" t="s">
        <v>15</v>
      </c>
      <c r="F169" t="s">
        <v>13</v>
      </c>
      <c r="G169">
        <f>MONTH(cleaned_personal_finance_data4[[#This Row],[date]])</f>
        <v>2</v>
      </c>
      <c r="H169">
        <f>YEAR(cleaned_personal_finance_data4[[#This Row],[date]])</f>
        <v>2024</v>
      </c>
      <c r="I169" t="s">
        <v>106</v>
      </c>
    </row>
    <row r="170" spans="1:9" hidden="1" x14ac:dyDescent="0.25">
      <c r="A170">
        <v>169</v>
      </c>
      <c r="B170" s="1">
        <v>45325</v>
      </c>
      <c r="C170" t="s">
        <v>76</v>
      </c>
      <c r="D170">
        <v>50</v>
      </c>
      <c r="E170" t="s">
        <v>15</v>
      </c>
      <c r="F170" t="s">
        <v>13</v>
      </c>
      <c r="G170">
        <f>MONTH(cleaned_personal_finance_data4[[#This Row],[date]])</f>
        <v>2</v>
      </c>
      <c r="H170">
        <f>YEAR(cleaned_personal_finance_data4[[#This Row],[date]])</f>
        <v>2024</v>
      </c>
      <c r="I170" t="s">
        <v>43</v>
      </c>
    </row>
    <row r="171" spans="1:9" hidden="1" x14ac:dyDescent="0.25">
      <c r="A171">
        <v>170</v>
      </c>
      <c r="B171" s="1">
        <v>45325</v>
      </c>
      <c r="C171" t="s">
        <v>78</v>
      </c>
      <c r="D171">
        <v>200</v>
      </c>
      <c r="E171" t="s">
        <v>15</v>
      </c>
      <c r="F171" t="s">
        <v>13</v>
      </c>
      <c r="G171">
        <f>MONTH(cleaned_personal_finance_data4[[#This Row],[date]])</f>
        <v>2</v>
      </c>
      <c r="H171">
        <f>YEAR(cleaned_personal_finance_data4[[#This Row],[date]])</f>
        <v>2024</v>
      </c>
      <c r="I171" t="s">
        <v>78</v>
      </c>
    </row>
    <row r="172" spans="1:9" hidden="1" x14ac:dyDescent="0.25">
      <c r="A172">
        <v>171</v>
      </c>
      <c r="B172" s="1">
        <v>45328</v>
      </c>
      <c r="C172" t="s">
        <v>38</v>
      </c>
      <c r="D172">
        <v>1500</v>
      </c>
      <c r="E172" t="s">
        <v>15</v>
      </c>
      <c r="F172" t="s">
        <v>13</v>
      </c>
      <c r="G172">
        <f>MONTH(cleaned_personal_finance_data4[[#This Row],[date]])</f>
        <v>2</v>
      </c>
      <c r="H172">
        <f>YEAR(cleaned_personal_finance_data4[[#This Row],[date]])</f>
        <v>2024</v>
      </c>
      <c r="I172" t="s">
        <v>38</v>
      </c>
    </row>
    <row r="173" spans="1:9" hidden="1" x14ac:dyDescent="0.25">
      <c r="A173">
        <v>172</v>
      </c>
      <c r="B173" s="1">
        <v>45329</v>
      </c>
      <c r="C173" t="s">
        <v>51</v>
      </c>
      <c r="D173">
        <v>30</v>
      </c>
      <c r="E173" t="s">
        <v>15</v>
      </c>
      <c r="F173" t="s">
        <v>13</v>
      </c>
      <c r="G173">
        <f>MONTH(cleaned_personal_finance_data4[[#This Row],[date]])</f>
        <v>2</v>
      </c>
      <c r="H173">
        <f>YEAR(cleaned_personal_finance_data4[[#This Row],[date]])</f>
        <v>2024</v>
      </c>
      <c r="I173" t="s">
        <v>43</v>
      </c>
    </row>
    <row r="174" spans="1:9" hidden="1" x14ac:dyDescent="0.25">
      <c r="A174">
        <v>173</v>
      </c>
      <c r="B174" s="1">
        <v>45329</v>
      </c>
      <c r="C174" t="s">
        <v>54</v>
      </c>
      <c r="D174">
        <v>45</v>
      </c>
      <c r="E174" t="s">
        <v>15</v>
      </c>
      <c r="F174" t="s">
        <v>13</v>
      </c>
      <c r="G174">
        <f>MONTH(cleaned_personal_finance_data4[[#This Row],[date]])</f>
        <v>2</v>
      </c>
      <c r="H174">
        <f>YEAR(cleaned_personal_finance_data4[[#This Row],[date]])</f>
        <v>2024</v>
      </c>
      <c r="I174" t="s">
        <v>54</v>
      </c>
    </row>
    <row r="175" spans="1:9" hidden="1" x14ac:dyDescent="0.25">
      <c r="A175">
        <v>174</v>
      </c>
      <c r="B175" s="1">
        <v>45329</v>
      </c>
      <c r="C175" t="s">
        <v>110</v>
      </c>
      <c r="D175">
        <v>120</v>
      </c>
      <c r="E175" t="s">
        <v>15</v>
      </c>
      <c r="F175" t="s">
        <v>13</v>
      </c>
      <c r="G175">
        <f>MONTH(cleaned_personal_finance_data4[[#This Row],[date]])</f>
        <v>2</v>
      </c>
      <c r="H175">
        <f>YEAR(cleaned_personal_finance_data4[[#This Row],[date]])</f>
        <v>2024</v>
      </c>
      <c r="I175" t="s">
        <v>43</v>
      </c>
    </row>
    <row r="176" spans="1:9" hidden="1" x14ac:dyDescent="0.25">
      <c r="A176">
        <v>175</v>
      </c>
      <c r="B176" s="1">
        <v>45329</v>
      </c>
      <c r="C176" t="s">
        <v>111</v>
      </c>
      <c r="D176">
        <v>1099</v>
      </c>
      <c r="E176" t="s">
        <v>15</v>
      </c>
      <c r="F176" t="s">
        <v>8</v>
      </c>
      <c r="G176">
        <f>MONTH(cleaned_personal_finance_data4[[#This Row],[date]])</f>
        <v>2</v>
      </c>
      <c r="H176">
        <f>YEAR(cleaned_personal_finance_data4[[#This Row],[date]])</f>
        <v>2024</v>
      </c>
      <c r="I176" t="s">
        <v>111</v>
      </c>
    </row>
    <row r="177" spans="1:9" hidden="1" x14ac:dyDescent="0.25">
      <c r="A177">
        <v>176</v>
      </c>
      <c r="B177" s="1">
        <v>45329</v>
      </c>
      <c r="C177" t="s">
        <v>112</v>
      </c>
      <c r="D177">
        <v>837</v>
      </c>
      <c r="E177" t="s">
        <v>15</v>
      </c>
      <c r="F177" t="s">
        <v>8</v>
      </c>
      <c r="G177">
        <f>MONTH(cleaned_personal_finance_data4[[#This Row],[date]])</f>
        <v>2</v>
      </c>
      <c r="H177">
        <f>YEAR(cleaned_personal_finance_data4[[#This Row],[date]])</f>
        <v>2024</v>
      </c>
      <c r="I177" t="s">
        <v>269</v>
      </c>
    </row>
    <row r="178" spans="1:9" hidden="1" x14ac:dyDescent="0.25">
      <c r="A178">
        <v>177</v>
      </c>
      <c r="B178" s="1">
        <v>45329</v>
      </c>
      <c r="C178" t="s">
        <v>113</v>
      </c>
      <c r="D178">
        <v>75</v>
      </c>
      <c r="E178" t="s">
        <v>15</v>
      </c>
      <c r="F178" t="s">
        <v>13</v>
      </c>
      <c r="G178">
        <f>MONTH(cleaned_personal_finance_data4[[#This Row],[date]])</f>
        <v>2</v>
      </c>
      <c r="H178">
        <f>YEAR(cleaned_personal_finance_data4[[#This Row],[date]])</f>
        <v>2024</v>
      </c>
      <c r="I178" t="s">
        <v>320</v>
      </c>
    </row>
    <row r="179" spans="1:9" hidden="1" x14ac:dyDescent="0.25">
      <c r="A179">
        <v>178</v>
      </c>
      <c r="B179" s="1">
        <v>45329</v>
      </c>
      <c r="C179" t="s">
        <v>114</v>
      </c>
      <c r="D179">
        <v>25</v>
      </c>
      <c r="E179" t="s">
        <v>15</v>
      </c>
      <c r="F179" t="s">
        <v>13</v>
      </c>
      <c r="G179">
        <f>MONTH(cleaned_personal_finance_data4[[#This Row],[date]])</f>
        <v>2</v>
      </c>
      <c r="H179">
        <f>YEAR(cleaned_personal_finance_data4[[#This Row],[date]])</f>
        <v>2024</v>
      </c>
      <c r="I179" t="s">
        <v>114</v>
      </c>
    </row>
    <row r="180" spans="1:9" hidden="1" x14ac:dyDescent="0.25">
      <c r="A180">
        <v>179</v>
      </c>
      <c r="B180" s="1">
        <v>45329</v>
      </c>
      <c r="C180" t="s">
        <v>115</v>
      </c>
      <c r="D180">
        <v>98</v>
      </c>
      <c r="E180" t="s">
        <v>15</v>
      </c>
      <c r="F180" t="s">
        <v>13</v>
      </c>
      <c r="G180">
        <f>MONTH(cleaned_personal_finance_data4[[#This Row],[date]])</f>
        <v>2</v>
      </c>
      <c r="H180">
        <f>YEAR(cleaned_personal_finance_data4[[#This Row],[date]])</f>
        <v>2024</v>
      </c>
      <c r="I180" t="s">
        <v>115</v>
      </c>
    </row>
    <row r="181" spans="1:9" hidden="1" x14ac:dyDescent="0.25">
      <c r="A181">
        <v>180</v>
      </c>
      <c r="B181" s="1">
        <v>45329</v>
      </c>
      <c r="C181" t="s">
        <v>106</v>
      </c>
      <c r="D181">
        <v>85</v>
      </c>
      <c r="E181" t="s">
        <v>15</v>
      </c>
      <c r="F181" t="s">
        <v>13</v>
      </c>
      <c r="G181">
        <f>MONTH(cleaned_personal_finance_data4[[#This Row],[date]])</f>
        <v>2</v>
      </c>
      <c r="H181">
        <f>YEAR(cleaned_personal_finance_data4[[#This Row],[date]])</f>
        <v>2024</v>
      </c>
      <c r="I181" t="s">
        <v>106</v>
      </c>
    </row>
    <row r="182" spans="1:9" hidden="1" x14ac:dyDescent="0.25">
      <c r="A182">
        <v>181</v>
      </c>
      <c r="B182" s="1">
        <v>45329</v>
      </c>
      <c r="C182" t="s">
        <v>9</v>
      </c>
      <c r="D182">
        <v>1500</v>
      </c>
      <c r="E182" t="s">
        <v>10</v>
      </c>
      <c r="F182" t="s">
        <v>8</v>
      </c>
      <c r="G182">
        <f>MONTH(cleaned_personal_finance_data4[[#This Row],[date]])</f>
        <v>2</v>
      </c>
      <c r="H182">
        <f>YEAR(cleaned_personal_finance_data4[[#This Row],[date]])</f>
        <v>2024</v>
      </c>
      <c r="I182" t="s">
        <v>9</v>
      </c>
    </row>
    <row r="183" spans="1:9" hidden="1" x14ac:dyDescent="0.25">
      <c r="A183">
        <v>182</v>
      </c>
      <c r="B183" s="1">
        <v>45329</v>
      </c>
      <c r="C183" t="s">
        <v>9</v>
      </c>
      <c r="D183">
        <v>1500</v>
      </c>
      <c r="E183" t="s">
        <v>12</v>
      </c>
      <c r="F183" t="s">
        <v>13</v>
      </c>
      <c r="G183">
        <f>MONTH(cleaned_personal_finance_data4[[#This Row],[date]])</f>
        <v>2</v>
      </c>
      <c r="H183">
        <f>YEAR(cleaned_personal_finance_data4[[#This Row],[date]])</f>
        <v>2024</v>
      </c>
      <c r="I183" t="s">
        <v>9</v>
      </c>
    </row>
    <row r="184" spans="1:9" hidden="1" x14ac:dyDescent="0.25">
      <c r="A184">
        <v>183</v>
      </c>
      <c r="B184" s="1">
        <v>45329</v>
      </c>
      <c r="C184" t="s">
        <v>85</v>
      </c>
      <c r="D184">
        <v>300</v>
      </c>
      <c r="E184" t="s">
        <v>15</v>
      </c>
      <c r="F184" t="s">
        <v>13</v>
      </c>
      <c r="G184">
        <f>MONTH(cleaned_personal_finance_data4[[#This Row],[date]])</f>
        <v>2</v>
      </c>
      <c r="H184">
        <f>YEAR(cleaned_personal_finance_data4[[#This Row],[date]])</f>
        <v>2024</v>
      </c>
      <c r="I184" t="s">
        <v>85</v>
      </c>
    </row>
    <row r="185" spans="1:9" hidden="1" x14ac:dyDescent="0.25">
      <c r="A185">
        <v>184</v>
      </c>
      <c r="B185" s="1">
        <v>45329</v>
      </c>
      <c r="C185" t="s">
        <v>116</v>
      </c>
      <c r="D185">
        <v>300</v>
      </c>
      <c r="E185" t="s">
        <v>15</v>
      </c>
      <c r="F185" t="s">
        <v>13</v>
      </c>
      <c r="G185">
        <f>MONTH(cleaned_personal_finance_data4[[#This Row],[date]])</f>
        <v>2</v>
      </c>
      <c r="H185">
        <f>YEAR(cleaned_personal_finance_data4[[#This Row],[date]])</f>
        <v>2024</v>
      </c>
      <c r="I185" t="s">
        <v>116</v>
      </c>
    </row>
    <row r="186" spans="1:9" hidden="1" x14ac:dyDescent="0.25">
      <c r="A186">
        <v>185</v>
      </c>
      <c r="B186" s="1">
        <v>45329</v>
      </c>
      <c r="C186" t="s">
        <v>81</v>
      </c>
      <c r="D186">
        <v>348</v>
      </c>
      <c r="E186" t="s">
        <v>15</v>
      </c>
      <c r="F186" t="s">
        <v>13</v>
      </c>
      <c r="G186">
        <f>MONTH(cleaned_personal_finance_data4[[#This Row],[date]])</f>
        <v>2</v>
      </c>
      <c r="H186">
        <f>YEAR(cleaned_personal_finance_data4[[#This Row],[date]])</f>
        <v>2024</v>
      </c>
      <c r="I186" t="s">
        <v>81</v>
      </c>
    </row>
    <row r="187" spans="1:9" hidden="1" x14ac:dyDescent="0.25">
      <c r="A187">
        <v>186</v>
      </c>
      <c r="B187" s="1">
        <v>45329</v>
      </c>
      <c r="C187" t="s">
        <v>117</v>
      </c>
      <c r="D187">
        <v>200</v>
      </c>
      <c r="E187" t="s">
        <v>15</v>
      </c>
      <c r="F187" t="s">
        <v>13</v>
      </c>
      <c r="G187">
        <f>MONTH(cleaned_personal_finance_data4[[#This Row],[date]])</f>
        <v>2</v>
      </c>
      <c r="H187">
        <f>YEAR(cleaned_personal_finance_data4[[#This Row],[date]])</f>
        <v>2024</v>
      </c>
      <c r="I187" t="s">
        <v>117</v>
      </c>
    </row>
    <row r="188" spans="1:9" hidden="1" x14ac:dyDescent="0.25">
      <c r="A188">
        <v>187</v>
      </c>
      <c r="B188" s="1">
        <v>45329</v>
      </c>
      <c r="C188" t="s">
        <v>118</v>
      </c>
      <c r="D188">
        <v>10</v>
      </c>
      <c r="E188" t="s">
        <v>15</v>
      </c>
      <c r="F188" t="s">
        <v>13</v>
      </c>
      <c r="G188">
        <f>MONTH(cleaned_personal_finance_data4[[#This Row],[date]])</f>
        <v>2</v>
      </c>
      <c r="H188">
        <f>YEAR(cleaned_personal_finance_data4[[#This Row],[date]])</f>
        <v>2024</v>
      </c>
      <c r="I188" t="s">
        <v>43</v>
      </c>
    </row>
    <row r="189" spans="1:9" hidden="1" x14ac:dyDescent="0.25">
      <c r="A189">
        <v>188</v>
      </c>
      <c r="B189" s="1">
        <v>45329</v>
      </c>
      <c r="C189" t="s">
        <v>119</v>
      </c>
      <c r="D189">
        <v>130</v>
      </c>
      <c r="E189" t="s">
        <v>15</v>
      </c>
      <c r="F189" t="s">
        <v>13</v>
      </c>
      <c r="G189">
        <f>MONTH(cleaned_personal_finance_data4[[#This Row],[date]])</f>
        <v>2</v>
      </c>
      <c r="H189">
        <f>YEAR(cleaned_personal_finance_data4[[#This Row],[date]])</f>
        <v>2024</v>
      </c>
      <c r="I189" t="s">
        <v>43</v>
      </c>
    </row>
    <row r="190" spans="1:9" hidden="1" x14ac:dyDescent="0.25">
      <c r="A190">
        <v>189</v>
      </c>
      <c r="B190" s="1">
        <v>45329</v>
      </c>
      <c r="C190" t="s">
        <v>20</v>
      </c>
      <c r="D190">
        <v>3000</v>
      </c>
      <c r="E190" t="s">
        <v>12</v>
      </c>
      <c r="F190" t="s">
        <v>21</v>
      </c>
      <c r="G190">
        <f>MONTH(cleaned_personal_finance_data4[[#This Row],[date]])</f>
        <v>2</v>
      </c>
      <c r="H190">
        <f>YEAR(cleaned_personal_finance_data4[[#This Row],[date]])</f>
        <v>2024</v>
      </c>
      <c r="I190" t="s">
        <v>20</v>
      </c>
    </row>
    <row r="191" spans="1:9" hidden="1" x14ac:dyDescent="0.25">
      <c r="A191">
        <v>190</v>
      </c>
      <c r="B191" s="1">
        <v>45329</v>
      </c>
      <c r="C191" t="s">
        <v>20</v>
      </c>
      <c r="D191">
        <v>3000</v>
      </c>
      <c r="E191" t="s">
        <v>10</v>
      </c>
      <c r="F191" t="s">
        <v>13</v>
      </c>
      <c r="G191">
        <f>MONTH(cleaned_personal_finance_data4[[#This Row],[date]])</f>
        <v>2</v>
      </c>
      <c r="H191">
        <f>YEAR(cleaned_personal_finance_data4[[#This Row],[date]])</f>
        <v>2024</v>
      </c>
      <c r="I191" t="s">
        <v>20</v>
      </c>
    </row>
    <row r="192" spans="1:9" hidden="1" x14ac:dyDescent="0.25">
      <c r="A192">
        <v>191</v>
      </c>
      <c r="B192" s="1">
        <v>45329</v>
      </c>
      <c r="C192" t="s">
        <v>24</v>
      </c>
      <c r="D192">
        <v>239</v>
      </c>
      <c r="E192" t="s">
        <v>15</v>
      </c>
      <c r="F192" t="s">
        <v>21</v>
      </c>
      <c r="G192">
        <f>MONTH(cleaned_personal_finance_data4[[#This Row],[date]])</f>
        <v>2</v>
      </c>
      <c r="H192">
        <f>YEAR(cleaned_personal_finance_data4[[#This Row],[date]])</f>
        <v>2024</v>
      </c>
      <c r="I192" t="s">
        <v>24</v>
      </c>
    </row>
    <row r="193" spans="1:9" hidden="1" x14ac:dyDescent="0.25">
      <c r="A193">
        <v>192</v>
      </c>
      <c r="B193" s="1">
        <v>45331</v>
      </c>
      <c r="C193" t="s">
        <v>120</v>
      </c>
      <c r="D193">
        <v>2000</v>
      </c>
      <c r="E193" t="s">
        <v>15</v>
      </c>
      <c r="F193" t="s">
        <v>13</v>
      </c>
      <c r="G193">
        <f>MONTH(cleaned_personal_finance_data4[[#This Row],[date]])</f>
        <v>2</v>
      </c>
      <c r="H193">
        <f>YEAR(cleaned_personal_finance_data4[[#This Row],[date]])</f>
        <v>2024</v>
      </c>
      <c r="I193" t="s">
        <v>159</v>
      </c>
    </row>
    <row r="194" spans="1:9" hidden="1" x14ac:dyDescent="0.25">
      <c r="A194">
        <v>193</v>
      </c>
      <c r="B194" s="1">
        <v>45331</v>
      </c>
      <c r="C194" t="s">
        <v>121</v>
      </c>
      <c r="D194">
        <v>5000</v>
      </c>
      <c r="E194" t="s">
        <v>15</v>
      </c>
      <c r="F194" t="s">
        <v>13</v>
      </c>
      <c r="G194">
        <f>MONTH(cleaned_personal_finance_data4[[#This Row],[date]])</f>
        <v>2</v>
      </c>
      <c r="H194">
        <f>YEAR(cleaned_personal_finance_data4[[#This Row],[date]])</f>
        <v>2024</v>
      </c>
      <c r="I194" t="s">
        <v>145</v>
      </c>
    </row>
    <row r="195" spans="1:9" hidden="1" x14ac:dyDescent="0.25">
      <c r="A195">
        <v>194</v>
      </c>
      <c r="B195" s="1">
        <v>45331</v>
      </c>
      <c r="C195" t="s">
        <v>64</v>
      </c>
      <c r="D195">
        <v>199</v>
      </c>
      <c r="E195" t="s">
        <v>15</v>
      </c>
      <c r="F195" t="s">
        <v>21</v>
      </c>
      <c r="G195">
        <f>MONTH(cleaned_personal_finance_data4[[#This Row],[date]])</f>
        <v>2</v>
      </c>
      <c r="H195">
        <f>YEAR(cleaned_personal_finance_data4[[#This Row],[date]])</f>
        <v>2024</v>
      </c>
      <c r="I195" t="s">
        <v>64</v>
      </c>
    </row>
    <row r="196" spans="1:9" hidden="1" x14ac:dyDescent="0.25">
      <c r="A196">
        <v>195</v>
      </c>
      <c r="B196" s="1">
        <v>45331</v>
      </c>
      <c r="C196" t="s">
        <v>122</v>
      </c>
      <c r="D196">
        <v>280</v>
      </c>
      <c r="E196" t="s">
        <v>15</v>
      </c>
      <c r="F196" t="s">
        <v>21</v>
      </c>
      <c r="G196">
        <f>MONTH(cleaned_personal_finance_data4[[#This Row],[date]])</f>
        <v>2</v>
      </c>
      <c r="H196">
        <f>YEAR(cleaned_personal_finance_data4[[#This Row],[date]])</f>
        <v>2024</v>
      </c>
      <c r="I196" t="s">
        <v>324</v>
      </c>
    </row>
    <row r="197" spans="1:9" hidden="1" x14ac:dyDescent="0.25">
      <c r="A197">
        <v>196</v>
      </c>
      <c r="B197" s="1">
        <v>45331</v>
      </c>
      <c r="C197" t="s">
        <v>64</v>
      </c>
      <c r="D197">
        <v>199</v>
      </c>
      <c r="E197" t="s">
        <v>15</v>
      </c>
      <c r="F197" t="s">
        <v>21</v>
      </c>
      <c r="G197">
        <f>MONTH(cleaned_personal_finance_data4[[#This Row],[date]])</f>
        <v>2</v>
      </c>
      <c r="H197">
        <f>YEAR(cleaned_personal_finance_data4[[#This Row],[date]])</f>
        <v>2024</v>
      </c>
      <c r="I197" t="s">
        <v>64</v>
      </c>
    </row>
    <row r="198" spans="1:9" hidden="1" x14ac:dyDescent="0.25">
      <c r="A198">
        <v>197</v>
      </c>
      <c r="B198" s="1">
        <v>45332</v>
      </c>
      <c r="C198" t="s">
        <v>103</v>
      </c>
      <c r="D198">
        <v>260</v>
      </c>
      <c r="E198" t="s">
        <v>15</v>
      </c>
      <c r="F198" t="s">
        <v>13</v>
      </c>
      <c r="G198">
        <f>MONTH(cleaned_personal_finance_data4[[#This Row],[date]])</f>
        <v>2</v>
      </c>
      <c r="H198">
        <f>YEAR(cleaned_personal_finance_data4[[#This Row],[date]])</f>
        <v>2024</v>
      </c>
      <c r="I198" t="s">
        <v>329</v>
      </c>
    </row>
    <row r="199" spans="1:9" hidden="1" x14ac:dyDescent="0.25">
      <c r="A199">
        <v>198</v>
      </c>
      <c r="B199" s="1">
        <v>45334</v>
      </c>
      <c r="C199" t="s">
        <v>37</v>
      </c>
      <c r="D199">
        <v>48</v>
      </c>
      <c r="E199" t="s">
        <v>15</v>
      </c>
      <c r="F199" t="s">
        <v>13</v>
      </c>
      <c r="G199">
        <f>MONTH(cleaned_personal_finance_data4[[#This Row],[date]])</f>
        <v>2</v>
      </c>
      <c r="H199">
        <f>YEAR(cleaned_personal_finance_data4[[#This Row],[date]])</f>
        <v>2024</v>
      </c>
      <c r="I199" t="s">
        <v>47</v>
      </c>
    </row>
    <row r="200" spans="1:9" hidden="1" x14ac:dyDescent="0.25">
      <c r="A200">
        <v>199</v>
      </c>
      <c r="B200" s="1">
        <v>45337</v>
      </c>
      <c r="C200" t="s">
        <v>123</v>
      </c>
      <c r="D200">
        <v>25</v>
      </c>
      <c r="E200" t="s">
        <v>15</v>
      </c>
      <c r="F200" t="s">
        <v>13</v>
      </c>
      <c r="G200">
        <f>MONTH(cleaned_personal_finance_data4[[#This Row],[date]])</f>
        <v>2</v>
      </c>
      <c r="H200">
        <f>YEAR(cleaned_personal_finance_data4[[#This Row],[date]])</f>
        <v>2024</v>
      </c>
      <c r="I200" t="s">
        <v>43</v>
      </c>
    </row>
    <row r="201" spans="1:9" hidden="1" x14ac:dyDescent="0.25">
      <c r="A201">
        <v>200</v>
      </c>
      <c r="B201" s="1">
        <v>45337</v>
      </c>
      <c r="C201" t="s">
        <v>124</v>
      </c>
      <c r="D201">
        <v>180</v>
      </c>
      <c r="E201" t="s">
        <v>15</v>
      </c>
      <c r="F201" t="s">
        <v>13</v>
      </c>
      <c r="G201">
        <f>MONTH(cleaned_personal_finance_data4[[#This Row],[date]])</f>
        <v>2</v>
      </c>
      <c r="H201">
        <f>YEAR(cleaned_personal_finance_data4[[#This Row],[date]])</f>
        <v>2024</v>
      </c>
      <c r="I201" t="s">
        <v>124</v>
      </c>
    </row>
    <row r="202" spans="1:9" hidden="1" x14ac:dyDescent="0.25">
      <c r="A202">
        <v>201</v>
      </c>
      <c r="B202" s="1">
        <v>45337</v>
      </c>
      <c r="C202" t="s">
        <v>107</v>
      </c>
      <c r="D202">
        <v>68</v>
      </c>
      <c r="E202" t="s">
        <v>15</v>
      </c>
      <c r="F202" t="s">
        <v>13</v>
      </c>
      <c r="G202">
        <f>MONTH(cleaned_personal_finance_data4[[#This Row],[date]])</f>
        <v>2</v>
      </c>
      <c r="H202">
        <f>YEAR(cleaned_personal_finance_data4[[#This Row],[date]])</f>
        <v>2024</v>
      </c>
      <c r="I202" t="s">
        <v>107</v>
      </c>
    </row>
    <row r="203" spans="1:9" x14ac:dyDescent="0.25">
      <c r="A203">
        <v>202</v>
      </c>
      <c r="B203" s="1">
        <v>45337</v>
      </c>
      <c r="C203" t="s">
        <v>6</v>
      </c>
      <c r="D203">
        <v>12597</v>
      </c>
      <c r="E203" t="s">
        <v>7</v>
      </c>
      <c r="F203" t="s">
        <v>8</v>
      </c>
      <c r="G203">
        <f>MONTH(cleaned_personal_finance_data4[[#This Row],[date]])</f>
        <v>2</v>
      </c>
      <c r="H203">
        <f>YEAR(cleaned_personal_finance_data4[[#This Row],[date]])</f>
        <v>2024</v>
      </c>
      <c r="I203" t="s">
        <v>318</v>
      </c>
    </row>
    <row r="204" spans="1:9" hidden="1" x14ac:dyDescent="0.25">
      <c r="A204">
        <v>203</v>
      </c>
      <c r="B204" s="1">
        <v>45337</v>
      </c>
      <c r="C204" t="s">
        <v>18</v>
      </c>
      <c r="D204">
        <v>28</v>
      </c>
      <c r="E204" t="s">
        <v>15</v>
      </c>
      <c r="F204" t="s">
        <v>8</v>
      </c>
      <c r="G204">
        <f>MONTH(cleaned_personal_finance_data4[[#This Row],[date]])</f>
        <v>2</v>
      </c>
      <c r="H204">
        <f>YEAR(cleaned_personal_finance_data4[[#This Row],[date]])</f>
        <v>2024</v>
      </c>
      <c r="I204" t="s">
        <v>18</v>
      </c>
    </row>
    <row r="205" spans="1:9" hidden="1" x14ac:dyDescent="0.25">
      <c r="A205">
        <v>204</v>
      </c>
      <c r="B205" s="1">
        <v>45337</v>
      </c>
      <c r="C205" t="s">
        <v>125</v>
      </c>
      <c r="D205">
        <v>144</v>
      </c>
      <c r="E205" t="s">
        <v>15</v>
      </c>
      <c r="F205" t="s">
        <v>21</v>
      </c>
      <c r="G205">
        <f>MONTH(cleaned_personal_finance_data4[[#This Row],[date]])</f>
        <v>2</v>
      </c>
      <c r="H205">
        <f>YEAR(cleaned_personal_finance_data4[[#This Row],[date]])</f>
        <v>2024</v>
      </c>
      <c r="I205" t="s">
        <v>324</v>
      </c>
    </row>
    <row r="206" spans="1:9" hidden="1" x14ac:dyDescent="0.25">
      <c r="A206">
        <v>205</v>
      </c>
      <c r="B206" s="1">
        <v>45338</v>
      </c>
      <c r="C206" t="s">
        <v>107</v>
      </c>
      <c r="D206">
        <v>50</v>
      </c>
      <c r="E206" t="s">
        <v>15</v>
      </c>
      <c r="F206" t="s">
        <v>13</v>
      </c>
      <c r="G206">
        <f>MONTH(cleaned_personal_finance_data4[[#This Row],[date]])</f>
        <v>2</v>
      </c>
      <c r="H206">
        <f>YEAR(cleaned_personal_finance_data4[[#This Row],[date]])</f>
        <v>2024</v>
      </c>
      <c r="I206" t="s">
        <v>107</v>
      </c>
    </row>
    <row r="207" spans="1:9" hidden="1" x14ac:dyDescent="0.25">
      <c r="A207">
        <v>206</v>
      </c>
      <c r="B207" s="1">
        <v>45338</v>
      </c>
      <c r="C207" t="s">
        <v>64</v>
      </c>
      <c r="D207">
        <v>199</v>
      </c>
      <c r="E207" t="s">
        <v>15</v>
      </c>
      <c r="F207" t="s">
        <v>21</v>
      </c>
      <c r="G207">
        <f>MONTH(cleaned_personal_finance_data4[[#This Row],[date]])</f>
        <v>2</v>
      </c>
      <c r="H207">
        <f>YEAR(cleaned_personal_finance_data4[[#This Row],[date]])</f>
        <v>2024</v>
      </c>
      <c r="I207" t="s">
        <v>64</v>
      </c>
    </row>
    <row r="208" spans="1:9" hidden="1" x14ac:dyDescent="0.25">
      <c r="A208">
        <v>207</v>
      </c>
      <c r="B208" s="1">
        <v>45338</v>
      </c>
      <c r="C208" t="s">
        <v>126</v>
      </c>
      <c r="D208">
        <v>199</v>
      </c>
      <c r="E208" t="s">
        <v>15</v>
      </c>
      <c r="F208" t="s">
        <v>21</v>
      </c>
      <c r="G208">
        <f>MONTH(cleaned_personal_finance_data4[[#This Row],[date]])</f>
        <v>2</v>
      </c>
      <c r="H208">
        <f>YEAR(cleaned_personal_finance_data4[[#This Row],[date]])</f>
        <v>2024</v>
      </c>
      <c r="I208" t="s">
        <v>324</v>
      </c>
    </row>
    <row r="209" spans="1:9" hidden="1" x14ac:dyDescent="0.25">
      <c r="A209">
        <v>208</v>
      </c>
      <c r="B209" s="1">
        <v>45342</v>
      </c>
      <c r="C209" t="s">
        <v>127</v>
      </c>
      <c r="D209">
        <v>90</v>
      </c>
      <c r="E209" t="s">
        <v>15</v>
      </c>
      <c r="F209" t="s">
        <v>13</v>
      </c>
      <c r="G209">
        <f>MONTH(cleaned_personal_finance_data4[[#This Row],[date]])</f>
        <v>2</v>
      </c>
      <c r="H209">
        <f>YEAR(cleaned_personal_finance_data4[[#This Row],[date]])</f>
        <v>2024</v>
      </c>
      <c r="I209" t="s">
        <v>262</v>
      </c>
    </row>
    <row r="210" spans="1:9" hidden="1" x14ac:dyDescent="0.25">
      <c r="A210">
        <v>209</v>
      </c>
      <c r="B210" s="1">
        <v>45343</v>
      </c>
      <c r="C210" t="s">
        <v>35</v>
      </c>
      <c r="D210">
        <v>280</v>
      </c>
      <c r="E210" t="s">
        <v>15</v>
      </c>
      <c r="F210" t="s">
        <v>21</v>
      </c>
      <c r="G210">
        <f>MONTH(cleaned_personal_finance_data4[[#This Row],[date]])</f>
        <v>2</v>
      </c>
      <c r="H210">
        <f>YEAR(cleaned_personal_finance_data4[[#This Row],[date]])</f>
        <v>2024</v>
      </c>
      <c r="I210" t="s">
        <v>35</v>
      </c>
    </row>
    <row r="211" spans="1:9" hidden="1" x14ac:dyDescent="0.25">
      <c r="A211">
        <v>210</v>
      </c>
      <c r="B211" s="1">
        <v>45344</v>
      </c>
      <c r="C211" t="s">
        <v>28</v>
      </c>
      <c r="D211">
        <v>129</v>
      </c>
      <c r="E211" t="s">
        <v>15</v>
      </c>
      <c r="F211" t="s">
        <v>21</v>
      </c>
      <c r="G211">
        <f>MONTH(cleaned_personal_finance_data4[[#This Row],[date]])</f>
        <v>2</v>
      </c>
      <c r="H211">
        <f>YEAR(cleaned_personal_finance_data4[[#This Row],[date]])</f>
        <v>2024</v>
      </c>
      <c r="I211" t="s">
        <v>28</v>
      </c>
    </row>
    <row r="212" spans="1:9" hidden="1" x14ac:dyDescent="0.25">
      <c r="A212">
        <v>211</v>
      </c>
      <c r="B212" s="1">
        <v>45346</v>
      </c>
      <c r="C212" t="s">
        <v>37</v>
      </c>
      <c r="D212">
        <v>48</v>
      </c>
      <c r="E212" t="s">
        <v>15</v>
      </c>
      <c r="F212" t="s">
        <v>13</v>
      </c>
      <c r="G212">
        <f>MONTH(cleaned_personal_finance_data4[[#This Row],[date]])</f>
        <v>2</v>
      </c>
      <c r="H212">
        <f>YEAR(cleaned_personal_finance_data4[[#This Row],[date]])</f>
        <v>2024</v>
      </c>
      <c r="I212" t="s">
        <v>47</v>
      </c>
    </row>
    <row r="213" spans="1:9" hidden="1" x14ac:dyDescent="0.25">
      <c r="A213">
        <v>212</v>
      </c>
      <c r="B213" s="1">
        <v>45349</v>
      </c>
      <c r="C213" t="s">
        <v>51</v>
      </c>
      <c r="D213">
        <v>30</v>
      </c>
      <c r="E213" t="s">
        <v>15</v>
      </c>
      <c r="F213" t="s">
        <v>13</v>
      </c>
      <c r="G213">
        <f>MONTH(cleaned_personal_finance_data4[[#This Row],[date]])</f>
        <v>2</v>
      </c>
      <c r="H213">
        <f>YEAR(cleaned_personal_finance_data4[[#This Row],[date]])</f>
        <v>2024</v>
      </c>
      <c r="I213" t="s">
        <v>43</v>
      </c>
    </row>
    <row r="214" spans="1:9" hidden="1" x14ac:dyDescent="0.25">
      <c r="A214">
        <v>213</v>
      </c>
      <c r="B214" s="1">
        <v>45349</v>
      </c>
      <c r="C214" t="s">
        <v>54</v>
      </c>
      <c r="D214">
        <v>45</v>
      </c>
      <c r="E214" t="s">
        <v>15</v>
      </c>
      <c r="F214" t="s">
        <v>13</v>
      </c>
      <c r="G214">
        <f>MONTH(cleaned_personal_finance_data4[[#This Row],[date]])</f>
        <v>2</v>
      </c>
      <c r="H214">
        <f>YEAR(cleaned_personal_finance_data4[[#This Row],[date]])</f>
        <v>2024</v>
      </c>
      <c r="I214" t="s">
        <v>54</v>
      </c>
    </row>
    <row r="215" spans="1:9" hidden="1" x14ac:dyDescent="0.25">
      <c r="A215">
        <v>214</v>
      </c>
      <c r="B215" s="1">
        <v>45349</v>
      </c>
      <c r="C215" t="s">
        <v>80</v>
      </c>
      <c r="D215">
        <v>130</v>
      </c>
      <c r="E215" t="s">
        <v>15</v>
      </c>
      <c r="F215" t="s">
        <v>13</v>
      </c>
      <c r="G215">
        <f>MONTH(cleaned_personal_finance_data4[[#This Row],[date]])</f>
        <v>2</v>
      </c>
      <c r="H215">
        <f>YEAR(cleaned_personal_finance_data4[[#This Row],[date]])</f>
        <v>2024</v>
      </c>
      <c r="I215" t="s">
        <v>43</v>
      </c>
    </row>
    <row r="216" spans="1:9" hidden="1" x14ac:dyDescent="0.25">
      <c r="A216">
        <v>215</v>
      </c>
      <c r="B216" s="1">
        <v>45349</v>
      </c>
      <c r="C216" t="s">
        <v>128</v>
      </c>
      <c r="D216">
        <v>13</v>
      </c>
      <c r="E216" t="s">
        <v>15</v>
      </c>
      <c r="F216" t="s">
        <v>13</v>
      </c>
      <c r="G216">
        <f>MONTH(cleaned_personal_finance_data4[[#This Row],[date]])</f>
        <v>2</v>
      </c>
      <c r="H216">
        <f>YEAR(cleaned_personal_finance_data4[[#This Row],[date]])</f>
        <v>2024</v>
      </c>
      <c r="I216" t="s">
        <v>43</v>
      </c>
    </row>
    <row r="217" spans="1:9" hidden="1" x14ac:dyDescent="0.25">
      <c r="A217">
        <v>216</v>
      </c>
      <c r="B217" s="1">
        <v>45349</v>
      </c>
      <c r="C217" t="s">
        <v>129</v>
      </c>
      <c r="D217">
        <v>13</v>
      </c>
      <c r="E217" t="s">
        <v>15</v>
      </c>
      <c r="F217" t="s">
        <v>13</v>
      </c>
      <c r="G217">
        <f>MONTH(cleaned_personal_finance_data4[[#This Row],[date]])</f>
        <v>2</v>
      </c>
      <c r="H217">
        <f>YEAR(cleaned_personal_finance_data4[[#This Row],[date]])</f>
        <v>2024</v>
      </c>
      <c r="I217" t="s">
        <v>43</v>
      </c>
    </row>
    <row r="218" spans="1:9" hidden="1" x14ac:dyDescent="0.25">
      <c r="A218">
        <v>217</v>
      </c>
      <c r="B218" s="1">
        <v>45349</v>
      </c>
      <c r="C218" t="s">
        <v>106</v>
      </c>
      <c r="D218">
        <v>157</v>
      </c>
      <c r="E218" t="s">
        <v>15</v>
      </c>
      <c r="F218" t="s">
        <v>13</v>
      </c>
      <c r="G218">
        <f>MONTH(cleaned_personal_finance_data4[[#This Row],[date]])</f>
        <v>2</v>
      </c>
      <c r="H218">
        <f>YEAR(cleaned_personal_finance_data4[[#This Row],[date]])</f>
        <v>2024</v>
      </c>
      <c r="I218" t="s">
        <v>106</v>
      </c>
    </row>
    <row r="219" spans="1:9" hidden="1" x14ac:dyDescent="0.25">
      <c r="A219">
        <v>218</v>
      </c>
      <c r="B219" s="1">
        <v>45349</v>
      </c>
      <c r="C219" t="s">
        <v>130</v>
      </c>
      <c r="D219">
        <v>899</v>
      </c>
      <c r="E219" t="s">
        <v>15</v>
      </c>
      <c r="F219" t="s">
        <v>13</v>
      </c>
      <c r="G219">
        <f>MONTH(cleaned_personal_finance_data4[[#This Row],[date]])</f>
        <v>2</v>
      </c>
      <c r="H219">
        <f>YEAR(cleaned_personal_finance_data4[[#This Row],[date]])</f>
        <v>2024</v>
      </c>
      <c r="I219" t="s">
        <v>130</v>
      </c>
    </row>
    <row r="220" spans="1:9" hidden="1" x14ac:dyDescent="0.25">
      <c r="A220">
        <v>219</v>
      </c>
      <c r="B220" s="1">
        <v>45349</v>
      </c>
      <c r="C220" t="s">
        <v>61</v>
      </c>
      <c r="D220">
        <v>130</v>
      </c>
      <c r="E220" t="s">
        <v>15</v>
      </c>
      <c r="F220" t="s">
        <v>13</v>
      </c>
      <c r="G220">
        <f>MONTH(cleaned_personal_finance_data4[[#This Row],[date]])</f>
        <v>2</v>
      </c>
      <c r="H220">
        <f>YEAR(cleaned_personal_finance_data4[[#This Row],[date]])</f>
        <v>2024</v>
      </c>
      <c r="I220" t="s">
        <v>43</v>
      </c>
    </row>
    <row r="221" spans="1:9" hidden="1" x14ac:dyDescent="0.25">
      <c r="A221">
        <v>220</v>
      </c>
      <c r="B221" s="1">
        <v>45349</v>
      </c>
      <c r="C221" t="s">
        <v>76</v>
      </c>
      <c r="D221">
        <v>100</v>
      </c>
      <c r="E221" t="s">
        <v>15</v>
      </c>
      <c r="F221" t="s">
        <v>13</v>
      </c>
      <c r="G221">
        <f>MONTH(cleaned_personal_finance_data4[[#This Row],[date]])</f>
        <v>2</v>
      </c>
      <c r="H221">
        <f>YEAR(cleaned_personal_finance_data4[[#This Row],[date]])</f>
        <v>2024</v>
      </c>
      <c r="I221" t="s">
        <v>43</v>
      </c>
    </row>
    <row r="222" spans="1:9" x14ac:dyDescent="0.25">
      <c r="A222">
        <v>221</v>
      </c>
      <c r="B222" s="1">
        <v>45351</v>
      </c>
      <c r="C222" t="s">
        <v>131</v>
      </c>
      <c r="D222">
        <v>12598</v>
      </c>
      <c r="E222" t="s">
        <v>7</v>
      </c>
      <c r="F222" t="s">
        <v>8</v>
      </c>
      <c r="G222">
        <f>MONTH(cleaned_personal_finance_data4[[#This Row],[date]])</f>
        <v>2</v>
      </c>
      <c r="H222">
        <f>YEAR(cleaned_personal_finance_data4[[#This Row],[date]])</f>
        <v>2024</v>
      </c>
      <c r="I222" t="s">
        <v>318</v>
      </c>
    </row>
    <row r="223" spans="1:9" hidden="1" x14ac:dyDescent="0.25">
      <c r="A223">
        <v>222</v>
      </c>
      <c r="B223" s="1">
        <v>45353</v>
      </c>
      <c r="C223" t="s">
        <v>132</v>
      </c>
      <c r="D223">
        <v>20</v>
      </c>
      <c r="E223" t="s">
        <v>15</v>
      </c>
      <c r="F223" t="s">
        <v>13</v>
      </c>
      <c r="G223">
        <f>MONTH(cleaned_personal_finance_data4[[#This Row],[date]])</f>
        <v>3</v>
      </c>
      <c r="H223">
        <f>YEAR(cleaned_personal_finance_data4[[#This Row],[date]])</f>
        <v>2024</v>
      </c>
      <c r="I223" t="s">
        <v>262</v>
      </c>
    </row>
    <row r="224" spans="1:9" hidden="1" x14ac:dyDescent="0.25">
      <c r="A224">
        <v>223</v>
      </c>
      <c r="B224" s="1">
        <v>45353</v>
      </c>
      <c r="C224" t="s">
        <v>28</v>
      </c>
      <c r="D224">
        <v>125</v>
      </c>
      <c r="E224" t="s">
        <v>15</v>
      </c>
      <c r="F224" t="s">
        <v>21</v>
      </c>
      <c r="G224">
        <f>MONTH(cleaned_personal_finance_data4[[#This Row],[date]])</f>
        <v>3</v>
      </c>
      <c r="H224">
        <f>YEAR(cleaned_personal_finance_data4[[#This Row],[date]])</f>
        <v>2024</v>
      </c>
      <c r="I224" t="s">
        <v>28</v>
      </c>
    </row>
    <row r="225" spans="1:9" hidden="1" x14ac:dyDescent="0.25">
      <c r="A225">
        <v>224</v>
      </c>
      <c r="B225" s="1">
        <v>45354</v>
      </c>
      <c r="C225" t="s">
        <v>103</v>
      </c>
      <c r="D225">
        <v>260</v>
      </c>
      <c r="E225" t="s">
        <v>15</v>
      </c>
      <c r="F225" t="s">
        <v>13</v>
      </c>
      <c r="G225">
        <f>MONTH(cleaned_personal_finance_data4[[#This Row],[date]])</f>
        <v>3</v>
      </c>
      <c r="H225">
        <f>YEAR(cleaned_personal_finance_data4[[#This Row],[date]])</f>
        <v>2024</v>
      </c>
      <c r="I225" t="s">
        <v>329</v>
      </c>
    </row>
    <row r="226" spans="1:9" hidden="1" x14ac:dyDescent="0.25">
      <c r="A226">
        <v>225</v>
      </c>
      <c r="B226" s="1">
        <v>45354</v>
      </c>
      <c r="C226" t="s">
        <v>133</v>
      </c>
      <c r="D226">
        <v>2560</v>
      </c>
      <c r="E226" t="s">
        <v>15</v>
      </c>
      <c r="F226" t="s">
        <v>13</v>
      </c>
      <c r="G226">
        <f>MONTH(cleaned_personal_finance_data4[[#This Row],[date]])</f>
        <v>3</v>
      </c>
      <c r="H226">
        <f>YEAR(cleaned_personal_finance_data4[[#This Row],[date]])</f>
        <v>2024</v>
      </c>
      <c r="I226" t="s">
        <v>159</v>
      </c>
    </row>
    <row r="227" spans="1:9" hidden="1" x14ac:dyDescent="0.25">
      <c r="A227">
        <v>226</v>
      </c>
      <c r="B227" s="1">
        <v>45354</v>
      </c>
      <c r="C227" t="s">
        <v>134</v>
      </c>
      <c r="D227">
        <v>5000</v>
      </c>
      <c r="E227" t="s">
        <v>15</v>
      </c>
      <c r="F227" t="s">
        <v>13</v>
      </c>
      <c r="G227">
        <f>MONTH(cleaned_personal_finance_data4[[#This Row],[date]])</f>
        <v>3</v>
      </c>
      <c r="H227">
        <f>YEAR(cleaned_personal_finance_data4[[#This Row],[date]])</f>
        <v>2024</v>
      </c>
      <c r="I227" t="s">
        <v>145</v>
      </c>
    </row>
    <row r="228" spans="1:9" hidden="1" x14ac:dyDescent="0.25">
      <c r="A228">
        <v>227</v>
      </c>
      <c r="B228" s="1">
        <v>45354</v>
      </c>
      <c r="C228" t="s">
        <v>38</v>
      </c>
      <c r="D228">
        <v>1500</v>
      </c>
      <c r="E228" t="s">
        <v>15</v>
      </c>
      <c r="F228" t="s">
        <v>13</v>
      </c>
      <c r="G228">
        <f>MONTH(cleaned_personal_finance_data4[[#This Row],[date]])</f>
        <v>3</v>
      </c>
      <c r="H228">
        <f>YEAR(cleaned_personal_finance_data4[[#This Row],[date]])</f>
        <v>2024</v>
      </c>
      <c r="I228" t="s">
        <v>38</v>
      </c>
    </row>
    <row r="229" spans="1:9" hidden="1" x14ac:dyDescent="0.25">
      <c r="A229">
        <v>228</v>
      </c>
      <c r="B229" s="1">
        <v>45354</v>
      </c>
      <c r="C229" t="s">
        <v>135</v>
      </c>
      <c r="D229">
        <v>30</v>
      </c>
      <c r="E229" t="s">
        <v>15</v>
      </c>
      <c r="F229" t="s">
        <v>13</v>
      </c>
      <c r="G229">
        <f>MONTH(cleaned_personal_finance_data4[[#This Row],[date]])</f>
        <v>3</v>
      </c>
      <c r="H229">
        <f>YEAR(cleaned_personal_finance_data4[[#This Row],[date]])</f>
        <v>2024</v>
      </c>
      <c r="I229" t="s">
        <v>135</v>
      </c>
    </row>
    <row r="230" spans="1:9" hidden="1" x14ac:dyDescent="0.25">
      <c r="A230">
        <v>229</v>
      </c>
      <c r="B230" s="1">
        <v>45356</v>
      </c>
      <c r="C230" t="s">
        <v>37</v>
      </c>
      <c r="D230">
        <v>48</v>
      </c>
      <c r="E230" t="s">
        <v>15</v>
      </c>
      <c r="F230" t="s">
        <v>13</v>
      </c>
      <c r="G230">
        <f>MONTH(cleaned_personal_finance_data4[[#This Row],[date]])</f>
        <v>3</v>
      </c>
      <c r="H230">
        <f>YEAR(cleaned_personal_finance_data4[[#This Row],[date]])</f>
        <v>2024</v>
      </c>
      <c r="I230" t="s">
        <v>47</v>
      </c>
    </row>
    <row r="231" spans="1:9" hidden="1" x14ac:dyDescent="0.25">
      <c r="A231">
        <v>230</v>
      </c>
      <c r="B231" s="1">
        <v>45356</v>
      </c>
      <c r="C231" t="s">
        <v>28</v>
      </c>
      <c r="D231">
        <v>50</v>
      </c>
      <c r="E231" t="s">
        <v>15</v>
      </c>
      <c r="F231" t="s">
        <v>21</v>
      </c>
      <c r="G231">
        <f>MONTH(cleaned_personal_finance_data4[[#This Row],[date]])</f>
        <v>3</v>
      </c>
      <c r="H231">
        <f>YEAR(cleaned_personal_finance_data4[[#This Row],[date]])</f>
        <v>2024</v>
      </c>
      <c r="I231" t="s">
        <v>28</v>
      </c>
    </row>
    <row r="232" spans="1:9" hidden="1" x14ac:dyDescent="0.25">
      <c r="A232">
        <v>231</v>
      </c>
      <c r="B232" s="1">
        <v>45356</v>
      </c>
      <c r="C232" t="s">
        <v>28</v>
      </c>
      <c r="D232">
        <v>125</v>
      </c>
      <c r="E232" t="s">
        <v>15</v>
      </c>
      <c r="F232" t="s">
        <v>21</v>
      </c>
      <c r="G232">
        <f>MONTH(cleaned_personal_finance_data4[[#This Row],[date]])</f>
        <v>3</v>
      </c>
      <c r="H232">
        <f>YEAR(cleaned_personal_finance_data4[[#This Row],[date]])</f>
        <v>2024</v>
      </c>
      <c r="I232" t="s">
        <v>28</v>
      </c>
    </row>
    <row r="233" spans="1:9" hidden="1" x14ac:dyDescent="0.25">
      <c r="A233">
        <v>232</v>
      </c>
      <c r="B233" s="1">
        <v>45357</v>
      </c>
      <c r="C233" t="s">
        <v>24</v>
      </c>
      <c r="D233">
        <v>239</v>
      </c>
      <c r="E233" t="s">
        <v>15</v>
      </c>
      <c r="F233" t="s">
        <v>21</v>
      </c>
      <c r="G233">
        <f>MONTH(cleaned_personal_finance_data4[[#This Row],[date]])</f>
        <v>3</v>
      </c>
      <c r="H233">
        <f>YEAR(cleaned_personal_finance_data4[[#This Row],[date]])</f>
        <v>2024</v>
      </c>
      <c r="I233" t="s">
        <v>24</v>
      </c>
    </row>
    <row r="234" spans="1:9" hidden="1" x14ac:dyDescent="0.25">
      <c r="A234">
        <v>233</v>
      </c>
      <c r="B234" s="1">
        <v>45361</v>
      </c>
      <c r="C234" t="s">
        <v>136</v>
      </c>
      <c r="D234">
        <v>19900</v>
      </c>
      <c r="E234" t="s">
        <v>10</v>
      </c>
      <c r="F234" t="s">
        <v>8</v>
      </c>
      <c r="G234">
        <f>MONTH(cleaned_personal_finance_data4[[#This Row],[date]])</f>
        <v>3</v>
      </c>
      <c r="H234">
        <f>YEAR(cleaned_personal_finance_data4[[#This Row],[date]])</f>
        <v>2024</v>
      </c>
      <c r="I234" t="s">
        <v>136</v>
      </c>
    </row>
    <row r="235" spans="1:9" hidden="1" x14ac:dyDescent="0.25">
      <c r="A235">
        <v>234</v>
      </c>
      <c r="B235" s="1">
        <v>45361</v>
      </c>
      <c r="C235" t="s">
        <v>137</v>
      </c>
      <c r="D235">
        <v>36</v>
      </c>
      <c r="E235" t="s">
        <v>15</v>
      </c>
      <c r="F235" t="s">
        <v>8</v>
      </c>
      <c r="G235">
        <f>MONTH(cleaned_personal_finance_data4[[#This Row],[date]])</f>
        <v>3</v>
      </c>
      <c r="H235">
        <f>YEAR(cleaned_personal_finance_data4[[#This Row],[date]])</f>
        <v>2024</v>
      </c>
      <c r="I235" t="s">
        <v>137</v>
      </c>
    </row>
    <row r="236" spans="1:9" hidden="1" x14ac:dyDescent="0.25">
      <c r="A236">
        <v>235</v>
      </c>
      <c r="B236" s="1">
        <v>45361</v>
      </c>
      <c r="C236" t="s">
        <v>138</v>
      </c>
      <c r="D236">
        <v>7000</v>
      </c>
      <c r="E236" t="s">
        <v>15</v>
      </c>
      <c r="F236" t="s">
        <v>13</v>
      </c>
      <c r="G236">
        <f>MONTH(cleaned_personal_finance_data4[[#This Row],[date]])</f>
        <v>3</v>
      </c>
      <c r="H236">
        <f>YEAR(cleaned_personal_finance_data4[[#This Row],[date]])</f>
        <v>2024</v>
      </c>
      <c r="I236" t="s">
        <v>138</v>
      </c>
    </row>
    <row r="237" spans="1:9" x14ac:dyDescent="0.25">
      <c r="A237">
        <v>236</v>
      </c>
      <c r="B237" s="1">
        <v>45365</v>
      </c>
      <c r="C237" t="s">
        <v>131</v>
      </c>
      <c r="D237">
        <v>12579</v>
      </c>
      <c r="E237" t="s">
        <v>7</v>
      </c>
      <c r="F237" t="s">
        <v>8</v>
      </c>
      <c r="G237">
        <f>MONTH(cleaned_personal_finance_data4[[#This Row],[date]])</f>
        <v>3</v>
      </c>
      <c r="H237">
        <f>YEAR(cleaned_personal_finance_data4[[#This Row],[date]])</f>
        <v>2024</v>
      </c>
      <c r="I237" t="s">
        <v>318</v>
      </c>
    </row>
    <row r="238" spans="1:9" hidden="1" x14ac:dyDescent="0.25">
      <c r="A238">
        <v>237</v>
      </c>
      <c r="B238" s="1">
        <v>45365</v>
      </c>
      <c r="C238" t="s">
        <v>50</v>
      </c>
      <c r="D238">
        <v>599</v>
      </c>
      <c r="E238" t="s">
        <v>15</v>
      </c>
      <c r="F238" t="s">
        <v>21</v>
      </c>
      <c r="G238">
        <f>MONTH(cleaned_personal_finance_data4[[#This Row],[date]])</f>
        <v>3</v>
      </c>
      <c r="H238">
        <f>YEAR(cleaned_personal_finance_data4[[#This Row],[date]])</f>
        <v>2024</v>
      </c>
      <c r="I238" t="s">
        <v>50</v>
      </c>
    </row>
    <row r="239" spans="1:9" hidden="1" x14ac:dyDescent="0.25">
      <c r="A239">
        <v>238</v>
      </c>
      <c r="B239" s="1">
        <v>45369</v>
      </c>
      <c r="C239" t="s">
        <v>25</v>
      </c>
      <c r="D239">
        <v>30</v>
      </c>
      <c r="E239" t="s">
        <v>15</v>
      </c>
      <c r="F239" t="s">
        <v>13</v>
      </c>
      <c r="G239">
        <f>MONTH(cleaned_personal_finance_data4[[#This Row],[date]])</f>
        <v>3</v>
      </c>
      <c r="H239">
        <f>YEAR(cleaned_personal_finance_data4[[#This Row],[date]])</f>
        <v>2024</v>
      </c>
      <c r="I239" t="s">
        <v>25</v>
      </c>
    </row>
    <row r="240" spans="1:9" hidden="1" x14ac:dyDescent="0.25">
      <c r="A240">
        <v>239</v>
      </c>
      <c r="B240" s="1">
        <v>45373</v>
      </c>
      <c r="C240" t="s">
        <v>34</v>
      </c>
      <c r="D240">
        <v>129</v>
      </c>
      <c r="E240" t="s">
        <v>15</v>
      </c>
      <c r="F240" t="s">
        <v>21</v>
      </c>
      <c r="G240">
        <f>MONTH(cleaned_personal_finance_data4[[#This Row],[date]])</f>
        <v>3</v>
      </c>
      <c r="H240">
        <f>YEAR(cleaned_personal_finance_data4[[#This Row],[date]])</f>
        <v>2024</v>
      </c>
      <c r="I240" t="s">
        <v>34</v>
      </c>
    </row>
    <row r="241" spans="1:9" hidden="1" x14ac:dyDescent="0.25">
      <c r="A241">
        <v>240</v>
      </c>
      <c r="B241" s="1">
        <v>45374</v>
      </c>
      <c r="C241" t="s">
        <v>20</v>
      </c>
      <c r="D241">
        <v>3000</v>
      </c>
      <c r="E241" t="s">
        <v>10</v>
      </c>
      <c r="F241" t="s">
        <v>13</v>
      </c>
      <c r="G241">
        <f>MONTH(cleaned_personal_finance_data4[[#This Row],[date]])</f>
        <v>3</v>
      </c>
      <c r="H241">
        <f>YEAR(cleaned_personal_finance_data4[[#This Row],[date]])</f>
        <v>2024</v>
      </c>
      <c r="I241" t="s">
        <v>20</v>
      </c>
    </row>
    <row r="242" spans="1:9" hidden="1" x14ac:dyDescent="0.25">
      <c r="A242">
        <v>241</v>
      </c>
      <c r="B242" s="1">
        <v>45374</v>
      </c>
      <c r="C242" t="s">
        <v>20</v>
      </c>
      <c r="D242">
        <v>3000</v>
      </c>
      <c r="E242" t="s">
        <v>12</v>
      </c>
      <c r="F242" t="s">
        <v>21</v>
      </c>
      <c r="G242">
        <f>MONTH(cleaned_personal_finance_data4[[#This Row],[date]])</f>
        <v>3</v>
      </c>
      <c r="H242">
        <f>YEAR(cleaned_personal_finance_data4[[#This Row],[date]])</f>
        <v>2024</v>
      </c>
      <c r="I242" t="s">
        <v>20</v>
      </c>
    </row>
    <row r="243" spans="1:9" hidden="1" x14ac:dyDescent="0.25">
      <c r="A243">
        <v>242</v>
      </c>
      <c r="B243" s="1">
        <v>45374</v>
      </c>
      <c r="C243" t="s">
        <v>35</v>
      </c>
      <c r="D243">
        <v>280</v>
      </c>
      <c r="E243" t="s">
        <v>15</v>
      </c>
      <c r="F243" t="s">
        <v>21</v>
      </c>
      <c r="G243">
        <f>MONTH(cleaned_personal_finance_data4[[#This Row],[date]])</f>
        <v>3</v>
      </c>
      <c r="H243">
        <f>YEAR(cleaned_personal_finance_data4[[#This Row],[date]])</f>
        <v>2024</v>
      </c>
      <c r="I243" t="s">
        <v>35</v>
      </c>
    </row>
    <row r="244" spans="1:9" hidden="1" x14ac:dyDescent="0.25">
      <c r="A244">
        <v>243</v>
      </c>
      <c r="B244" s="1">
        <v>45378</v>
      </c>
      <c r="C244" t="s">
        <v>139</v>
      </c>
      <c r="D244">
        <v>25</v>
      </c>
      <c r="E244" t="s">
        <v>15</v>
      </c>
      <c r="F244" t="s">
        <v>13</v>
      </c>
      <c r="G244">
        <f>MONTH(cleaned_personal_finance_data4[[#This Row],[date]])</f>
        <v>3</v>
      </c>
      <c r="H244">
        <f>YEAR(cleaned_personal_finance_data4[[#This Row],[date]])</f>
        <v>2024</v>
      </c>
      <c r="I244" t="s">
        <v>139</v>
      </c>
    </row>
    <row r="245" spans="1:9" hidden="1" x14ac:dyDescent="0.25">
      <c r="A245">
        <v>244</v>
      </c>
      <c r="B245" s="1">
        <v>45378</v>
      </c>
      <c r="C245" t="s">
        <v>127</v>
      </c>
      <c r="D245">
        <v>90</v>
      </c>
      <c r="E245" t="s">
        <v>15</v>
      </c>
      <c r="F245" t="s">
        <v>13</v>
      </c>
      <c r="G245">
        <f>MONTH(cleaned_personal_finance_data4[[#This Row],[date]])</f>
        <v>3</v>
      </c>
      <c r="H245">
        <f>YEAR(cleaned_personal_finance_data4[[#This Row],[date]])</f>
        <v>2024</v>
      </c>
      <c r="I245" t="s">
        <v>262</v>
      </c>
    </row>
    <row r="246" spans="1:9" hidden="1" x14ac:dyDescent="0.25">
      <c r="A246">
        <v>245</v>
      </c>
      <c r="B246" s="1">
        <v>45378</v>
      </c>
      <c r="C246" t="s">
        <v>18</v>
      </c>
      <c r="D246">
        <v>56</v>
      </c>
      <c r="E246" t="s">
        <v>15</v>
      </c>
      <c r="F246" t="s">
        <v>13</v>
      </c>
      <c r="G246">
        <f>MONTH(cleaned_personal_finance_data4[[#This Row],[date]])</f>
        <v>3</v>
      </c>
      <c r="H246">
        <f>YEAR(cleaned_personal_finance_data4[[#This Row],[date]])</f>
        <v>2024</v>
      </c>
      <c r="I246" t="s">
        <v>18</v>
      </c>
    </row>
    <row r="247" spans="1:9" x14ac:dyDescent="0.25">
      <c r="A247">
        <v>246</v>
      </c>
      <c r="B247" s="1">
        <v>45378</v>
      </c>
      <c r="C247" t="s">
        <v>131</v>
      </c>
      <c r="D247">
        <v>12616</v>
      </c>
      <c r="E247" t="s">
        <v>7</v>
      </c>
      <c r="F247" t="s">
        <v>8</v>
      </c>
      <c r="G247">
        <f>MONTH(cleaned_personal_finance_data4[[#This Row],[date]])</f>
        <v>3</v>
      </c>
      <c r="H247">
        <f>YEAR(cleaned_personal_finance_data4[[#This Row],[date]])</f>
        <v>2024</v>
      </c>
      <c r="I247" t="s">
        <v>318</v>
      </c>
    </row>
    <row r="248" spans="1:9" hidden="1" x14ac:dyDescent="0.25">
      <c r="A248">
        <v>247</v>
      </c>
      <c r="B248" s="1">
        <v>45378</v>
      </c>
      <c r="C248" t="s">
        <v>64</v>
      </c>
      <c r="D248">
        <v>199</v>
      </c>
      <c r="E248" t="s">
        <v>15</v>
      </c>
      <c r="F248" t="s">
        <v>21</v>
      </c>
      <c r="G248">
        <f>MONTH(cleaned_personal_finance_data4[[#This Row],[date]])</f>
        <v>3</v>
      </c>
      <c r="H248">
        <f>YEAR(cleaned_personal_finance_data4[[#This Row],[date]])</f>
        <v>2024</v>
      </c>
      <c r="I248" t="s">
        <v>64</v>
      </c>
    </row>
    <row r="249" spans="1:9" hidden="1" x14ac:dyDescent="0.25">
      <c r="A249">
        <v>248</v>
      </c>
      <c r="B249" s="1">
        <v>45381</v>
      </c>
      <c r="C249" t="s">
        <v>140</v>
      </c>
      <c r="D249">
        <v>200</v>
      </c>
      <c r="E249" t="s">
        <v>15</v>
      </c>
      <c r="F249" t="s">
        <v>13</v>
      </c>
      <c r="G249">
        <f>MONTH(cleaned_personal_finance_data4[[#This Row],[date]])</f>
        <v>3</v>
      </c>
      <c r="H249">
        <f>YEAR(cleaned_personal_finance_data4[[#This Row],[date]])</f>
        <v>2024</v>
      </c>
      <c r="I249" t="s">
        <v>140</v>
      </c>
    </row>
    <row r="250" spans="1:9" hidden="1" x14ac:dyDescent="0.25">
      <c r="A250">
        <v>249</v>
      </c>
      <c r="B250" s="1">
        <v>45381</v>
      </c>
      <c r="C250" t="s">
        <v>141</v>
      </c>
      <c r="D250">
        <v>50</v>
      </c>
      <c r="E250" t="s">
        <v>15</v>
      </c>
      <c r="F250" t="s">
        <v>13</v>
      </c>
      <c r="G250">
        <f>MONTH(cleaned_personal_finance_data4[[#This Row],[date]])</f>
        <v>3</v>
      </c>
      <c r="H250">
        <f>YEAR(cleaned_personal_finance_data4[[#This Row],[date]])</f>
        <v>2024</v>
      </c>
      <c r="I250" t="s">
        <v>141</v>
      </c>
    </row>
    <row r="251" spans="1:9" hidden="1" x14ac:dyDescent="0.25">
      <c r="A251">
        <v>250</v>
      </c>
      <c r="B251" s="1">
        <v>45382</v>
      </c>
      <c r="C251" t="s">
        <v>142</v>
      </c>
      <c r="D251">
        <v>8</v>
      </c>
      <c r="E251" t="s">
        <v>15</v>
      </c>
      <c r="F251" t="s">
        <v>13</v>
      </c>
      <c r="G251">
        <f>MONTH(cleaned_personal_finance_data4[[#This Row],[date]])</f>
        <v>3</v>
      </c>
      <c r="H251">
        <f>YEAR(cleaned_personal_finance_data4[[#This Row],[date]])</f>
        <v>2024</v>
      </c>
      <c r="I251" t="s">
        <v>237</v>
      </c>
    </row>
    <row r="252" spans="1:9" hidden="1" x14ac:dyDescent="0.25">
      <c r="A252">
        <v>251</v>
      </c>
      <c r="B252" s="1">
        <v>45382</v>
      </c>
      <c r="C252" t="s">
        <v>36</v>
      </c>
      <c r="D252">
        <v>130</v>
      </c>
      <c r="E252" t="s">
        <v>15</v>
      </c>
      <c r="F252" t="s">
        <v>13</v>
      </c>
      <c r="G252">
        <f>MONTH(cleaned_personal_finance_data4[[#This Row],[date]])</f>
        <v>3</v>
      </c>
      <c r="H252">
        <f>YEAR(cleaned_personal_finance_data4[[#This Row],[date]])</f>
        <v>2024</v>
      </c>
      <c r="I252" t="s">
        <v>329</v>
      </c>
    </row>
    <row r="253" spans="1:9" hidden="1" x14ac:dyDescent="0.25">
      <c r="A253">
        <v>252</v>
      </c>
      <c r="B253" s="1">
        <v>45384</v>
      </c>
      <c r="C253" t="s">
        <v>38</v>
      </c>
      <c r="D253">
        <v>1500</v>
      </c>
      <c r="E253" t="s">
        <v>15</v>
      </c>
      <c r="F253" t="s">
        <v>13</v>
      </c>
      <c r="G253">
        <f>MONTH(cleaned_personal_finance_data4[[#This Row],[date]])</f>
        <v>4</v>
      </c>
      <c r="H253">
        <f>YEAR(cleaned_personal_finance_data4[[#This Row],[date]])</f>
        <v>2024</v>
      </c>
      <c r="I253" t="s">
        <v>38</v>
      </c>
    </row>
    <row r="254" spans="1:9" hidden="1" x14ac:dyDescent="0.25">
      <c r="A254">
        <v>253</v>
      </c>
      <c r="B254" s="1">
        <v>45384</v>
      </c>
      <c r="C254" t="s">
        <v>28</v>
      </c>
      <c r="D254">
        <v>50</v>
      </c>
      <c r="E254" t="s">
        <v>15</v>
      </c>
      <c r="F254" t="s">
        <v>21</v>
      </c>
      <c r="G254">
        <f>MONTH(cleaned_personal_finance_data4[[#This Row],[date]])</f>
        <v>4</v>
      </c>
      <c r="H254">
        <f>YEAR(cleaned_personal_finance_data4[[#This Row],[date]])</f>
        <v>2024</v>
      </c>
      <c r="I254" t="s">
        <v>28</v>
      </c>
    </row>
    <row r="255" spans="1:9" hidden="1" x14ac:dyDescent="0.25">
      <c r="A255">
        <v>254</v>
      </c>
      <c r="B255" s="1">
        <v>45387</v>
      </c>
      <c r="C255" t="s">
        <v>28</v>
      </c>
      <c r="D255">
        <v>125</v>
      </c>
      <c r="E255" t="s">
        <v>15</v>
      </c>
      <c r="F255" t="s">
        <v>21</v>
      </c>
      <c r="G255">
        <f>MONTH(cleaned_personal_finance_data4[[#This Row],[date]])</f>
        <v>4</v>
      </c>
      <c r="H255">
        <f>YEAR(cleaned_personal_finance_data4[[#This Row],[date]])</f>
        <v>2024</v>
      </c>
      <c r="I255" t="s">
        <v>28</v>
      </c>
    </row>
    <row r="256" spans="1:9" hidden="1" x14ac:dyDescent="0.25">
      <c r="A256">
        <v>255</v>
      </c>
      <c r="B256" s="1">
        <v>45387</v>
      </c>
      <c r="C256" t="s">
        <v>143</v>
      </c>
      <c r="D256">
        <v>40</v>
      </c>
      <c r="E256" t="s">
        <v>15</v>
      </c>
      <c r="F256" t="s">
        <v>13</v>
      </c>
      <c r="G256">
        <f>MONTH(cleaned_personal_finance_data4[[#This Row],[date]])</f>
        <v>4</v>
      </c>
      <c r="H256">
        <f>YEAR(cleaned_personal_finance_data4[[#This Row],[date]])</f>
        <v>2024</v>
      </c>
      <c r="I256" t="s">
        <v>143</v>
      </c>
    </row>
    <row r="257" spans="1:9" hidden="1" x14ac:dyDescent="0.25">
      <c r="A257">
        <v>256</v>
      </c>
      <c r="B257" s="1">
        <v>45388</v>
      </c>
      <c r="C257" t="s">
        <v>24</v>
      </c>
      <c r="D257">
        <v>239</v>
      </c>
      <c r="E257" t="s">
        <v>15</v>
      </c>
      <c r="F257" t="s">
        <v>21</v>
      </c>
      <c r="G257">
        <f>MONTH(cleaned_personal_finance_data4[[#This Row],[date]])</f>
        <v>4</v>
      </c>
      <c r="H257">
        <f>YEAR(cleaned_personal_finance_data4[[#This Row],[date]])</f>
        <v>2024</v>
      </c>
      <c r="I257" t="s">
        <v>24</v>
      </c>
    </row>
    <row r="258" spans="1:9" hidden="1" x14ac:dyDescent="0.25">
      <c r="A258">
        <v>257</v>
      </c>
      <c r="B258" s="1">
        <v>45389</v>
      </c>
      <c r="C258" t="s">
        <v>144</v>
      </c>
      <c r="D258">
        <v>2560</v>
      </c>
      <c r="E258" t="s">
        <v>15</v>
      </c>
      <c r="F258" t="s">
        <v>13</v>
      </c>
      <c r="G258">
        <f>MONTH(cleaned_personal_finance_data4[[#This Row],[date]])</f>
        <v>4</v>
      </c>
      <c r="H258">
        <f>YEAR(cleaned_personal_finance_data4[[#This Row],[date]])</f>
        <v>2024</v>
      </c>
      <c r="I258" t="s">
        <v>159</v>
      </c>
    </row>
    <row r="259" spans="1:9" hidden="1" x14ac:dyDescent="0.25">
      <c r="A259">
        <v>258</v>
      </c>
      <c r="B259" s="1">
        <v>45389</v>
      </c>
      <c r="C259" t="s">
        <v>145</v>
      </c>
      <c r="D259">
        <v>5000</v>
      </c>
      <c r="E259" t="s">
        <v>15</v>
      </c>
      <c r="F259" t="s">
        <v>13</v>
      </c>
      <c r="G259">
        <f>MONTH(cleaned_personal_finance_data4[[#This Row],[date]])</f>
        <v>4</v>
      </c>
      <c r="H259">
        <f>YEAR(cleaned_personal_finance_data4[[#This Row],[date]])</f>
        <v>2024</v>
      </c>
      <c r="I259" t="s">
        <v>145</v>
      </c>
    </row>
    <row r="260" spans="1:9" hidden="1" x14ac:dyDescent="0.25">
      <c r="A260">
        <v>259</v>
      </c>
      <c r="B260" s="1">
        <v>45391</v>
      </c>
      <c r="C260" t="s">
        <v>146</v>
      </c>
      <c r="D260">
        <v>50</v>
      </c>
      <c r="E260" t="s">
        <v>15</v>
      </c>
      <c r="F260" t="s">
        <v>13</v>
      </c>
      <c r="G260">
        <f>MONTH(cleaned_personal_finance_data4[[#This Row],[date]])</f>
        <v>4</v>
      </c>
      <c r="H260">
        <f>YEAR(cleaned_personal_finance_data4[[#This Row],[date]])</f>
        <v>2024</v>
      </c>
      <c r="I260" t="s">
        <v>146</v>
      </c>
    </row>
    <row r="261" spans="1:9" hidden="1" x14ac:dyDescent="0.25">
      <c r="A261">
        <v>260</v>
      </c>
      <c r="B261" s="1">
        <v>45391</v>
      </c>
      <c r="C261" t="s">
        <v>136</v>
      </c>
      <c r="D261">
        <v>12995</v>
      </c>
      <c r="E261" t="s">
        <v>10</v>
      </c>
      <c r="F261" t="s">
        <v>8</v>
      </c>
      <c r="G261">
        <f>MONTH(cleaned_personal_finance_data4[[#This Row],[date]])</f>
        <v>4</v>
      </c>
      <c r="H261">
        <f>YEAR(cleaned_personal_finance_data4[[#This Row],[date]])</f>
        <v>2024</v>
      </c>
      <c r="I261" t="s">
        <v>136</v>
      </c>
    </row>
    <row r="262" spans="1:9" hidden="1" x14ac:dyDescent="0.25">
      <c r="A262">
        <v>261</v>
      </c>
      <c r="B262" s="1">
        <v>45391</v>
      </c>
      <c r="C262" t="s">
        <v>137</v>
      </c>
      <c r="D262">
        <v>100</v>
      </c>
      <c r="E262" t="s">
        <v>15</v>
      </c>
      <c r="F262" t="s">
        <v>13</v>
      </c>
      <c r="G262">
        <f>MONTH(cleaned_personal_finance_data4[[#This Row],[date]])</f>
        <v>4</v>
      </c>
      <c r="H262">
        <f>YEAR(cleaned_personal_finance_data4[[#This Row],[date]])</f>
        <v>2024</v>
      </c>
      <c r="I262" t="s">
        <v>137</v>
      </c>
    </row>
    <row r="263" spans="1:9" x14ac:dyDescent="0.25">
      <c r="A263">
        <v>262</v>
      </c>
      <c r="B263" s="1">
        <v>45391</v>
      </c>
      <c r="C263" t="s">
        <v>147</v>
      </c>
      <c r="D263">
        <v>6000</v>
      </c>
      <c r="E263" t="s">
        <v>7</v>
      </c>
      <c r="F263" t="s">
        <v>8</v>
      </c>
      <c r="G263">
        <f>MONTH(cleaned_personal_finance_data4[[#This Row],[date]])</f>
        <v>4</v>
      </c>
      <c r="H263">
        <f>YEAR(cleaned_personal_finance_data4[[#This Row],[date]])</f>
        <v>2024</v>
      </c>
      <c r="I263" t="s">
        <v>147</v>
      </c>
    </row>
    <row r="264" spans="1:9" hidden="1" x14ac:dyDescent="0.25">
      <c r="A264">
        <v>263</v>
      </c>
      <c r="B264" s="1">
        <v>45392</v>
      </c>
      <c r="C264" t="s">
        <v>127</v>
      </c>
      <c r="D264">
        <v>80</v>
      </c>
      <c r="E264" t="s">
        <v>15</v>
      </c>
      <c r="F264" t="s">
        <v>13</v>
      </c>
      <c r="G264">
        <f>MONTH(cleaned_personal_finance_data4[[#This Row],[date]])</f>
        <v>4</v>
      </c>
      <c r="H264">
        <f>YEAR(cleaned_personal_finance_data4[[#This Row],[date]])</f>
        <v>2024</v>
      </c>
      <c r="I264" t="s">
        <v>262</v>
      </c>
    </row>
    <row r="265" spans="1:9" x14ac:dyDescent="0.25">
      <c r="A265">
        <v>264</v>
      </c>
      <c r="B265" s="1">
        <v>45397</v>
      </c>
      <c r="C265" t="s">
        <v>131</v>
      </c>
      <c r="D265">
        <v>13615</v>
      </c>
      <c r="E265" t="s">
        <v>7</v>
      </c>
      <c r="F265" t="s">
        <v>8</v>
      </c>
      <c r="G265">
        <f>MONTH(cleaned_personal_finance_data4[[#This Row],[date]])</f>
        <v>4</v>
      </c>
      <c r="H265">
        <f>YEAR(cleaned_personal_finance_data4[[#This Row],[date]])</f>
        <v>2024</v>
      </c>
      <c r="I265" t="s">
        <v>318</v>
      </c>
    </row>
    <row r="266" spans="1:9" hidden="1" x14ac:dyDescent="0.25">
      <c r="A266">
        <v>265</v>
      </c>
      <c r="B266" s="1">
        <v>45398</v>
      </c>
      <c r="C266" t="s">
        <v>36</v>
      </c>
      <c r="D266">
        <v>130</v>
      </c>
      <c r="E266" t="s">
        <v>15</v>
      </c>
      <c r="F266" t="s">
        <v>13</v>
      </c>
      <c r="G266">
        <f>MONTH(cleaned_personal_finance_data4[[#This Row],[date]])</f>
        <v>4</v>
      </c>
      <c r="H266">
        <f>YEAR(cleaned_personal_finance_data4[[#This Row],[date]])</f>
        <v>2024</v>
      </c>
      <c r="I266" t="s">
        <v>329</v>
      </c>
    </row>
    <row r="267" spans="1:9" hidden="1" x14ac:dyDescent="0.25">
      <c r="A267">
        <v>266</v>
      </c>
      <c r="B267" s="1">
        <v>45398</v>
      </c>
      <c r="C267" t="s">
        <v>148</v>
      </c>
      <c r="D267">
        <v>43</v>
      </c>
      <c r="E267" t="s">
        <v>15</v>
      </c>
      <c r="F267" t="s">
        <v>13</v>
      </c>
      <c r="G267">
        <f>MONTH(cleaned_personal_finance_data4[[#This Row],[date]])</f>
        <v>4</v>
      </c>
      <c r="H267">
        <f>YEAR(cleaned_personal_finance_data4[[#This Row],[date]])</f>
        <v>2024</v>
      </c>
      <c r="I267" t="s">
        <v>237</v>
      </c>
    </row>
    <row r="268" spans="1:9" hidden="1" x14ac:dyDescent="0.25">
      <c r="A268">
        <v>267</v>
      </c>
      <c r="B268" s="1">
        <v>45398</v>
      </c>
      <c r="C268" t="s">
        <v>37</v>
      </c>
      <c r="D268">
        <v>25</v>
      </c>
      <c r="E268" t="s">
        <v>15</v>
      </c>
      <c r="F268" t="s">
        <v>13</v>
      </c>
      <c r="G268">
        <f>MONTH(cleaned_personal_finance_data4[[#This Row],[date]])</f>
        <v>4</v>
      </c>
      <c r="H268">
        <f>YEAR(cleaned_personal_finance_data4[[#This Row],[date]])</f>
        <v>2024</v>
      </c>
      <c r="I268" t="s">
        <v>47</v>
      </c>
    </row>
    <row r="269" spans="1:9" hidden="1" x14ac:dyDescent="0.25">
      <c r="A269">
        <v>268</v>
      </c>
      <c r="B269" s="1">
        <v>45398</v>
      </c>
      <c r="C269" t="s">
        <v>28</v>
      </c>
      <c r="D269">
        <v>125</v>
      </c>
      <c r="E269" t="s">
        <v>15</v>
      </c>
      <c r="F269" t="s">
        <v>21</v>
      </c>
      <c r="G269">
        <f>MONTH(cleaned_personal_finance_data4[[#This Row],[date]])</f>
        <v>4</v>
      </c>
      <c r="H269">
        <f>YEAR(cleaned_personal_finance_data4[[#This Row],[date]])</f>
        <v>2024</v>
      </c>
      <c r="I269" t="s">
        <v>28</v>
      </c>
    </row>
    <row r="270" spans="1:9" hidden="1" x14ac:dyDescent="0.25">
      <c r="A270">
        <v>269</v>
      </c>
      <c r="B270" s="1">
        <v>45402</v>
      </c>
      <c r="C270" t="s">
        <v>50</v>
      </c>
      <c r="D270">
        <v>599</v>
      </c>
      <c r="E270" t="s">
        <v>15</v>
      </c>
      <c r="F270" t="s">
        <v>21</v>
      </c>
      <c r="G270">
        <f>MONTH(cleaned_personal_finance_data4[[#This Row],[date]])</f>
        <v>4</v>
      </c>
      <c r="H270">
        <f>YEAR(cleaned_personal_finance_data4[[#This Row],[date]])</f>
        <v>2024</v>
      </c>
      <c r="I270" t="s">
        <v>50</v>
      </c>
    </row>
    <row r="271" spans="1:9" hidden="1" x14ac:dyDescent="0.25">
      <c r="A271">
        <v>270</v>
      </c>
      <c r="B271" s="1">
        <v>45403</v>
      </c>
      <c r="C271" t="s">
        <v>37</v>
      </c>
      <c r="D271">
        <v>25</v>
      </c>
      <c r="E271" t="s">
        <v>15</v>
      </c>
      <c r="F271" t="s">
        <v>13</v>
      </c>
      <c r="G271">
        <f>MONTH(cleaned_personal_finance_data4[[#This Row],[date]])</f>
        <v>4</v>
      </c>
      <c r="H271">
        <f>YEAR(cleaned_personal_finance_data4[[#This Row],[date]])</f>
        <v>2024</v>
      </c>
      <c r="I271" t="s">
        <v>47</v>
      </c>
    </row>
    <row r="272" spans="1:9" hidden="1" x14ac:dyDescent="0.25">
      <c r="A272">
        <v>271</v>
      </c>
      <c r="B272" s="1">
        <v>45403</v>
      </c>
      <c r="C272" t="s">
        <v>35</v>
      </c>
      <c r="D272">
        <v>280</v>
      </c>
      <c r="E272" t="s">
        <v>15</v>
      </c>
      <c r="F272" t="s">
        <v>21</v>
      </c>
      <c r="G272">
        <f>MONTH(cleaned_personal_finance_data4[[#This Row],[date]])</f>
        <v>4</v>
      </c>
      <c r="H272">
        <f>YEAR(cleaned_personal_finance_data4[[#This Row],[date]])</f>
        <v>2024</v>
      </c>
      <c r="I272" t="s">
        <v>35</v>
      </c>
    </row>
    <row r="273" spans="1:9" hidden="1" x14ac:dyDescent="0.25">
      <c r="A273">
        <v>272</v>
      </c>
      <c r="B273" s="1">
        <v>45404</v>
      </c>
      <c r="C273" t="s">
        <v>34</v>
      </c>
      <c r="D273">
        <v>129</v>
      </c>
      <c r="E273" t="s">
        <v>15</v>
      </c>
      <c r="F273" t="s">
        <v>21</v>
      </c>
      <c r="G273">
        <f>MONTH(cleaned_personal_finance_data4[[#This Row],[date]])</f>
        <v>4</v>
      </c>
      <c r="H273">
        <f>YEAR(cleaned_personal_finance_data4[[#This Row],[date]])</f>
        <v>2024</v>
      </c>
      <c r="I273" t="s">
        <v>34</v>
      </c>
    </row>
    <row r="274" spans="1:9" hidden="1" x14ac:dyDescent="0.25">
      <c r="A274">
        <v>273</v>
      </c>
      <c r="B274" s="1">
        <v>45404</v>
      </c>
      <c r="C274" t="s">
        <v>64</v>
      </c>
      <c r="D274">
        <v>199</v>
      </c>
      <c r="E274" t="s">
        <v>15</v>
      </c>
      <c r="F274" t="s">
        <v>21</v>
      </c>
      <c r="G274">
        <f>MONTH(cleaned_personal_finance_data4[[#This Row],[date]])</f>
        <v>4</v>
      </c>
      <c r="H274">
        <f>YEAR(cleaned_personal_finance_data4[[#This Row],[date]])</f>
        <v>2024</v>
      </c>
      <c r="I274" t="s">
        <v>64</v>
      </c>
    </row>
    <row r="275" spans="1:9" hidden="1" x14ac:dyDescent="0.25">
      <c r="A275">
        <v>274</v>
      </c>
      <c r="B275" s="1">
        <v>45412</v>
      </c>
      <c r="C275" t="s">
        <v>149</v>
      </c>
      <c r="D275">
        <v>500</v>
      </c>
      <c r="E275" t="s">
        <v>15</v>
      </c>
      <c r="F275" t="s">
        <v>21</v>
      </c>
      <c r="G275">
        <f>MONTH(cleaned_personal_finance_data4[[#This Row],[date]])</f>
        <v>4</v>
      </c>
      <c r="H275">
        <f>YEAR(cleaned_personal_finance_data4[[#This Row],[date]])</f>
        <v>2024</v>
      </c>
      <c r="I275" t="s">
        <v>149</v>
      </c>
    </row>
    <row r="276" spans="1:9" hidden="1" x14ac:dyDescent="0.25">
      <c r="A276">
        <v>275</v>
      </c>
      <c r="B276" s="1">
        <v>45412</v>
      </c>
      <c r="C276" t="s">
        <v>150</v>
      </c>
      <c r="D276">
        <v>1000</v>
      </c>
      <c r="E276" t="s">
        <v>15</v>
      </c>
      <c r="F276" t="s">
        <v>13</v>
      </c>
      <c r="G276">
        <f>MONTH(cleaned_personal_finance_data4[[#This Row],[date]])</f>
        <v>4</v>
      </c>
      <c r="H276">
        <f>YEAR(cleaned_personal_finance_data4[[#This Row],[date]])</f>
        <v>2024</v>
      </c>
      <c r="I276" t="s">
        <v>150</v>
      </c>
    </row>
    <row r="277" spans="1:9" hidden="1" x14ac:dyDescent="0.25">
      <c r="A277">
        <v>276</v>
      </c>
      <c r="B277" s="1">
        <v>45412</v>
      </c>
      <c r="C277" t="s">
        <v>151</v>
      </c>
      <c r="D277">
        <v>2000</v>
      </c>
      <c r="E277" t="s">
        <v>15</v>
      </c>
      <c r="F277" t="s">
        <v>13</v>
      </c>
      <c r="G277">
        <f>MONTH(cleaned_personal_finance_data4[[#This Row],[date]])</f>
        <v>4</v>
      </c>
      <c r="H277">
        <f>YEAR(cleaned_personal_finance_data4[[#This Row],[date]])</f>
        <v>2024</v>
      </c>
      <c r="I277" t="s">
        <v>151</v>
      </c>
    </row>
    <row r="278" spans="1:9" hidden="1" x14ac:dyDescent="0.25">
      <c r="A278">
        <v>277</v>
      </c>
      <c r="B278" s="1">
        <v>45412</v>
      </c>
      <c r="C278" t="s">
        <v>152</v>
      </c>
      <c r="D278">
        <v>1000</v>
      </c>
      <c r="E278" t="s">
        <v>15</v>
      </c>
      <c r="F278" t="s">
        <v>13</v>
      </c>
      <c r="G278">
        <f>MONTH(cleaned_personal_finance_data4[[#This Row],[date]])</f>
        <v>4</v>
      </c>
      <c r="H278">
        <f>YEAR(cleaned_personal_finance_data4[[#This Row],[date]])</f>
        <v>2024</v>
      </c>
      <c r="I278" t="s">
        <v>152</v>
      </c>
    </row>
    <row r="279" spans="1:9" x14ac:dyDescent="0.25">
      <c r="A279">
        <v>278</v>
      </c>
      <c r="B279" s="1">
        <v>45412</v>
      </c>
      <c r="C279" t="s">
        <v>6</v>
      </c>
      <c r="D279">
        <v>12616</v>
      </c>
      <c r="E279" t="s">
        <v>7</v>
      </c>
      <c r="F279" t="s">
        <v>8</v>
      </c>
      <c r="G279">
        <f>MONTH(cleaned_personal_finance_data4[[#This Row],[date]])</f>
        <v>4</v>
      </c>
      <c r="H279">
        <f>YEAR(cleaned_personal_finance_data4[[#This Row],[date]])</f>
        <v>2024</v>
      </c>
      <c r="I279" t="s">
        <v>318</v>
      </c>
    </row>
    <row r="280" spans="1:9" hidden="1" x14ac:dyDescent="0.25">
      <c r="A280">
        <v>279</v>
      </c>
      <c r="B280" s="1">
        <v>45412</v>
      </c>
      <c r="C280" t="s">
        <v>103</v>
      </c>
      <c r="D280">
        <v>260</v>
      </c>
      <c r="E280" t="s">
        <v>15</v>
      </c>
      <c r="F280" t="s">
        <v>13</v>
      </c>
      <c r="G280">
        <f>MONTH(cleaned_personal_finance_data4[[#This Row],[date]])</f>
        <v>4</v>
      </c>
      <c r="H280">
        <f>YEAR(cleaned_personal_finance_data4[[#This Row],[date]])</f>
        <v>2024</v>
      </c>
      <c r="I280" t="s">
        <v>329</v>
      </c>
    </row>
    <row r="281" spans="1:9" hidden="1" x14ac:dyDescent="0.25">
      <c r="A281">
        <v>280</v>
      </c>
      <c r="B281" s="1">
        <v>45415</v>
      </c>
      <c r="C281" t="s">
        <v>38</v>
      </c>
      <c r="D281">
        <v>1700</v>
      </c>
      <c r="E281" t="s">
        <v>15</v>
      </c>
      <c r="F281" t="s">
        <v>13</v>
      </c>
      <c r="G281">
        <f>MONTH(cleaned_personal_finance_data4[[#This Row],[date]])</f>
        <v>5</v>
      </c>
      <c r="H281">
        <f>YEAR(cleaned_personal_finance_data4[[#This Row],[date]])</f>
        <v>2024</v>
      </c>
      <c r="I281" t="s">
        <v>38</v>
      </c>
    </row>
    <row r="282" spans="1:9" hidden="1" x14ac:dyDescent="0.25">
      <c r="A282">
        <v>281</v>
      </c>
      <c r="B282" s="1">
        <v>45415</v>
      </c>
      <c r="C282" t="s">
        <v>28</v>
      </c>
      <c r="D282">
        <v>50</v>
      </c>
      <c r="E282" t="s">
        <v>15</v>
      </c>
      <c r="F282" t="s">
        <v>21</v>
      </c>
      <c r="G282">
        <f>MONTH(cleaned_personal_finance_data4[[#This Row],[date]])</f>
        <v>5</v>
      </c>
      <c r="H282">
        <f>YEAR(cleaned_personal_finance_data4[[#This Row],[date]])</f>
        <v>2024</v>
      </c>
      <c r="I282" t="s">
        <v>28</v>
      </c>
    </row>
    <row r="283" spans="1:9" hidden="1" x14ac:dyDescent="0.25">
      <c r="A283">
        <v>282</v>
      </c>
      <c r="B283" s="1">
        <v>45415</v>
      </c>
      <c r="C283" t="s">
        <v>28</v>
      </c>
      <c r="D283">
        <v>125</v>
      </c>
      <c r="E283" t="s">
        <v>15</v>
      </c>
      <c r="F283" t="s">
        <v>21</v>
      </c>
      <c r="G283">
        <f>MONTH(cleaned_personal_finance_data4[[#This Row],[date]])</f>
        <v>5</v>
      </c>
      <c r="H283">
        <f>YEAR(cleaned_personal_finance_data4[[#This Row],[date]])</f>
        <v>2024</v>
      </c>
      <c r="I283" t="s">
        <v>28</v>
      </c>
    </row>
    <row r="284" spans="1:9" hidden="1" x14ac:dyDescent="0.25">
      <c r="A284">
        <v>283</v>
      </c>
      <c r="B284" s="1">
        <v>45415</v>
      </c>
      <c r="C284" t="s">
        <v>64</v>
      </c>
      <c r="D284">
        <v>199</v>
      </c>
      <c r="E284" t="s">
        <v>15</v>
      </c>
      <c r="F284" t="s">
        <v>21</v>
      </c>
      <c r="G284">
        <f>MONTH(cleaned_personal_finance_data4[[#This Row],[date]])</f>
        <v>5</v>
      </c>
      <c r="H284">
        <f>YEAR(cleaned_personal_finance_data4[[#This Row],[date]])</f>
        <v>2024</v>
      </c>
      <c r="I284" t="s">
        <v>64</v>
      </c>
    </row>
    <row r="285" spans="1:9" hidden="1" x14ac:dyDescent="0.25">
      <c r="A285">
        <v>284</v>
      </c>
      <c r="B285" s="1">
        <v>45416</v>
      </c>
      <c r="C285" t="s">
        <v>136</v>
      </c>
      <c r="D285">
        <v>19000</v>
      </c>
      <c r="E285" t="s">
        <v>10</v>
      </c>
      <c r="F285" t="s">
        <v>8</v>
      </c>
      <c r="G285">
        <f>MONTH(cleaned_personal_finance_data4[[#This Row],[date]])</f>
        <v>5</v>
      </c>
      <c r="H285">
        <f>YEAR(cleaned_personal_finance_data4[[#This Row],[date]])</f>
        <v>2024</v>
      </c>
      <c r="I285" t="s">
        <v>136</v>
      </c>
    </row>
    <row r="286" spans="1:9" hidden="1" x14ac:dyDescent="0.25">
      <c r="A286">
        <v>285</v>
      </c>
      <c r="B286" s="1">
        <v>45416</v>
      </c>
      <c r="C286" t="s">
        <v>137</v>
      </c>
      <c r="D286">
        <v>236</v>
      </c>
      <c r="E286" t="s">
        <v>15</v>
      </c>
      <c r="F286" t="s">
        <v>8</v>
      </c>
      <c r="G286">
        <f>MONTH(cleaned_personal_finance_data4[[#This Row],[date]])</f>
        <v>5</v>
      </c>
      <c r="H286">
        <f>YEAR(cleaned_personal_finance_data4[[#This Row],[date]])</f>
        <v>2024</v>
      </c>
      <c r="I286" t="s">
        <v>137</v>
      </c>
    </row>
    <row r="287" spans="1:9" hidden="1" x14ac:dyDescent="0.25">
      <c r="A287">
        <v>286</v>
      </c>
      <c r="B287" s="1">
        <v>45416</v>
      </c>
      <c r="C287" t="s">
        <v>153</v>
      </c>
      <c r="D287">
        <v>2100</v>
      </c>
      <c r="E287" t="s">
        <v>15</v>
      </c>
      <c r="F287" t="s">
        <v>13</v>
      </c>
      <c r="G287">
        <f>MONTH(cleaned_personal_finance_data4[[#This Row],[date]])</f>
        <v>5</v>
      </c>
      <c r="H287">
        <f>YEAR(cleaned_personal_finance_data4[[#This Row],[date]])</f>
        <v>2024</v>
      </c>
      <c r="I287" t="s">
        <v>159</v>
      </c>
    </row>
    <row r="288" spans="1:9" hidden="1" x14ac:dyDescent="0.25">
      <c r="A288">
        <v>287</v>
      </c>
      <c r="B288" s="1">
        <v>45416</v>
      </c>
      <c r="C288" t="s">
        <v>145</v>
      </c>
      <c r="D288">
        <v>5000</v>
      </c>
      <c r="E288" t="s">
        <v>15</v>
      </c>
      <c r="F288" t="s">
        <v>13</v>
      </c>
      <c r="G288">
        <f>MONTH(cleaned_personal_finance_data4[[#This Row],[date]])</f>
        <v>5</v>
      </c>
      <c r="H288">
        <f>YEAR(cleaned_personal_finance_data4[[#This Row],[date]])</f>
        <v>2024</v>
      </c>
      <c r="I288" t="s">
        <v>145</v>
      </c>
    </row>
    <row r="289" spans="1:9" hidden="1" x14ac:dyDescent="0.25">
      <c r="A289">
        <v>288</v>
      </c>
      <c r="B289" s="1">
        <v>45416</v>
      </c>
      <c r="C289" t="s">
        <v>20</v>
      </c>
      <c r="D289">
        <v>3000</v>
      </c>
      <c r="E289" t="s">
        <v>10</v>
      </c>
      <c r="F289" t="s">
        <v>13</v>
      </c>
      <c r="G289">
        <f>MONTH(cleaned_personal_finance_data4[[#This Row],[date]])</f>
        <v>5</v>
      </c>
      <c r="H289">
        <f>YEAR(cleaned_personal_finance_data4[[#This Row],[date]])</f>
        <v>2024</v>
      </c>
      <c r="I289" t="s">
        <v>20</v>
      </c>
    </row>
    <row r="290" spans="1:9" hidden="1" x14ac:dyDescent="0.25">
      <c r="A290">
        <v>289</v>
      </c>
      <c r="B290" s="1">
        <v>45416</v>
      </c>
      <c r="C290" t="s">
        <v>20</v>
      </c>
      <c r="D290">
        <v>3000</v>
      </c>
      <c r="E290" t="s">
        <v>12</v>
      </c>
      <c r="F290" t="s">
        <v>21</v>
      </c>
      <c r="G290">
        <f>MONTH(cleaned_personal_finance_data4[[#This Row],[date]])</f>
        <v>5</v>
      </c>
      <c r="H290">
        <f>YEAR(cleaned_personal_finance_data4[[#This Row],[date]])</f>
        <v>2024</v>
      </c>
      <c r="I290" t="s">
        <v>20</v>
      </c>
    </row>
    <row r="291" spans="1:9" hidden="1" x14ac:dyDescent="0.25">
      <c r="A291">
        <v>290</v>
      </c>
      <c r="B291" s="1">
        <v>45418</v>
      </c>
      <c r="C291" t="s">
        <v>28</v>
      </c>
      <c r="D291">
        <v>125</v>
      </c>
      <c r="E291" t="s">
        <v>15</v>
      </c>
      <c r="F291" t="s">
        <v>21</v>
      </c>
      <c r="G291">
        <f>MONTH(cleaned_personal_finance_data4[[#This Row],[date]])</f>
        <v>5</v>
      </c>
      <c r="H291">
        <f>YEAR(cleaned_personal_finance_data4[[#This Row],[date]])</f>
        <v>2024</v>
      </c>
      <c r="I291" t="s">
        <v>28</v>
      </c>
    </row>
    <row r="292" spans="1:9" hidden="1" x14ac:dyDescent="0.25">
      <c r="A292">
        <v>291</v>
      </c>
      <c r="B292" s="1">
        <v>45418</v>
      </c>
      <c r="C292" t="s">
        <v>28</v>
      </c>
      <c r="D292">
        <v>50</v>
      </c>
      <c r="E292" t="s">
        <v>15</v>
      </c>
      <c r="F292" t="s">
        <v>21</v>
      </c>
      <c r="G292">
        <f>MONTH(cleaned_personal_finance_data4[[#This Row],[date]])</f>
        <v>5</v>
      </c>
      <c r="H292">
        <f>YEAR(cleaned_personal_finance_data4[[#This Row],[date]])</f>
        <v>2024</v>
      </c>
      <c r="I292" t="s">
        <v>28</v>
      </c>
    </row>
    <row r="293" spans="1:9" hidden="1" x14ac:dyDescent="0.25">
      <c r="A293">
        <v>292</v>
      </c>
      <c r="B293" s="1">
        <v>45419</v>
      </c>
      <c r="C293" t="s">
        <v>24</v>
      </c>
      <c r="D293">
        <v>239</v>
      </c>
      <c r="E293" t="s">
        <v>15</v>
      </c>
      <c r="F293" t="s">
        <v>21</v>
      </c>
      <c r="G293">
        <f>MONTH(cleaned_personal_finance_data4[[#This Row],[date]])</f>
        <v>5</v>
      </c>
      <c r="H293">
        <f>YEAR(cleaned_personal_finance_data4[[#This Row],[date]])</f>
        <v>2024</v>
      </c>
      <c r="I293" t="s">
        <v>24</v>
      </c>
    </row>
    <row r="294" spans="1:9" hidden="1" x14ac:dyDescent="0.25">
      <c r="A294">
        <v>293</v>
      </c>
      <c r="B294" s="1">
        <v>45420</v>
      </c>
      <c r="C294" t="s">
        <v>25</v>
      </c>
      <c r="D294">
        <v>30</v>
      </c>
      <c r="E294" t="s">
        <v>15</v>
      </c>
      <c r="F294" t="s">
        <v>13</v>
      </c>
      <c r="G294">
        <f>MONTH(cleaned_personal_finance_data4[[#This Row],[date]])</f>
        <v>5</v>
      </c>
      <c r="H294">
        <f>YEAR(cleaned_personal_finance_data4[[#This Row],[date]])</f>
        <v>2024</v>
      </c>
      <c r="I294" t="s">
        <v>25</v>
      </c>
    </row>
    <row r="295" spans="1:9" hidden="1" x14ac:dyDescent="0.25">
      <c r="A295">
        <v>294</v>
      </c>
      <c r="B295" s="1">
        <v>45425</v>
      </c>
      <c r="C295" t="s">
        <v>51</v>
      </c>
      <c r="D295">
        <v>30</v>
      </c>
      <c r="E295" t="s">
        <v>15</v>
      </c>
      <c r="F295" t="s">
        <v>13</v>
      </c>
      <c r="G295">
        <f>MONTH(cleaned_personal_finance_data4[[#This Row],[date]])</f>
        <v>5</v>
      </c>
      <c r="H295">
        <f>YEAR(cleaned_personal_finance_data4[[#This Row],[date]])</f>
        <v>2024</v>
      </c>
      <c r="I295" t="s">
        <v>43</v>
      </c>
    </row>
    <row r="296" spans="1:9" hidden="1" x14ac:dyDescent="0.25">
      <c r="A296">
        <v>295</v>
      </c>
      <c r="B296" s="1">
        <v>45425</v>
      </c>
      <c r="C296" t="s">
        <v>40</v>
      </c>
      <c r="D296">
        <v>37</v>
      </c>
      <c r="E296" t="s">
        <v>15</v>
      </c>
      <c r="F296" t="s">
        <v>13</v>
      </c>
      <c r="G296">
        <f>MONTH(cleaned_personal_finance_data4[[#This Row],[date]])</f>
        <v>5</v>
      </c>
      <c r="H296">
        <f>YEAR(cleaned_personal_finance_data4[[#This Row],[date]])</f>
        <v>2024</v>
      </c>
      <c r="I296" t="s">
        <v>40</v>
      </c>
    </row>
    <row r="297" spans="1:9" hidden="1" x14ac:dyDescent="0.25">
      <c r="A297">
        <v>296</v>
      </c>
      <c r="B297" s="1">
        <v>45425</v>
      </c>
      <c r="C297" t="s">
        <v>106</v>
      </c>
      <c r="D297">
        <v>73</v>
      </c>
      <c r="E297" t="s">
        <v>15</v>
      </c>
      <c r="F297" t="s">
        <v>13</v>
      </c>
      <c r="G297">
        <f>MONTH(cleaned_personal_finance_data4[[#This Row],[date]])</f>
        <v>5</v>
      </c>
      <c r="H297">
        <f>YEAR(cleaned_personal_finance_data4[[#This Row],[date]])</f>
        <v>2024</v>
      </c>
      <c r="I297" t="s">
        <v>106</v>
      </c>
    </row>
    <row r="298" spans="1:9" hidden="1" x14ac:dyDescent="0.25">
      <c r="A298">
        <v>297</v>
      </c>
      <c r="B298" s="1">
        <v>45425</v>
      </c>
      <c r="C298" t="s">
        <v>76</v>
      </c>
      <c r="D298">
        <v>40</v>
      </c>
      <c r="E298" t="s">
        <v>15</v>
      </c>
      <c r="F298" t="s">
        <v>13</v>
      </c>
      <c r="G298">
        <f>MONTH(cleaned_personal_finance_data4[[#This Row],[date]])</f>
        <v>5</v>
      </c>
      <c r="H298">
        <f>YEAR(cleaned_personal_finance_data4[[#This Row],[date]])</f>
        <v>2024</v>
      </c>
      <c r="I298" t="s">
        <v>43</v>
      </c>
    </row>
    <row r="299" spans="1:9" hidden="1" x14ac:dyDescent="0.25">
      <c r="A299">
        <v>298</v>
      </c>
      <c r="B299" s="1">
        <v>45425</v>
      </c>
      <c r="C299" t="s">
        <v>154</v>
      </c>
      <c r="D299">
        <v>399</v>
      </c>
      <c r="E299" t="s">
        <v>15</v>
      </c>
      <c r="F299" t="s">
        <v>21</v>
      </c>
      <c r="G299">
        <f>MONTH(cleaned_personal_finance_data4[[#This Row],[date]])</f>
        <v>5</v>
      </c>
      <c r="H299">
        <f>YEAR(cleaned_personal_finance_data4[[#This Row],[date]])</f>
        <v>2024</v>
      </c>
      <c r="I299" t="s">
        <v>154</v>
      </c>
    </row>
    <row r="300" spans="1:9" x14ac:dyDescent="0.25">
      <c r="A300">
        <v>299</v>
      </c>
      <c r="B300" s="1">
        <v>45426</v>
      </c>
      <c r="C300" t="s">
        <v>6</v>
      </c>
      <c r="D300">
        <v>12615</v>
      </c>
      <c r="E300" t="s">
        <v>7</v>
      </c>
      <c r="F300" t="s">
        <v>8</v>
      </c>
      <c r="G300">
        <f>MONTH(cleaned_personal_finance_data4[[#This Row],[date]])</f>
        <v>5</v>
      </c>
      <c r="H300">
        <f>YEAR(cleaned_personal_finance_data4[[#This Row],[date]])</f>
        <v>2024</v>
      </c>
      <c r="I300" t="s">
        <v>318</v>
      </c>
    </row>
    <row r="301" spans="1:9" hidden="1" x14ac:dyDescent="0.25">
      <c r="A301">
        <v>300</v>
      </c>
      <c r="B301" s="1">
        <v>45427</v>
      </c>
      <c r="C301" t="s">
        <v>25</v>
      </c>
      <c r="D301">
        <v>30</v>
      </c>
      <c r="E301" t="s">
        <v>15</v>
      </c>
      <c r="F301" t="s">
        <v>13</v>
      </c>
      <c r="G301">
        <f>MONTH(cleaned_personal_finance_data4[[#This Row],[date]])</f>
        <v>5</v>
      </c>
      <c r="H301">
        <f>YEAR(cleaned_personal_finance_data4[[#This Row],[date]])</f>
        <v>2024</v>
      </c>
      <c r="I301" t="s">
        <v>25</v>
      </c>
    </row>
    <row r="302" spans="1:9" x14ac:dyDescent="0.25">
      <c r="A302">
        <v>301</v>
      </c>
      <c r="B302" s="1">
        <v>45428</v>
      </c>
      <c r="C302" t="s">
        <v>155</v>
      </c>
      <c r="D302">
        <v>27000</v>
      </c>
      <c r="E302" t="s">
        <v>7</v>
      </c>
      <c r="F302" t="s">
        <v>8</v>
      </c>
      <c r="G302">
        <f>MONTH(cleaned_personal_finance_data4[[#This Row],[date]])</f>
        <v>5</v>
      </c>
      <c r="H302">
        <f>YEAR(cleaned_personal_finance_data4[[#This Row],[date]])</f>
        <v>2024</v>
      </c>
      <c r="I302" t="s">
        <v>330</v>
      </c>
    </row>
    <row r="303" spans="1:9" hidden="1" x14ac:dyDescent="0.25">
      <c r="A303">
        <v>302</v>
      </c>
      <c r="B303" s="1">
        <v>45430</v>
      </c>
      <c r="C303" t="s">
        <v>28</v>
      </c>
      <c r="D303">
        <v>50</v>
      </c>
      <c r="E303" t="s">
        <v>15</v>
      </c>
      <c r="F303" t="s">
        <v>21</v>
      </c>
      <c r="G303">
        <f>MONTH(cleaned_personal_finance_data4[[#This Row],[date]])</f>
        <v>5</v>
      </c>
      <c r="H303">
        <f>YEAR(cleaned_personal_finance_data4[[#This Row],[date]])</f>
        <v>2024</v>
      </c>
      <c r="I303" t="s">
        <v>28</v>
      </c>
    </row>
    <row r="304" spans="1:9" hidden="1" x14ac:dyDescent="0.25">
      <c r="A304">
        <v>303</v>
      </c>
      <c r="B304" s="1">
        <v>45434</v>
      </c>
      <c r="C304" t="s">
        <v>34</v>
      </c>
      <c r="D304">
        <v>129</v>
      </c>
      <c r="E304" t="s">
        <v>15</v>
      </c>
      <c r="F304" t="s">
        <v>21</v>
      </c>
      <c r="G304">
        <f>MONTH(cleaned_personal_finance_data4[[#This Row],[date]])</f>
        <v>5</v>
      </c>
      <c r="H304">
        <f>YEAR(cleaned_personal_finance_data4[[#This Row],[date]])</f>
        <v>2024</v>
      </c>
      <c r="I304" t="s">
        <v>34</v>
      </c>
    </row>
    <row r="305" spans="1:9" hidden="1" x14ac:dyDescent="0.25">
      <c r="A305">
        <v>304</v>
      </c>
      <c r="B305" s="1">
        <v>45434</v>
      </c>
      <c r="C305" t="s">
        <v>35</v>
      </c>
      <c r="D305">
        <v>280</v>
      </c>
      <c r="E305" t="s">
        <v>15</v>
      </c>
      <c r="F305" t="s">
        <v>21</v>
      </c>
      <c r="G305">
        <f>MONTH(cleaned_personal_finance_data4[[#This Row],[date]])</f>
        <v>5</v>
      </c>
      <c r="H305">
        <f>YEAR(cleaned_personal_finance_data4[[#This Row],[date]])</f>
        <v>2024</v>
      </c>
      <c r="I305" t="s">
        <v>35</v>
      </c>
    </row>
    <row r="306" spans="1:9" hidden="1" x14ac:dyDescent="0.25">
      <c r="A306">
        <v>305</v>
      </c>
      <c r="B306" s="1">
        <v>45435</v>
      </c>
      <c r="C306" t="s">
        <v>156</v>
      </c>
      <c r="D306">
        <v>50</v>
      </c>
      <c r="E306" t="s">
        <v>15</v>
      </c>
      <c r="F306" t="s">
        <v>13</v>
      </c>
      <c r="G306">
        <f>MONTH(cleaned_personal_finance_data4[[#This Row],[date]])</f>
        <v>5</v>
      </c>
      <c r="H306">
        <f>YEAR(cleaned_personal_finance_data4[[#This Row],[date]])</f>
        <v>2024</v>
      </c>
      <c r="I306" t="s">
        <v>156</v>
      </c>
    </row>
    <row r="307" spans="1:9" hidden="1" x14ac:dyDescent="0.25">
      <c r="A307">
        <v>306</v>
      </c>
      <c r="B307" s="1">
        <v>45435</v>
      </c>
      <c r="C307" t="s">
        <v>103</v>
      </c>
      <c r="D307">
        <v>260</v>
      </c>
      <c r="E307" t="s">
        <v>15</v>
      </c>
      <c r="F307" t="s">
        <v>13</v>
      </c>
      <c r="G307">
        <f>MONTH(cleaned_personal_finance_data4[[#This Row],[date]])</f>
        <v>5</v>
      </c>
      <c r="H307">
        <f>YEAR(cleaned_personal_finance_data4[[#This Row],[date]])</f>
        <v>2024</v>
      </c>
      <c r="I307" t="s">
        <v>329</v>
      </c>
    </row>
    <row r="308" spans="1:9" hidden="1" x14ac:dyDescent="0.25">
      <c r="A308">
        <v>307</v>
      </c>
      <c r="B308" s="1">
        <v>45435</v>
      </c>
      <c r="C308" t="s">
        <v>64</v>
      </c>
      <c r="D308">
        <v>199</v>
      </c>
      <c r="E308" t="s">
        <v>15</v>
      </c>
      <c r="F308" t="s">
        <v>21</v>
      </c>
      <c r="G308">
        <f>MONTH(cleaned_personal_finance_data4[[#This Row],[date]])</f>
        <v>5</v>
      </c>
      <c r="H308">
        <f>YEAR(cleaned_personal_finance_data4[[#This Row],[date]])</f>
        <v>2024</v>
      </c>
      <c r="I308" t="s">
        <v>64</v>
      </c>
    </row>
    <row r="309" spans="1:9" hidden="1" x14ac:dyDescent="0.25">
      <c r="A309">
        <v>308</v>
      </c>
      <c r="B309" s="1">
        <v>45440</v>
      </c>
      <c r="C309" t="s">
        <v>157</v>
      </c>
      <c r="D309">
        <v>246</v>
      </c>
      <c r="E309" t="s">
        <v>15</v>
      </c>
      <c r="F309" t="s">
        <v>13</v>
      </c>
      <c r="G309">
        <f>MONTH(cleaned_personal_finance_data4[[#This Row],[date]])</f>
        <v>5</v>
      </c>
      <c r="H309">
        <f>YEAR(cleaned_personal_finance_data4[[#This Row],[date]])</f>
        <v>2024</v>
      </c>
      <c r="I309" t="s">
        <v>319</v>
      </c>
    </row>
    <row r="310" spans="1:9" hidden="1" x14ac:dyDescent="0.25">
      <c r="A310">
        <v>309</v>
      </c>
      <c r="B310" s="1">
        <v>45440</v>
      </c>
      <c r="C310" t="s">
        <v>158</v>
      </c>
      <c r="D310">
        <v>440</v>
      </c>
      <c r="E310" t="s">
        <v>15</v>
      </c>
      <c r="F310" t="s">
        <v>13</v>
      </c>
      <c r="G310">
        <f>MONTH(cleaned_personal_finance_data4[[#This Row],[date]])</f>
        <v>5</v>
      </c>
      <c r="H310">
        <f>YEAR(cleaned_personal_finance_data4[[#This Row],[date]])</f>
        <v>2024</v>
      </c>
      <c r="I310" t="s">
        <v>319</v>
      </c>
    </row>
    <row r="311" spans="1:9" hidden="1" x14ac:dyDescent="0.25">
      <c r="A311">
        <v>310</v>
      </c>
      <c r="B311" s="1">
        <v>45440</v>
      </c>
      <c r="C311" t="s">
        <v>28</v>
      </c>
      <c r="D311">
        <v>125</v>
      </c>
      <c r="E311" t="s">
        <v>15</v>
      </c>
      <c r="F311" t="s">
        <v>21</v>
      </c>
      <c r="G311">
        <f>MONTH(cleaned_personal_finance_data4[[#This Row],[date]])</f>
        <v>5</v>
      </c>
      <c r="H311">
        <f>YEAR(cleaned_personal_finance_data4[[#This Row],[date]])</f>
        <v>2024</v>
      </c>
      <c r="I311" t="s">
        <v>28</v>
      </c>
    </row>
    <row r="312" spans="1:9" x14ac:dyDescent="0.25">
      <c r="A312">
        <v>311</v>
      </c>
      <c r="B312" s="1">
        <v>45442</v>
      </c>
      <c r="C312" t="s">
        <v>6</v>
      </c>
      <c r="D312">
        <v>12615</v>
      </c>
      <c r="E312" t="s">
        <v>7</v>
      </c>
      <c r="F312" t="s">
        <v>8</v>
      </c>
      <c r="G312">
        <f>MONTH(cleaned_personal_finance_data4[[#This Row],[date]])</f>
        <v>5</v>
      </c>
      <c r="H312">
        <f>YEAR(cleaned_personal_finance_data4[[#This Row],[date]])</f>
        <v>2024</v>
      </c>
      <c r="I312" t="s">
        <v>318</v>
      </c>
    </row>
    <row r="313" spans="1:9" hidden="1" x14ac:dyDescent="0.25">
      <c r="A313">
        <v>312</v>
      </c>
      <c r="B313" s="1">
        <v>45445</v>
      </c>
      <c r="C313" t="s">
        <v>67</v>
      </c>
      <c r="D313">
        <v>105</v>
      </c>
      <c r="E313" t="s">
        <v>15</v>
      </c>
      <c r="F313" t="s">
        <v>13</v>
      </c>
      <c r="G313">
        <f>MONTH(cleaned_personal_finance_data4[[#This Row],[date]])</f>
        <v>6</v>
      </c>
      <c r="H313">
        <f>YEAR(cleaned_personal_finance_data4[[#This Row],[date]])</f>
        <v>2024</v>
      </c>
      <c r="I313" t="s">
        <v>67</v>
      </c>
    </row>
    <row r="314" spans="1:9" hidden="1" x14ac:dyDescent="0.25">
      <c r="A314">
        <v>313</v>
      </c>
      <c r="B314" s="1">
        <v>45447</v>
      </c>
      <c r="C314" t="s">
        <v>28</v>
      </c>
      <c r="D314">
        <v>125</v>
      </c>
      <c r="E314" t="s">
        <v>15</v>
      </c>
      <c r="F314" t="s">
        <v>21</v>
      </c>
      <c r="G314">
        <f>MONTH(cleaned_personal_finance_data4[[#This Row],[date]])</f>
        <v>6</v>
      </c>
      <c r="H314">
        <f>YEAR(cleaned_personal_finance_data4[[#This Row],[date]])</f>
        <v>2024</v>
      </c>
      <c r="I314" t="s">
        <v>28</v>
      </c>
    </row>
    <row r="315" spans="1:9" hidden="1" x14ac:dyDescent="0.25">
      <c r="A315">
        <v>314</v>
      </c>
      <c r="B315" s="1">
        <v>45448</v>
      </c>
      <c r="C315" t="s">
        <v>50</v>
      </c>
      <c r="D315">
        <v>699</v>
      </c>
      <c r="E315" t="s">
        <v>15</v>
      </c>
      <c r="F315" t="s">
        <v>21</v>
      </c>
      <c r="G315">
        <f>MONTH(cleaned_personal_finance_data4[[#This Row],[date]])</f>
        <v>6</v>
      </c>
      <c r="H315">
        <f>YEAR(cleaned_personal_finance_data4[[#This Row],[date]])</f>
        <v>2024</v>
      </c>
      <c r="I315" t="s">
        <v>50</v>
      </c>
    </row>
    <row r="316" spans="1:9" hidden="1" x14ac:dyDescent="0.25">
      <c r="A316">
        <v>315</v>
      </c>
      <c r="B316" s="1">
        <v>45449</v>
      </c>
      <c r="C316" t="s">
        <v>28</v>
      </c>
      <c r="D316">
        <v>125</v>
      </c>
      <c r="E316" t="s">
        <v>15</v>
      </c>
      <c r="F316" t="s">
        <v>21</v>
      </c>
      <c r="G316">
        <f>MONTH(cleaned_personal_finance_data4[[#This Row],[date]])</f>
        <v>6</v>
      </c>
      <c r="H316">
        <f>YEAR(cleaned_personal_finance_data4[[#This Row],[date]])</f>
        <v>2024</v>
      </c>
      <c r="I316" t="s">
        <v>28</v>
      </c>
    </row>
    <row r="317" spans="1:9" hidden="1" x14ac:dyDescent="0.25">
      <c r="A317">
        <v>316</v>
      </c>
      <c r="B317" s="1">
        <v>45449</v>
      </c>
      <c r="C317" t="s">
        <v>38</v>
      </c>
      <c r="D317">
        <v>1500</v>
      </c>
      <c r="E317" t="s">
        <v>15</v>
      </c>
      <c r="F317" t="s">
        <v>13</v>
      </c>
      <c r="G317">
        <f>MONTH(cleaned_personal_finance_data4[[#This Row],[date]])</f>
        <v>6</v>
      </c>
      <c r="H317">
        <f>YEAR(cleaned_personal_finance_data4[[#This Row],[date]])</f>
        <v>2024</v>
      </c>
      <c r="I317" t="s">
        <v>38</v>
      </c>
    </row>
    <row r="318" spans="1:9" hidden="1" x14ac:dyDescent="0.25">
      <c r="A318">
        <v>317</v>
      </c>
      <c r="B318" s="1">
        <v>45449</v>
      </c>
      <c r="C318" t="s">
        <v>24</v>
      </c>
      <c r="D318">
        <v>239</v>
      </c>
      <c r="E318" t="s">
        <v>15</v>
      </c>
      <c r="F318" t="s">
        <v>21</v>
      </c>
      <c r="G318">
        <f>MONTH(cleaned_personal_finance_data4[[#This Row],[date]])</f>
        <v>6</v>
      </c>
      <c r="H318">
        <f>YEAR(cleaned_personal_finance_data4[[#This Row],[date]])</f>
        <v>2024</v>
      </c>
      <c r="I318" t="s">
        <v>24</v>
      </c>
    </row>
    <row r="319" spans="1:9" hidden="1" x14ac:dyDescent="0.25">
      <c r="A319">
        <v>318</v>
      </c>
      <c r="B319" s="1">
        <v>45450</v>
      </c>
      <c r="C319" t="s">
        <v>145</v>
      </c>
      <c r="D319">
        <v>5000</v>
      </c>
      <c r="E319" t="s">
        <v>15</v>
      </c>
      <c r="F319" t="s">
        <v>13</v>
      </c>
      <c r="G319">
        <f>MONTH(cleaned_personal_finance_data4[[#This Row],[date]])</f>
        <v>6</v>
      </c>
      <c r="H319">
        <f>YEAR(cleaned_personal_finance_data4[[#This Row],[date]])</f>
        <v>2024</v>
      </c>
      <c r="I319" t="s">
        <v>145</v>
      </c>
    </row>
    <row r="320" spans="1:9" hidden="1" x14ac:dyDescent="0.25">
      <c r="A320">
        <v>319</v>
      </c>
      <c r="B320" s="1">
        <v>45450</v>
      </c>
      <c r="C320" t="s">
        <v>159</v>
      </c>
      <c r="D320">
        <v>2400</v>
      </c>
      <c r="E320" t="s">
        <v>15</v>
      </c>
      <c r="F320" t="s">
        <v>13</v>
      </c>
      <c r="G320">
        <f>MONTH(cleaned_personal_finance_data4[[#This Row],[date]])</f>
        <v>6</v>
      </c>
      <c r="H320">
        <f>YEAR(cleaned_personal_finance_data4[[#This Row],[date]])</f>
        <v>2024</v>
      </c>
      <c r="I320" t="s">
        <v>159</v>
      </c>
    </row>
    <row r="321" spans="1:9" hidden="1" x14ac:dyDescent="0.25">
      <c r="A321">
        <v>320</v>
      </c>
      <c r="B321" s="1">
        <v>45450</v>
      </c>
      <c r="C321" t="s">
        <v>37</v>
      </c>
      <c r="D321">
        <v>25</v>
      </c>
      <c r="E321" t="s">
        <v>15</v>
      </c>
      <c r="F321" t="s">
        <v>13</v>
      </c>
      <c r="G321">
        <f>MONTH(cleaned_personal_finance_data4[[#This Row],[date]])</f>
        <v>6</v>
      </c>
      <c r="H321">
        <f>YEAR(cleaned_personal_finance_data4[[#This Row],[date]])</f>
        <v>2024</v>
      </c>
      <c r="I321" t="s">
        <v>47</v>
      </c>
    </row>
    <row r="322" spans="1:9" hidden="1" x14ac:dyDescent="0.25">
      <c r="A322">
        <v>321</v>
      </c>
      <c r="B322" s="1">
        <v>45450</v>
      </c>
      <c r="C322" t="s">
        <v>28</v>
      </c>
      <c r="D322">
        <v>25</v>
      </c>
      <c r="E322" t="s">
        <v>15</v>
      </c>
      <c r="F322" t="s">
        <v>21</v>
      </c>
      <c r="G322">
        <f>MONTH(cleaned_personal_finance_data4[[#This Row],[date]])</f>
        <v>6</v>
      </c>
      <c r="H322">
        <f>YEAR(cleaned_personal_finance_data4[[#This Row],[date]])</f>
        <v>2024</v>
      </c>
      <c r="I322" t="s">
        <v>28</v>
      </c>
    </row>
    <row r="323" spans="1:9" hidden="1" x14ac:dyDescent="0.25">
      <c r="A323">
        <v>322</v>
      </c>
      <c r="B323" s="1">
        <v>45450</v>
      </c>
      <c r="C323" t="s">
        <v>28</v>
      </c>
      <c r="D323">
        <v>125</v>
      </c>
      <c r="E323" t="s">
        <v>15</v>
      </c>
      <c r="F323" t="s">
        <v>21</v>
      </c>
      <c r="G323">
        <f>MONTH(cleaned_personal_finance_data4[[#This Row],[date]])</f>
        <v>6</v>
      </c>
      <c r="H323">
        <f>YEAR(cleaned_personal_finance_data4[[#This Row],[date]])</f>
        <v>2024</v>
      </c>
      <c r="I323" t="s">
        <v>28</v>
      </c>
    </row>
    <row r="324" spans="1:9" hidden="1" x14ac:dyDescent="0.25">
      <c r="A324">
        <v>323</v>
      </c>
      <c r="B324" s="1">
        <v>45450</v>
      </c>
      <c r="C324" t="s">
        <v>28</v>
      </c>
      <c r="D324">
        <v>50</v>
      </c>
      <c r="E324" t="s">
        <v>15</v>
      </c>
      <c r="F324" t="s">
        <v>21</v>
      </c>
      <c r="G324">
        <f>MONTH(cleaned_personal_finance_data4[[#This Row],[date]])</f>
        <v>6</v>
      </c>
      <c r="H324">
        <f>YEAR(cleaned_personal_finance_data4[[#This Row],[date]])</f>
        <v>2024</v>
      </c>
      <c r="I324" t="s">
        <v>28</v>
      </c>
    </row>
    <row r="325" spans="1:9" hidden="1" x14ac:dyDescent="0.25">
      <c r="A325">
        <v>324</v>
      </c>
      <c r="B325" s="1">
        <v>45453</v>
      </c>
      <c r="C325" t="s">
        <v>160</v>
      </c>
      <c r="D325">
        <v>240</v>
      </c>
      <c r="E325" t="s">
        <v>15</v>
      </c>
      <c r="F325" t="s">
        <v>13</v>
      </c>
      <c r="G325">
        <f>MONTH(cleaned_personal_finance_data4[[#This Row],[date]])</f>
        <v>6</v>
      </c>
      <c r="H325">
        <f>YEAR(cleaned_personal_finance_data4[[#This Row],[date]])</f>
        <v>2024</v>
      </c>
      <c r="I325" t="s">
        <v>43</v>
      </c>
    </row>
    <row r="326" spans="1:9" hidden="1" x14ac:dyDescent="0.25">
      <c r="A326">
        <v>325</v>
      </c>
      <c r="B326" s="1">
        <v>45453</v>
      </c>
      <c r="C326" t="s">
        <v>161</v>
      </c>
      <c r="D326">
        <v>328</v>
      </c>
      <c r="E326" t="s">
        <v>15</v>
      </c>
      <c r="F326" t="s">
        <v>13</v>
      </c>
      <c r="G326">
        <f>MONTH(cleaned_personal_finance_data4[[#This Row],[date]])</f>
        <v>6</v>
      </c>
      <c r="H326">
        <f>YEAR(cleaned_personal_finance_data4[[#This Row],[date]])</f>
        <v>2024</v>
      </c>
      <c r="I326" t="s">
        <v>161</v>
      </c>
    </row>
    <row r="327" spans="1:9" hidden="1" x14ac:dyDescent="0.25">
      <c r="A327">
        <v>326</v>
      </c>
      <c r="B327" s="1">
        <v>45453</v>
      </c>
      <c r="C327" t="s">
        <v>162</v>
      </c>
      <c r="D327">
        <v>19000</v>
      </c>
      <c r="E327" t="s">
        <v>10</v>
      </c>
      <c r="F327" t="s">
        <v>8</v>
      </c>
      <c r="G327">
        <f>MONTH(cleaned_personal_finance_data4[[#This Row],[date]])</f>
        <v>6</v>
      </c>
      <c r="H327">
        <f>YEAR(cleaned_personal_finance_data4[[#This Row],[date]])</f>
        <v>2024</v>
      </c>
      <c r="I327" t="s">
        <v>162</v>
      </c>
    </row>
    <row r="328" spans="1:9" hidden="1" x14ac:dyDescent="0.25">
      <c r="A328">
        <v>327</v>
      </c>
      <c r="B328" s="1">
        <v>45453</v>
      </c>
      <c r="C328" t="s">
        <v>163</v>
      </c>
      <c r="D328">
        <v>38</v>
      </c>
      <c r="E328" t="s">
        <v>15</v>
      </c>
      <c r="F328" t="s">
        <v>8</v>
      </c>
      <c r="G328">
        <f>MONTH(cleaned_personal_finance_data4[[#This Row],[date]])</f>
        <v>6</v>
      </c>
      <c r="H328">
        <f>YEAR(cleaned_personal_finance_data4[[#This Row],[date]])</f>
        <v>2024</v>
      </c>
      <c r="I328" t="s">
        <v>163</v>
      </c>
    </row>
    <row r="329" spans="1:9" hidden="1" x14ac:dyDescent="0.25">
      <c r="A329">
        <v>328</v>
      </c>
      <c r="B329" s="1">
        <v>45453</v>
      </c>
      <c r="C329" t="s">
        <v>164</v>
      </c>
      <c r="D329">
        <v>19000</v>
      </c>
      <c r="E329" t="s">
        <v>12</v>
      </c>
      <c r="F329" t="s">
        <v>13</v>
      </c>
      <c r="G329">
        <f>MONTH(cleaned_personal_finance_data4[[#This Row],[date]])</f>
        <v>6</v>
      </c>
      <c r="H329">
        <f>YEAR(cleaned_personal_finance_data4[[#This Row],[date]])</f>
        <v>2024</v>
      </c>
      <c r="I329" t="s">
        <v>164</v>
      </c>
    </row>
    <row r="330" spans="1:9" hidden="1" x14ac:dyDescent="0.25">
      <c r="A330">
        <v>329</v>
      </c>
      <c r="B330" s="1">
        <v>45453</v>
      </c>
      <c r="C330" t="s">
        <v>165</v>
      </c>
      <c r="D330">
        <v>170</v>
      </c>
      <c r="E330" t="s">
        <v>15</v>
      </c>
      <c r="F330" t="s">
        <v>13</v>
      </c>
      <c r="G330">
        <f>MONTH(cleaned_personal_finance_data4[[#This Row],[date]])</f>
        <v>6</v>
      </c>
      <c r="H330">
        <f>YEAR(cleaned_personal_finance_data4[[#This Row],[date]])</f>
        <v>2024</v>
      </c>
      <c r="I330" t="s">
        <v>320</v>
      </c>
    </row>
    <row r="331" spans="1:9" hidden="1" x14ac:dyDescent="0.25">
      <c r="A331">
        <v>330</v>
      </c>
      <c r="B331" s="1">
        <v>45453</v>
      </c>
      <c r="C331" t="s">
        <v>166</v>
      </c>
      <c r="D331">
        <v>15</v>
      </c>
      <c r="E331" t="s">
        <v>15</v>
      </c>
      <c r="F331" t="s">
        <v>13</v>
      </c>
      <c r="G331">
        <f>MONTH(cleaned_personal_finance_data4[[#This Row],[date]])</f>
        <v>6</v>
      </c>
      <c r="H331">
        <f>YEAR(cleaned_personal_finance_data4[[#This Row],[date]])</f>
        <v>2024</v>
      </c>
      <c r="I331" t="s">
        <v>43</v>
      </c>
    </row>
    <row r="332" spans="1:9" hidden="1" x14ac:dyDescent="0.25">
      <c r="A332">
        <v>331</v>
      </c>
      <c r="B332" s="1">
        <v>45453</v>
      </c>
      <c r="C332" t="s">
        <v>167</v>
      </c>
      <c r="D332">
        <v>451</v>
      </c>
      <c r="E332" t="s">
        <v>15</v>
      </c>
      <c r="F332" t="s">
        <v>13</v>
      </c>
      <c r="G332">
        <f>MONTH(cleaned_personal_finance_data4[[#This Row],[date]])</f>
        <v>6</v>
      </c>
      <c r="H332">
        <f>YEAR(cleaned_personal_finance_data4[[#This Row],[date]])</f>
        <v>2024</v>
      </c>
      <c r="I332" t="s">
        <v>167</v>
      </c>
    </row>
    <row r="333" spans="1:9" hidden="1" x14ac:dyDescent="0.25">
      <c r="A333">
        <v>332</v>
      </c>
      <c r="B333" s="1">
        <v>45453</v>
      </c>
      <c r="C333" t="s">
        <v>168</v>
      </c>
      <c r="D333">
        <v>5000</v>
      </c>
      <c r="E333" t="s">
        <v>15</v>
      </c>
      <c r="F333" t="s">
        <v>13</v>
      </c>
      <c r="G333">
        <f>MONTH(cleaned_personal_finance_data4[[#This Row],[date]])</f>
        <v>6</v>
      </c>
      <c r="H333">
        <f>YEAR(cleaned_personal_finance_data4[[#This Row],[date]])</f>
        <v>2024</v>
      </c>
      <c r="I333" t="s">
        <v>323</v>
      </c>
    </row>
    <row r="334" spans="1:9" hidden="1" x14ac:dyDescent="0.25">
      <c r="A334">
        <v>333</v>
      </c>
      <c r="B334" s="1">
        <v>45453</v>
      </c>
      <c r="C334" t="s">
        <v>169</v>
      </c>
      <c r="D334">
        <v>70</v>
      </c>
      <c r="E334" t="s">
        <v>15</v>
      </c>
      <c r="F334" t="s">
        <v>13</v>
      </c>
      <c r="G334">
        <f>MONTH(cleaned_personal_finance_data4[[#This Row],[date]])</f>
        <v>6</v>
      </c>
      <c r="H334">
        <f>YEAR(cleaned_personal_finance_data4[[#This Row],[date]])</f>
        <v>2024</v>
      </c>
      <c r="I334" t="s">
        <v>169</v>
      </c>
    </row>
    <row r="335" spans="1:9" hidden="1" x14ac:dyDescent="0.25">
      <c r="A335">
        <v>334</v>
      </c>
      <c r="B335" s="1">
        <v>45453</v>
      </c>
      <c r="C335" t="s">
        <v>170</v>
      </c>
      <c r="D335">
        <v>320</v>
      </c>
      <c r="E335" t="s">
        <v>15</v>
      </c>
      <c r="F335" t="s">
        <v>13</v>
      </c>
      <c r="G335">
        <f>MONTH(cleaned_personal_finance_data4[[#This Row],[date]])</f>
        <v>6</v>
      </c>
      <c r="H335">
        <f>YEAR(cleaned_personal_finance_data4[[#This Row],[date]])</f>
        <v>2024</v>
      </c>
      <c r="I335" t="s">
        <v>170</v>
      </c>
    </row>
    <row r="336" spans="1:9" hidden="1" x14ac:dyDescent="0.25">
      <c r="A336">
        <v>335</v>
      </c>
      <c r="B336" s="1">
        <v>45453</v>
      </c>
      <c r="C336" t="s">
        <v>171</v>
      </c>
      <c r="D336">
        <v>360</v>
      </c>
      <c r="E336" t="s">
        <v>15</v>
      </c>
      <c r="F336" t="s">
        <v>13</v>
      </c>
      <c r="G336">
        <f>MONTH(cleaned_personal_finance_data4[[#This Row],[date]])</f>
        <v>6</v>
      </c>
      <c r="H336">
        <f>YEAR(cleaned_personal_finance_data4[[#This Row],[date]])</f>
        <v>2024</v>
      </c>
      <c r="I336" t="s">
        <v>43</v>
      </c>
    </row>
    <row r="337" spans="1:9" hidden="1" x14ac:dyDescent="0.25">
      <c r="A337">
        <v>336</v>
      </c>
      <c r="B337" s="1">
        <v>45453</v>
      </c>
      <c r="C337" t="s">
        <v>20</v>
      </c>
      <c r="D337">
        <v>200</v>
      </c>
      <c r="E337" t="s">
        <v>10</v>
      </c>
      <c r="F337" t="s">
        <v>13</v>
      </c>
      <c r="G337">
        <f>MONTH(cleaned_personal_finance_data4[[#This Row],[date]])</f>
        <v>6</v>
      </c>
      <c r="H337">
        <f>YEAR(cleaned_personal_finance_data4[[#This Row],[date]])</f>
        <v>2024</v>
      </c>
      <c r="I337" t="s">
        <v>20</v>
      </c>
    </row>
    <row r="338" spans="1:9" hidden="1" x14ac:dyDescent="0.25">
      <c r="A338">
        <v>337</v>
      </c>
      <c r="B338" s="1">
        <v>45453</v>
      </c>
      <c r="C338" t="s">
        <v>20</v>
      </c>
      <c r="D338">
        <v>200</v>
      </c>
      <c r="E338" t="s">
        <v>12</v>
      </c>
      <c r="F338" t="s">
        <v>21</v>
      </c>
      <c r="G338">
        <f>MONTH(cleaned_personal_finance_data4[[#This Row],[date]])</f>
        <v>6</v>
      </c>
      <c r="H338">
        <f>YEAR(cleaned_personal_finance_data4[[#This Row],[date]])</f>
        <v>2024</v>
      </c>
      <c r="I338" t="s">
        <v>20</v>
      </c>
    </row>
    <row r="339" spans="1:9" hidden="1" x14ac:dyDescent="0.25">
      <c r="A339">
        <v>338</v>
      </c>
      <c r="B339" s="1">
        <v>45453</v>
      </c>
      <c r="C339" t="s">
        <v>64</v>
      </c>
      <c r="D339">
        <v>199</v>
      </c>
      <c r="E339" t="s">
        <v>15</v>
      </c>
      <c r="F339" t="s">
        <v>21</v>
      </c>
      <c r="G339">
        <f>MONTH(cleaned_personal_finance_data4[[#This Row],[date]])</f>
        <v>6</v>
      </c>
      <c r="H339">
        <f>YEAR(cleaned_personal_finance_data4[[#This Row],[date]])</f>
        <v>2024</v>
      </c>
      <c r="I339" t="s">
        <v>64</v>
      </c>
    </row>
    <row r="340" spans="1:9" hidden="1" x14ac:dyDescent="0.25">
      <c r="A340">
        <v>339</v>
      </c>
      <c r="B340" s="1">
        <v>45454</v>
      </c>
      <c r="C340" t="s">
        <v>172</v>
      </c>
      <c r="D340">
        <v>1500</v>
      </c>
      <c r="E340" t="s">
        <v>12</v>
      </c>
      <c r="F340" t="s">
        <v>21</v>
      </c>
      <c r="G340">
        <f>MONTH(cleaned_personal_finance_data4[[#This Row],[date]])</f>
        <v>6</v>
      </c>
      <c r="H340">
        <f>YEAR(cleaned_personal_finance_data4[[#This Row],[date]])</f>
        <v>2024</v>
      </c>
      <c r="I340" t="s">
        <v>20</v>
      </c>
    </row>
    <row r="341" spans="1:9" hidden="1" x14ac:dyDescent="0.25">
      <c r="A341">
        <v>340</v>
      </c>
      <c r="B341" s="1">
        <v>45454</v>
      </c>
      <c r="C341" t="s">
        <v>173</v>
      </c>
      <c r="D341">
        <v>750</v>
      </c>
      <c r="E341" t="s">
        <v>10</v>
      </c>
      <c r="F341" t="s">
        <v>21</v>
      </c>
      <c r="G341">
        <f>MONTH(cleaned_personal_finance_data4[[#This Row],[date]])</f>
        <v>6</v>
      </c>
      <c r="H341">
        <f>YEAR(cleaned_personal_finance_data4[[#This Row],[date]])</f>
        <v>2024</v>
      </c>
      <c r="I341" t="s">
        <v>173</v>
      </c>
    </row>
    <row r="342" spans="1:9" x14ac:dyDescent="0.25">
      <c r="A342">
        <v>341</v>
      </c>
      <c r="B342" s="1">
        <v>45456</v>
      </c>
      <c r="C342" t="s">
        <v>131</v>
      </c>
      <c r="D342">
        <v>12615</v>
      </c>
      <c r="E342" t="s">
        <v>7</v>
      </c>
      <c r="F342" t="s">
        <v>8</v>
      </c>
      <c r="G342">
        <f>MONTH(cleaned_personal_finance_data4[[#This Row],[date]])</f>
        <v>6</v>
      </c>
      <c r="H342">
        <f>YEAR(cleaned_personal_finance_data4[[#This Row],[date]])</f>
        <v>2024</v>
      </c>
      <c r="I342" t="s">
        <v>318</v>
      </c>
    </row>
    <row r="343" spans="1:9" hidden="1" x14ac:dyDescent="0.25">
      <c r="A343">
        <v>342</v>
      </c>
      <c r="B343" s="1">
        <v>45456</v>
      </c>
      <c r="C343" t="s">
        <v>28</v>
      </c>
      <c r="D343">
        <v>125</v>
      </c>
      <c r="E343" t="s">
        <v>15</v>
      </c>
      <c r="F343" t="s">
        <v>21</v>
      </c>
      <c r="G343">
        <f>MONTH(cleaned_personal_finance_data4[[#This Row],[date]])</f>
        <v>6</v>
      </c>
      <c r="H343">
        <f>YEAR(cleaned_personal_finance_data4[[#This Row],[date]])</f>
        <v>2024</v>
      </c>
      <c r="I343" t="s">
        <v>28</v>
      </c>
    </row>
    <row r="344" spans="1:9" hidden="1" x14ac:dyDescent="0.25">
      <c r="A344">
        <v>343</v>
      </c>
      <c r="B344" s="1">
        <v>45457</v>
      </c>
      <c r="C344" t="s">
        <v>28</v>
      </c>
      <c r="D344">
        <v>50</v>
      </c>
      <c r="E344" t="s">
        <v>15</v>
      </c>
      <c r="F344" t="s">
        <v>21</v>
      </c>
      <c r="G344">
        <f>MONTH(cleaned_personal_finance_data4[[#This Row],[date]])</f>
        <v>6</v>
      </c>
      <c r="H344">
        <f>YEAR(cleaned_personal_finance_data4[[#This Row],[date]])</f>
        <v>2024</v>
      </c>
      <c r="I344" t="s">
        <v>28</v>
      </c>
    </row>
    <row r="345" spans="1:9" hidden="1" x14ac:dyDescent="0.25">
      <c r="A345">
        <v>344</v>
      </c>
      <c r="B345" s="1">
        <v>45458</v>
      </c>
      <c r="C345" t="s">
        <v>103</v>
      </c>
      <c r="D345">
        <v>260</v>
      </c>
      <c r="E345" t="s">
        <v>15</v>
      </c>
      <c r="F345" t="s">
        <v>13</v>
      </c>
      <c r="G345">
        <f>MONTH(cleaned_personal_finance_data4[[#This Row],[date]])</f>
        <v>6</v>
      </c>
      <c r="H345">
        <f>YEAR(cleaned_personal_finance_data4[[#This Row],[date]])</f>
        <v>2024</v>
      </c>
      <c r="I345" t="s">
        <v>329</v>
      </c>
    </row>
    <row r="346" spans="1:9" hidden="1" x14ac:dyDescent="0.25">
      <c r="A346">
        <v>345</v>
      </c>
      <c r="B346" s="1">
        <v>45458</v>
      </c>
      <c r="C346" t="s">
        <v>20</v>
      </c>
      <c r="D346">
        <v>3000</v>
      </c>
      <c r="E346" t="s">
        <v>10</v>
      </c>
      <c r="F346" t="s">
        <v>13</v>
      </c>
      <c r="G346">
        <f>MONTH(cleaned_personal_finance_data4[[#This Row],[date]])</f>
        <v>6</v>
      </c>
      <c r="H346">
        <f>YEAR(cleaned_personal_finance_data4[[#This Row],[date]])</f>
        <v>2024</v>
      </c>
      <c r="I346" t="s">
        <v>20</v>
      </c>
    </row>
    <row r="347" spans="1:9" hidden="1" x14ac:dyDescent="0.25">
      <c r="A347">
        <v>346</v>
      </c>
      <c r="B347" s="1">
        <v>45458</v>
      </c>
      <c r="C347" t="s">
        <v>174</v>
      </c>
      <c r="D347">
        <v>3000</v>
      </c>
      <c r="E347" t="s">
        <v>12</v>
      </c>
      <c r="F347" t="s">
        <v>21</v>
      </c>
      <c r="G347">
        <f>MONTH(cleaned_personal_finance_data4[[#This Row],[date]])</f>
        <v>6</v>
      </c>
      <c r="H347">
        <f>YEAR(cleaned_personal_finance_data4[[#This Row],[date]])</f>
        <v>2024</v>
      </c>
      <c r="I347" t="s">
        <v>174</v>
      </c>
    </row>
    <row r="348" spans="1:9" hidden="1" x14ac:dyDescent="0.25">
      <c r="A348">
        <v>347</v>
      </c>
      <c r="B348" s="1">
        <v>45462</v>
      </c>
      <c r="C348" t="s">
        <v>87</v>
      </c>
      <c r="D348">
        <v>250</v>
      </c>
      <c r="E348" t="s">
        <v>15</v>
      </c>
      <c r="F348" t="s">
        <v>13</v>
      </c>
      <c r="G348">
        <f>MONTH(cleaned_personal_finance_data4[[#This Row],[date]])</f>
        <v>6</v>
      </c>
      <c r="H348">
        <f>YEAR(cleaned_personal_finance_data4[[#This Row],[date]])</f>
        <v>2024</v>
      </c>
      <c r="I348" t="s">
        <v>87</v>
      </c>
    </row>
    <row r="349" spans="1:9" hidden="1" x14ac:dyDescent="0.25">
      <c r="A349">
        <v>348</v>
      </c>
      <c r="B349" s="1">
        <v>45462</v>
      </c>
      <c r="C349" t="s">
        <v>175</v>
      </c>
      <c r="D349">
        <v>75</v>
      </c>
      <c r="E349" t="s">
        <v>15</v>
      </c>
      <c r="F349" t="s">
        <v>13</v>
      </c>
      <c r="G349">
        <f>MONTH(cleaned_personal_finance_data4[[#This Row],[date]])</f>
        <v>6</v>
      </c>
      <c r="H349">
        <f>YEAR(cleaned_personal_finance_data4[[#This Row],[date]])</f>
        <v>2024</v>
      </c>
      <c r="I349" t="s">
        <v>159</v>
      </c>
    </row>
    <row r="350" spans="1:9" hidden="1" x14ac:dyDescent="0.25">
      <c r="A350">
        <v>349</v>
      </c>
      <c r="B350" s="1">
        <v>45463</v>
      </c>
      <c r="C350" t="s">
        <v>64</v>
      </c>
      <c r="D350">
        <v>199</v>
      </c>
      <c r="E350" t="s">
        <v>15</v>
      </c>
      <c r="F350" t="s">
        <v>21</v>
      </c>
      <c r="G350">
        <f>MONTH(cleaned_personal_finance_data4[[#This Row],[date]])</f>
        <v>6</v>
      </c>
      <c r="H350">
        <f>YEAR(cleaned_personal_finance_data4[[#This Row],[date]])</f>
        <v>2024</v>
      </c>
      <c r="I350" t="s">
        <v>64</v>
      </c>
    </row>
    <row r="351" spans="1:9" hidden="1" x14ac:dyDescent="0.25">
      <c r="A351">
        <v>350</v>
      </c>
      <c r="B351" s="1">
        <v>45463</v>
      </c>
      <c r="C351" t="s">
        <v>28</v>
      </c>
      <c r="D351">
        <v>50</v>
      </c>
      <c r="E351" t="s">
        <v>15</v>
      </c>
      <c r="F351" t="s">
        <v>21</v>
      </c>
      <c r="G351">
        <f>MONTH(cleaned_personal_finance_data4[[#This Row],[date]])</f>
        <v>6</v>
      </c>
      <c r="H351">
        <f>YEAR(cleaned_personal_finance_data4[[#This Row],[date]])</f>
        <v>2024</v>
      </c>
      <c r="I351" t="s">
        <v>28</v>
      </c>
    </row>
    <row r="352" spans="1:9" hidden="1" x14ac:dyDescent="0.25">
      <c r="A352">
        <v>351</v>
      </c>
      <c r="B352" s="1">
        <v>45464</v>
      </c>
      <c r="C352" t="s">
        <v>34</v>
      </c>
      <c r="D352">
        <v>129</v>
      </c>
      <c r="E352" t="s">
        <v>15</v>
      </c>
      <c r="F352" t="s">
        <v>21</v>
      </c>
      <c r="G352">
        <f>MONTH(cleaned_personal_finance_data4[[#This Row],[date]])</f>
        <v>6</v>
      </c>
      <c r="H352">
        <f>YEAR(cleaned_personal_finance_data4[[#This Row],[date]])</f>
        <v>2024</v>
      </c>
      <c r="I352" t="s">
        <v>34</v>
      </c>
    </row>
    <row r="353" spans="1:9" hidden="1" x14ac:dyDescent="0.25">
      <c r="A353">
        <v>352</v>
      </c>
      <c r="B353" s="1">
        <v>45465</v>
      </c>
      <c r="C353" t="s">
        <v>176</v>
      </c>
      <c r="D353">
        <v>129</v>
      </c>
      <c r="E353" t="s">
        <v>15</v>
      </c>
      <c r="F353" t="s">
        <v>21</v>
      </c>
      <c r="G353">
        <f>MONTH(cleaned_personal_finance_data4[[#This Row],[date]])</f>
        <v>6</v>
      </c>
      <c r="H353">
        <f>YEAR(cleaned_personal_finance_data4[[#This Row],[date]])</f>
        <v>2024</v>
      </c>
      <c r="I353" t="s">
        <v>176</v>
      </c>
    </row>
    <row r="354" spans="1:9" hidden="1" x14ac:dyDescent="0.25">
      <c r="A354">
        <v>353</v>
      </c>
      <c r="B354" s="1">
        <v>45466</v>
      </c>
      <c r="C354" t="s">
        <v>28</v>
      </c>
      <c r="D354">
        <v>50</v>
      </c>
      <c r="E354" t="s">
        <v>15</v>
      </c>
      <c r="F354" t="s">
        <v>21</v>
      </c>
      <c r="G354">
        <f>MONTH(cleaned_personal_finance_data4[[#This Row],[date]])</f>
        <v>6</v>
      </c>
      <c r="H354">
        <f>YEAR(cleaned_personal_finance_data4[[#This Row],[date]])</f>
        <v>2024</v>
      </c>
      <c r="I354" t="s">
        <v>28</v>
      </c>
    </row>
    <row r="355" spans="1:9" hidden="1" x14ac:dyDescent="0.25">
      <c r="A355">
        <v>354</v>
      </c>
      <c r="B355" s="1">
        <v>45466</v>
      </c>
      <c r="C355" t="s">
        <v>28</v>
      </c>
      <c r="D355">
        <v>50</v>
      </c>
      <c r="E355" t="s">
        <v>15</v>
      </c>
      <c r="F355" t="s">
        <v>21</v>
      </c>
      <c r="G355">
        <f>MONTH(cleaned_personal_finance_data4[[#This Row],[date]])</f>
        <v>6</v>
      </c>
      <c r="H355">
        <f>YEAR(cleaned_personal_finance_data4[[#This Row],[date]])</f>
        <v>2024</v>
      </c>
      <c r="I355" t="s">
        <v>28</v>
      </c>
    </row>
    <row r="356" spans="1:9" hidden="1" x14ac:dyDescent="0.25">
      <c r="A356">
        <v>355</v>
      </c>
      <c r="B356" s="1">
        <v>45466</v>
      </c>
      <c r="C356" t="s">
        <v>28</v>
      </c>
      <c r="D356">
        <v>125</v>
      </c>
      <c r="E356" t="s">
        <v>15</v>
      </c>
      <c r="F356" t="s">
        <v>21</v>
      </c>
      <c r="G356">
        <f>MONTH(cleaned_personal_finance_data4[[#This Row],[date]])</f>
        <v>6</v>
      </c>
      <c r="H356">
        <f>YEAR(cleaned_personal_finance_data4[[#This Row],[date]])</f>
        <v>2024</v>
      </c>
      <c r="I356" t="s">
        <v>28</v>
      </c>
    </row>
    <row r="357" spans="1:9" hidden="1" x14ac:dyDescent="0.25">
      <c r="A357">
        <v>356</v>
      </c>
      <c r="B357" s="1">
        <v>45466</v>
      </c>
      <c r="C357" t="s">
        <v>87</v>
      </c>
      <c r="D357">
        <v>240</v>
      </c>
      <c r="E357" t="s">
        <v>15</v>
      </c>
      <c r="F357" t="s">
        <v>13</v>
      </c>
      <c r="G357">
        <f>MONTH(cleaned_personal_finance_data4[[#This Row],[date]])</f>
        <v>6</v>
      </c>
      <c r="H357">
        <f>YEAR(cleaned_personal_finance_data4[[#This Row],[date]])</f>
        <v>2024</v>
      </c>
      <c r="I357" t="s">
        <v>87</v>
      </c>
    </row>
    <row r="358" spans="1:9" x14ac:dyDescent="0.25">
      <c r="A358">
        <v>357</v>
      </c>
      <c r="B358" s="1">
        <v>45470</v>
      </c>
      <c r="C358" t="s">
        <v>6</v>
      </c>
      <c r="D358">
        <v>12616</v>
      </c>
      <c r="E358" t="s">
        <v>7</v>
      </c>
      <c r="F358" t="s">
        <v>13</v>
      </c>
      <c r="G358">
        <f>MONTH(cleaned_personal_finance_data4[[#This Row],[date]])</f>
        <v>6</v>
      </c>
      <c r="H358">
        <f>YEAR(cleaned_personal_finance_data4[[#This Row],[date]])</f>
        <v>2024</v>
      </c>
      <c r="I358" t="s">
        <v>318</v>
      </c>
    </row>
    <row r="359" spans="1:9" hidden="1" x14ac:dyDescent="0.25">
      <c r="A359">
        <v>358</v>
      </c>
      <c r="B359" s="1">
        <v>45470</v>
      </c>
      <c r="C359" t="s">
        <v>28</v>
      </c>
      <c r="D359">
        <v>50</v>
      </c>
      <c r="E359" t="s">
        <v>15</v>
      </c>
      <c r="F359" t="s">
        <v>21</v>
      </c>
      <c r="G359">
        <f>MONTH(cleaned_personal_finance_data4[[#This Row],[date]])</f>
        <v>6</v>
      </c>
      <c r="H359">
        <f>YEAR(cleaned_personal_finance_data4[[#This Row],[date]])</f>
        <v>2024</v>
      </c>
      <c r="I359" t="s">
        <v>28</v>
      </c>
    </row>
    <row r="360" spans="1:9" hidden="1" x14ac:dyDescent="0.25">
      <c r="A360">
        <v>359</v>
      </c>
      <c r="B360" s="1">
        <v>45470</v>
      </c>
      <c r="C360" t="s">
        <v>28</v>
      </c>
      <c r="D360">
        <v>50</v>
      </c>
      <c r="E360" t="s">
        <v>15</v>
      </c>
      <c r="F360" t="s">
        <v>21</v>
      </c>
      <c r="G360">
        <f>MONTH(cleaned_personal_finance_data4[[#This Row],[date]])</f>
        <v>6</v>
      </c>
      <c r="H360">
        <f>YEAR(cleaned_personal_finance_data4[[#This Row],[date]])</f>
        <v>2024</v>
      </c>
      <c r="I360" t="s">
        <v>28</v>
      </c>
    </row>
    <row r="361" spans="1:9" hidden="1" x14ac:dyDescent="0.25">
      <c r="A361">
        <v>360</v>
      </c>
      <c r="B361" s="1">
        <v>45471</v>
      </c>
      <c r="C361" t="s">
        <v>176</v>
      </c>
      <c r="D361">
        <v>129</v>
      </c>
      <c r="E361" t="s">
        <v>15</v>
      </c>
      <c r="F361" t="s">
        <v>21</v>
      </c>
      <c r="G361">
        <f>MONTH(cleaned_personal_finance_data4[[#This Row],[date]])</f>
        <v>6</v>
      </c>
      <c r="H361">
        <f>YEAR(cleaned_personal_finance_data4[[#This Row],[date]])</f>
        <v>2024</v>
      </c>
      <c r="I361" t="s">
        <v>176</v>
      </c>
    </row>
    <row r="362" spans="1:9" hidden="1" x14ac:dyDescent="0.25">
      <c r="A362">
        <v>361</v>
      </c>
      <c r="B362" s="1">
        <v>45471</v>
      </c>
      <c r="C362" t="s">
        <v>28</v>
      </c>
      <c r="D362">
        <v>125</v>
      </c>
      <c r="E362" t="s">
        <v>15</v>
      </c>
      <c r="F362" t="s">
        <v>21</v>
      </c>
      <c r="G362">
        <f>MONTH(cleaned_personal_finance_data4[[#This Row],[date]])</f>
        <v>6</v>
      </c>
      <c r="H362">
        <f>YEAR(cleaned_personal_finance_data4[[#This Row],[date]])</f>
        <v>2024</v>
      </c>
      <c r="I362" t="s">
        <v>28</v>
      </c>
    </row>
    <row r="363" spans="1:9" hidden="1" x14ac:dyDescent="0.25">
      <c r="A363">
        <v>362</v>
      </c>
      <c r="B363" s="1">
        <v>45471</v>
      </c>
      <c r="C363" t="s">
        <v>177</v>
      </c>
      <c r="D363">
        <v>150</v>
      </c>
      <c r="E363" t="s">
        <v>15</v>
      </c>
      <c r="F363" t="s">
        <v>21</v>
      </c>
      <c r="G363">
        <f>MONTH(cleaned_personal_finance_data4[[#This Row],[date]])</f>
        <v>6</v>
      </c>
      <c r="H363">
        <f>YEAR(cleaned_personal_finance_data4[[#This Row],[date]])</f>
        <v>2024</v>
      </c>
      <c r="I363" t="s">
        <v>323</v>
      </c>
    </row>
    <row r="364" spans="1:9" hidden="1" x14ac:dyDescent="0.25">
      <c r="A364">
        <v>363</v>
      </c>
      <c r="B364" s="1">
        <v>45471</v>
      </c>
      <c r="C364" t="s">
        <v>178</v>
      </c>
      <c r="D364">
        <v>150</v>
      </c>
      <c r="E364" t="s">
        <v>15</v>
      </c>
      <c r="F364" t="s">
        <v>13</v>
      </c>
      <c r="G364">
        <f>MONTH(cleaned_personal_finance_data4[[#This Row],[date]])</f>
        <v>6</v>
      </c>
      <c r="H364">
        <f>YEAR(cleaned_personal_finance_data4[[#This Row],[date]])</f>
        <v>2024</v>
      </c>
      <c r="I364" t="s">
        <v>43</v>
      </c>
    </row>
    <row r="365" spans="1:9" hidden="1" x14ac:dyDescent="0.25">
      <c r="A365">
        <v>364</v>
      </c>
      <c r="B365" s="1">
        <v>45471</v>
      </c>
      <c r="C365" t="s">
        <v>167</v>
      </c>
      <c r="D365">
        <v>178</v>
      </c>
      <c r="E365" t="s">
        <v>15</v>
      </c>
      <c r="F365" t="s">
        <v>13</v>
      </c>
      <c r="G365">
        <f>MONTH(cleaned_personal_finance_data4[[#This Row],[date]])</f>
        <v>6</v>
      </c>
      <c r="H365">
        <f>YEAR(cleaned_personal_finance_data4[[#This Row],[date]])</f>
        <v>2024</v>
      </c>
      <c r="I365" t="s">
        <v>167</v>
      </c>
    </row>
    <row r="366" spans="1:9" hidden="1" x14ac:dyDescent="0.25">
      <c r="A366">
        <v>365</v>
      </c>
      <c r="B366" s="1">
        <v>45471</v>
      </c>
      <c r="C366" t="s">
        <v>179</v>
      </c>
      <c r="D366">
        <v>16</v>
      </c>
      <c r="E366" t="s">
        <v>15</v>
      </c>
      <c r="F366" t="s">
        <v>13</v>
      </c>
      <c r="G366">
        <f>MONTH(cleaned_personal_finance_data4[[#This Row],[date]])</f>
        <v>6</v>
      </c>
      <c r="H366">
        <f>YEAR(cleaned_personal_finance_data4[[#This Row],[date]])</f>
        <v>2024</v>
      </c>
      <c r="I366" t="s">
        <v>179</v>
      </c>
    </row>
    <row r="367" spans="1:9" hidden="1" x14ac:dyDescent="0.25">
      <c r="A367">
        <v>366</v>
      </c>
      <c r="B367" s="1">
        <v>45471</v>
      </c>
      <c r="C367" t="s">
        <v>180</v>
      </c>
      <c r="D367">
        <v>10</v>
      </c>
      <c r="E367" t="s">
        <v>15</v>
      </c>
      <c r="F367" t="s">
        <v>13</v>
      </c>
      <c r="G367">
        <f>MONTH(cleaned_personal_finance_data4[[#This Row],[date]])</f>
        <v>6</v>
      </c>
      <c r="H367">
        <f>YEAR(cleaned_personal_finance_data4[[#This Row],[date]])</f>
        <v>2024</v>
      </c>
      <c r="I367" t="s">
        <v>43</v>
      </c>
    </row>
    <row r="368" spans="1:9" hidden="1" x14ac:dyDescent="0.25">
      <c r="A368">
        <v>367</v>
      </c>
      <c r="B368" s="1">
        <v>45471</v>
      </c>
      <c r="C368" t="s">
        <v>67</v>
      </c>
      <c r="D368">
        <v>12</v>
      </c>
      <c r="E368" t="s">
        <v>15</v>
      </c>
      <c r="F368" t="s">
        <v>13</v>
      </c>
      <c r="G368">
        <f>MONTH(cleaned_personal_finance_data4[[#This Row],[date]])</f>
        <v>6</v>
      </c>
      <c r="H368">
        <f>YEAR(cleaned_personal_finance_data4[[#This Row],[date]])</f>
        <v>2024</v>
      </c>
      <c r="I368" t="s">
        <v>67</v>
      </c>
    </row>
    <row r="369" spans="1:9" hidden="1" x14ac:dyDescent="0.25">
      <c r="A369">
        <v>368</v>
      </c>
      <c r="B369" s="1">
        <v>45471</v>
      </c>
      <c r="C369" t="s">
        <v>181</v>
      </c>
      <c r="D369">
        <v>150</v>
      </c>
      <c r="E369" t="s">
        <v>15</v>
      </c>
      <c r="F369" t="s">
        <v>13</v>
      </c>
      <c r="G369">
        <f>MONTH(cleaned_personal_finance_data4[[#This Row],[date]])</f>
        <v>6</v>
      </c>
      <c r="H369">
        <f>YEAR(cleaned_personal_finance_data4[[#This Row],[date]])</f>
        <v>2024</v>
      </c>
      <c r="I369" t="s">
        <v>43</v>
      </c>
    </row>
    <row r="370" spans="1:9" hidden="1" x14ac:dyDescent="0.25">
      <c r="A370">
        <v>369</v>
      </c>
      <c r="B370" s="1">
        <v>45471</v>
      </c>
      <c r="C370" t="s">
        <v>76</v>
      </c>
      <c r="D370">
        <v>50</v>
      </c>
      <c r="E370" t="s">
        <v>15</v>
      </c>
      <c r="F370" t="s">
        <v>13</v>
      </c>
      <c r="G370">
        <f>MONTH(cleaned_personal_finance_data4[[#This Row],[date]])</f>
        <v>6</v>
      </c>
      <c r="H370">
        <f>YEAR(cleaned_personal_finance_data4[[#This Row],[date]])</f>
        <v>2024</v>
      </c>
      <c r="I370" t="s">
        <v>43</v>
      </c>
    </row>
    <row r="371" spans="1:9" hidden="1" x14ac:dyDescent="0.25">
      <c r="A371">
        <v>370</v>
      </c>
      <c r="B371" s="1">
        <v>45471</v>
      </c>
      <c r="C371" t="s">
        <v>136</v>
      </c>
      <c r="D371">
        <v>220000</v>
      </c>
      <c r="E371" t="s">
        <v>10</v>
      </c>
      <c r="F371" t="s">
        <v>8</v>
      </c>
      <c r="G371">
        <f>MONTH(cleaned_personal_finance_data4[[#This Row],[date]])</f>
        <v>6</v>
      </c>
      <c r="H371">
        <f>YEAR(cleaned_personal_finance_data4[[#This Row],[date]])</f>
        <v>2024</v>
      </c>
      <c r="I371" t="s">
        <v>136</v>
      </c>
    </row>
    <row r="372" spans="1:9" hidden="1" x14ac:dyDescent="0.25">
      <c r="A372">
        <v>371</v>
      </c>
      <c r="B372" s="1">
        <v>45471</v>
      </c>
      <c r="C372" t="s">
        <v>11</v>
      </c>
      <c r="D372">
        <v>220000</v>
      </c>
      <c r="E372" t="s">
        <v>12</v>
      </c>
      <c r="F372" t="s">
        <v>13</v>
      </c>
      <c r="G372">
        <f>MONTH(cleaned_personal_finance_data4[[#This Row],[date]])</f>
        <v>6</v>
      </c>
      <c r="H372">
        <f>YEAR(cleaned_personal_finance_data4[[#This Row],[date]])</f>
        <v>2024</v>
      </c>
      <c r="I372" t="s">
        <v>11</v>
      </c>
    </row>
    <row r="373" spans="1:9" hidden="1" x14ac:dyDescent="0.25">
      <c r="A373">
        <v>372</v>
      </c>
      <c r="B373" s="1">
        <v>45474</v>
      </c>
      <c r="C373" t="s">
        <v>64</v>
      </c>
      <c r="D373">
        <v>199</v>
      </c>
      <c r="E373" t="s">
        <v>15</v>
      </c>
      <c r="F373" t="s">
        <v>21</v>
      </c>
      <c r="G373">
        <f>MONTH(cleaned_personal_finance_data4[[#This Row],[date]])</f>
        <v>7</v>
      </c>
      <c r="H373">
        <f>YEAR(cleaned_personal_finance_data4[[#This Row],[date]])</f>
        <v>2024</v>
      </c>
      <c r="I373" t="s">
        <v>64</v>
      </c>
    </row>
    <row r="374" spans="1:9" hidden="1" x14ac:dyDescent="0.25">
      <c r="A374">
        <v>373</v>
      </c>
      <c r="B374" s="1">
        <v>45477</v>
      </c>
      <c r="C374" t="s">
        <v>145</v>
      </c>
      <c r="D374">
        <v>5000</v>
      </c>
      <c r="E374" t="s">
        <v>15</v>
      </c>
      <c r="F374" t="s">
        <v>13</v>
      </c>
      <c r="G374">
        <f>MONTH(cleaned_personal_finance_data4[[#This Row],[date]])</f>
        <v>7</v>
      </c>
      <c r="H374">
        <f>YEAR(cleaned_personal_finance_data4[[#This Row],[date]])</f>
        <v>2024</v>
      </c>
      <c r="I374" t="s">
        <v>145</v>
      </c>
    </row>
    <row r="375" spans="1:9" hidden="1" x14ac:dyDescent="0.25">
      <c r="A375">
        <v>374</v>
      </c>
      <c r="B375" s="1">
        <v>45477</v>
      </c>
      <c r="C375" t="s">
        <v>103</v>
      </c>
      <c r="D375">
        <v>260</v>
      </c>
      <c r="E375" t="s">
        <v>15</v>
      </c>
      <c r="F375" t="s">
        <v>13</v>
      </c>
      <c r="G375">
        <f>MONTH(cleaned_personal_finance_data4[[#This Row],[date]])</f>
        <v>7</v>
      </c>
      <c r="H375">
        <f>YEAR(cleaned_personal_finance_data4[[#This Row],[date]])</f>
        <v>2024</v>
      </c>
      <c r="I375" t="s">
        <v>329</v>
      </c>
    </row>
    <row r="376" spans="1:9" hidden="1" x14ac:dyDescent="0.25">
      <c r="A376">
        <v>375</v>
      </c>
      <c r="B376" s="1">
        <v>45479</v>
      </c>
      <c r="C376" t="s">
        <v>24</v>
      </c>
      <c r="D376">
        <v>239</v>
      </c>
      <c r="E376" t="s">
        <v>15</v>
      </c>
      <c r="F376" t="s">
        <v>21</v>
      </c>
      <c r="G376">
        <f>MONTH(cleaned_personal_finance_data4[[#This Row],[date]])</f>
        <v>7</v>
      </c>
      <c r="H376">
        <f>YEAR(cleaned_personal_finance_data4[[#This Row],[date]])</f>
        <v>2024</v>
      </c>
      <c r="I376" t="s">
        <v>24</v>
      </c>
    </row>
    <row r="377" spans="1:9" hidden="1" x14ac:dyDescent="0.25">
      <c r="A377">
        <v>376</v>
      </c>
      <c r="B377" s="1">
        <v>45483</v>
      </c>
      <c r="C377" t="s">
        <v>182</v>
      </c>
      <c r="D377">
        <v>144</v>
      </c>
      <c r="E377" t="s">
        <v>15</v>
      </c>
      <c r="F377" t="s">
        <v>13</v>
      </c>
      <c r="G377">
        <f>MONTH(cleaned_personal_finance_data4[[#This Row],[date]])</f>
        <v>7</v>
      </c>
      <c r="H377">
        <f>YEAR(cleaned_personal_finance_data4[[#This Row],[date]])</f>
        <v>2024</v>
      </c>
      <c r="I377" t="s">
        <v>47</v>
      </c>
    </row>
    <row r="378" spans="1:9" hidden="1" x14ac:dyDescent="0.25">
      <c r="A378">
        <v>377</v>
      </c>
      <c r="B378" s="1">
        <v>45483</v>
      </c>
      <c r="C378" t="s">
        <v>183</v>
      </c>
      <c r="D378">
        <v>188</v>
      </c>
      <c r="E378" t="s">
        <v>15</v>
      </c>
      <c r="F378" t="s">
        <v>21</v>
      </c>
      <c r="G378">
        <f>MONTH(cleaned_personal_finance_data4[[#This Row],[date]])</f>
        <v>7</v>
      </c>
      <c r="H378">
        <f>YEAR(cleaned_personal_finance_data4[[#This Row],[date]])</f>
        <v>2024</v>
      </c>
      <c r="I378" t="s">
        <v>324</v>
      </c>
    </row>
    <row r="379" spans="1:9" hidden="1" x14ac:dyDescent="0.25">
      <c r="A379">
        <v>378</v>
      </c>
      <c r="B379" s="1">
        <v>45483</v>
      </c>
      <c r="C379" t="s">
        <v>184</v>
      </c>
      <c r="D379">
        <v>50</v>
      </c>
      <c r="E379" t="s">
        <v>15</v>
      </c>
      <c r="F379" t="s">
        <v>21</v>
      </c>
      <c r="G379">
        <f>MONTH(cleaned_personal_finance_data4[[#This Row],[date]])</f>
        <v>7</v>
      </c>
      <c r="H379">
        <f>YEAR(cleaned_personal_finance_data4[[#This Row],[date]])</f>
        <v>2024</v>
      </c>
      <c r="I379" t="s">
        <v>28</v>
      </c>
    </row>
    <row r="380" spans="1:9" hidden="1" x14ac:dyDescent="0.25">
      <c r="A380">
        <v>379</v>
      </c>
      <c r="B380" s="1">
        <v>45483</v>
      </c>
      <c r="C380" t="s">
        <v>184</v>
      </c>
      <c r="D380">
        <v>125</v>
      </c>
      <c r="E380" t="s">
        <v>15</v>
      </c>
      <c r="F380" t="s">
        <v>21</v>
      </c>
      <c r="G380">
        <f>MONTH(cleaned_personal_finance_data4[[#This Row],[date]])</f>
        <v>7</v>
      </c>
      <c r="H380">
        <f>YEAR(cleaned_personal_finance_data4[[#This Row],[date]])</f>
        <v>2024</v>
      </c>
      <c r="I380" t="s">
        <v>28</v>
      </c>
    </row>
    <row r="381" spans="1:9" hidden="1" x14ac:dyDescent="0.25">
      <c r="A381">
        <v>380</v>
      </c>
      <c r="B381" s="1">
        <v>45484</v>
      </c>
      <c r="C381" t="s">
        <v>185</v>
      </c>
      <c r="D381">
        <v>2542</v>
      </c>
      <c r="E381" t="s">
        <v>15</v>
      </c>
      <c r="F381" t="s">
        <v>13</v>
      </c>
      <c r="G381">
        <f>MONTH(cleaned_personal_finance_data4[[#This Row],[date]])</f>
        <v>7</v>
      </c>
      <c r="H381">
        <f>YEAR(cleaned_personal_finance_data4[[#This Row],[date]])</f>
        <v>2024</v>
      </c>
      <c r="I381" t="s">
        <v>185</v>
      </c>
    </row>
    <row r="382" spans="1:9" hidden="1" x14ac:dyDescent="0.25">
      <c r="A382">
        <v>381</v>
      </c>
      <c r="B382" s="1">
        <v>45485</v>
      </c>
      <c r="C382" t="s">
        <v>28</v>
      </c>
      <c r="D382">
        <v>50</v>
      </c>
      <c r="E382" t="s">
        <v>15</v>
      </c>
      <c r="F382" t="s">
        <v>21</v>
      </c>
      <c r="G382">
        <f>MONTH(cleaned_personal_finance_data4[[#This Row],[date]])</f>
        <v>7</v>
      </c>
      <c r="H382">
        <f>YEAR(cleaned_personal_finance_data4[[#This Row],[date]])</f>
        <v>2024</v>
      </c>
      <c r="I382" t="s">
        <v>28</v>
      </c>
    </row>
    <row r="383" spans="1:9" hidden="1" x14ac:dyDescent="0.25">
      <c r="A383">
        <v>382</v>
      </c>
      <c r="B383" s="1">
        <v>45488</v>
      </c>
      <c r="C383" t="s">
        <v>186</v>
      </c>
      <c r="D383">
        <v>30</v>
      </c>
      <c r="E383" t="s">
        <v>15</v>
      </c>
      <c r="F383" t="s">
        <v>13</v>
      </c>
      <c r="G383">
        <f>MONTH(cleaned_personal_finance_data4[[#This Row],[date]])</f>
        <v>7</v>
      </c>
      <c r="H383">
        <f>YEAR(cleaned_personal_finance_data4[[#This Row],[date]])</f>
        <v>2024</v>
      </c>
      <c r="I383" t="s">
        <v>186</v>
      </c>
    </row>
    <row r="384" spans="1:9" x14ac:dyDescent="0.25">
      <c r="A384">
        <v>383</v>
      </c>
      <c r="B384" s="1">
        <v>45488</v>
      </c>
      <c r="C384" t="s">
        <v>6</v>
      </c>
      <c r="D384">
        <v>12663</v>
      </c>
      <c r="E384" t="s">
        <v>7</v>
      </c>
      <c r="F384" t="s">
        <v>8</v>
      </c>
      <c r="G384">
        <f>MONTH(cleaned_personal_finance_data4[[#This Row],[date]])</f>
        <v>7</v>
      </c>
      <c r="H384">
        <f>YEAR(cleaned_personal_finance_data4[[#This Row],[date]])</f>
        <v>2024</v>
      </c>
      <c r="I384" t="s">
        <v>318</v>
      </c>
    </row>
    <row r="385" spans="1:9" hidden="1" x14ac:dyDescent="0.25">
      <c r="A385">
        <v>384</v>
      </c>
      <c r="B385" s="1">
        <v>45489</v>
      </c>
      <c r="C385" t="s">
        <v>187</v>
      </c>
      <c r="D385">
        <v>45</v>
      </c>
      <c r="E385" t="s">
        <v>15</v>
      </c>
      <c r="F385" t="s">
        <v>13</v>
      </c>
      <c r="G385">
        <f>MONTH(cleaned_personal_finance_data4[[#This Row],[date]])</f>
        <v>7</v>
      </c>
      <c r="H385">
        <f>YEAR(cleaned_personal_finance_data4[[#This Row],[date]])</f>
        <v>2024</v>
      </c>
      <c r="I385" t="s">
        <v>187</v>
      </c>
    </row>
    <row r="386" spans="1:9" hidden="1" x14ac:dyDescent="0.25">
      <c r="A386">
        <v>385</v>
      </c>
      <c r="B386" s="1">
        <v>45489</v>
      </c>
      <c r="C386" t="s">
        <v>188</v>
      </c>
      <c r="D386">
        <v>1195</v>
      </c>
      <c r="E386" t="s">
        <v>15</v>
      </c>
      <c r="F386" t="s">
        <v>13</v>
      </c>
      <c r="G386">
        <f>MONTH(cleaned_personal_finance_data4[[#This Row],[date]])</f>
        <v>7</v>
      </c>
      <c r="H386">
        <f>YEAR(cleaned_personal_finance_data4[[#This Row],[date]])</f>
        <v>2024</v>
      </c>
      <c r="I386" t="s">
        <v>188</v>
      </c>
    </row>
    <row r="387" spans="1:9" hidden="1" x14ac:dyDescent="0.25">
      <c r="A387">
        <v>386</v>
      </c>
      <c r="B387" s="1">
        <v>45489</v>
      </c>
      <c r="C387" t="s">
        <v>189</v>
      </c>
      <c r="D387">
        <v>455</v>
      </c>
      <c r="E387" t="s">
        <v>15</v>
      </c>
      <c r="F387" t="s">
        <v>13</v>
      </c>
      <c r="G387">
        <f>MONTH(cleaned_personal_finance_data4[[#This Row],[date]])</f>
        <v>7</v>
      </c>
      <c r="H387">
        <f>YEAR(cleaned_personal_finance_data4[[#This Row],[date]])</f>
        <v>2024</v>
      </c>
      <c r="I387" t="s">
        <v>204</v>
      </c>
    </row>
    <row r="388" spans="1:9" hidden="1" x14ac:dyDescent="0.25">
      <c r="A388">
        <v>387</v>
      </c>
      <c r="B388" s="1">
        <v>45489</v>
      </c>
      <c r="C388" t="s">
        <v>190</v>
      </c>
      <c r="D388">
        <v>550</v>
      </c>
      <c r="E388" t="s">
        <v>15</v>
      </c>
      <c r="F388" t="s">
        <v>13</v>
      </c>
      <c r="G388">
        <f>MONTH(cleaned_personal_finance_data4[[#This Row],[date]])</f>
        <v>7</v>
      </c>
      <c r="H388">
        <f>YEAR(cleaned_personal_finance_data4[[#This Row],[date]])</f>
        <v>2024</v>
      </c>
      <c r="I388" t="s">
        <v>190</v>
      </c>
    </row>
    <row r="389" spans="1:9" hidden="1" x14ac:dyDescent="0.25">
      <c r="A389">
        <v>388</v>
      </c>
      <c r="B389" s="1">
        <v>45489</v>
      </c>
      <c r="C389" t="s">
        <v>191</v>
      </c>
      <c r="D389">
        <v>2000</v>
      </c>
      <c r="E389" t="s">
        <v>15</v>
      </c>
      <c r="F389" t="s">
        <v>13</v>
      </c>
      <c r="G389">
        <f>MONTH(cleaned_personal_finance_data4[[#This Row],[date]])</f>
        <v>7</v>
      </c>
      <c r="H389">
        <f>YEAR(cleaned_personal_finance_data4[[#This Row],[date]])</f>
        <v>2024</v>
      </c>
      <c r="I389" t="s">
        <v>191</v>
      </c>
    </row>
    <row r="390" spans="1:9" hidden="1" x14ac:dyDescent="0.25">
      <c r="A390">
        <v>389</v>
      </c>
      <c r="B390" s="1">
        <v>45490</v>
      </c>
      <c r="C390" t="s">
        <v>192</v>
      </c>
      <c r="D390">
        <v>237</v>
      </c>
      <c r="E390" t="s">
        <v>15</v>
      </c>
      <c r="F390" t="s">
        <v>13</v>
      </c>
      <c r="G390">
        <f>MONTH(cleaned_personal_finance_data4[[#This Row],[date]])</f>
        <v>7</v>
      </c>
      <c r="H390">
        <f>YEAR(cleaned_personal_finance_data4[[#This Row],[date]])</f>
        <v>2024</v>
      </c>
      <c r="I390" t="s">
        <v>167</v>
      </c>
    </row>
    <row r="391" spans="1:9" hidden="1" x14ac:dyDescent="0.25">
      <c r="A391">
        <v>390</v>
      </c>
      <c r="B391" s="1">
        <v>45490</v>
      </c>
      <c r="C391" t="s">
        <v>193</v>
      </c>
      <c r="D391">
        <v>160</v>
      </c>
      <c r="E391" t="s">
        <v>15</v>
      </c>
      <c r="F391" t="s">
        <v>13</v>
      </c>
      <c r="G391">
        <f>MONTH(cleaned_personal_finance_data4[[#This Row],[date]])</f>
        <v>7</v>
      </c>
      <c r="H391">
        <f>YEAR(cleaned_personal_finance_data4[[#This Row],[date]])</f>
        <v>2024</v>
      </c>
      <c r="I391" t="s">
        <v>167</v>
      </c>
    </row>
    <row r="392" spans="1:9" hidden="1" x14ac:dyDescent="0.25">
      <c r="A392">
        <v>391</v>
      </c>
      <c r="B392" s="1">
        <v>45490</v>
      </c>
      <c r="C392" t="s">
        <v>64</v>
      </c>
      <c r="D392">
        <v>199</v>
      </c>
      <c r="E392" t="s">
        <v>15</v>
      </c>
      <c r="F392" t="s">
        <v>21</v>
      </c>
      <c r="G392">
        <f>MONTH(cleaned_personal_finance_data4[[#This Row],[date]])</f>
        <v>7</v>
      </c>
      <c r="H392">
        <f>YEAR(cleaned_personal_finance_data4[[#This Row],[date]])</f>
        <v>2024</v>
      </c>
      <c r="I392" t="s">
        <v>64</v>
      </c>
    </row>
    <row r="393" spans="1:9" hidden="1" x14ac:dyDescent="0.25">
      <c r="A393">
        <v>392</v>
      </c>
      <c r="B393" s="1">
        <v>45490</v>
      </c>
      <c r="C393" t="s">
        <v>50</v>
      </c>
      <c r="D393">
        <v>699</v>
      </c>
      <c r="E393" t="s">
        <v>15</v>
      </c>
      <c r="F393" t="s">
        <v>21</v>
      </c>
      <c r="G393">
        <f>MONTH(cleaned_personal_finance_data4[[#This Row],[date]])</f>
        <v>7</v>
      </c>
      <c r="H393">
        <f>YEAR(cleaned_personal_finance_data4[[#This Row],[date]])</f>
        <v>2024</v>
      </c>
      <c r="I393" t="s">
        <v>50</v>
      </c>
    </row>
    <row r="394" spans="1:9" hidden="1" x14ac:dyDescent="0.25">
      <c r="A394">
        <v>393</v>
      </c>
      <c r="B394" s="1">
        <v>45492</v>
      </c>
      <c r="C394" t="s">
        <v>87</v>
      </c>
      <c r="D394">
        <v>600</v>
      </c>
      <c r="E394" t="s">
        <v>15</v>
      </c>
      <c r="F394" t="s">
        <v>13</v>
      </c>
      <c r="G394">
        <f>MONTH(cleaned_personal_finance_data4[[#This Row],[date]])</f>
        <v>7</v>
      </c>
      <c r="H394">
        <f>YEAR(cleaned_personal_finance_data4[[#This Row],[date]])</f>
        <v>2024</v>
      </c>
      <c r="I394" t="s">
        <v>87</v>
      </c>
    </row>
    <row r="395" spans="1:9" hidden="1" x14ac:dyDescent="0.25">
      <c r="A395">
        <v>394</v>
      </c>
      <c r="B395" s="1">
        <v>45492</v>
      </c>
      <c r="C395" t="s">
        <v>79</v>
      </c>
      <c r="D395">
        <v>150</v>
      </c>
      <c r="E395" t="s">
        <v>15</v>
      </c>
      <c r="F395" t="s">
        <v>13</v>
      </c>
      <c r="G395">
        <f>MONTH(cleaned_personal_finance_data4[[#This Row],[date]])</f>
        <v>7</v>
      </c>
      <c r="H395">
        <f>YEAR(cleaned_personal_finance_data4[[#This Row],[date]])</f>
        <v>2024</v>
      </c>
      <c r="I395" t="s">
        <v>79</v>
      </c>
    </row>
    <row r="396" spans="1:9" hidden="1" x14ac:dyDescent="0.25">
      <c r="A396">
        <v>395</v>
      </c>
      <c r="B396" s="1">
        <v>45492</v>
      </c>
      <c r="C396" t="s">
        <v>194</v>
      </c>
      <c r="D396">
        <v>4000</v>
      </c>
      <c r="E396" t="s">
        <v>15</v>
      </c>
      <c r="F396" t="s">
        <v>13</v>
      </c>
      <c r="G396">
        <f>MONTH(cleaned_personal_finance_data4[[#This Row],[date]])</f>
        <v>7</v>
      </c>
      <c r="H396">
        <f>YEAR(cleaned_personal_finance_data4[[#This Row],[date]])</f>
        <v>2024</v>
      </c>
      <c r="I396" t="s">
        <v>194</v>
      </c>
    </row>
    <row r="397" spans="1:9" hidden="1" x14ac:dyDescent="0.25">
      <c r="A397">
        <v>396</v>
      </c>
      <c r="B397" s="1">
        <v>45493</v>
      </c>
      <c r="C397" t="s">
        <v>87</v>
      </c>
      <c r="D397">
        <v>1200</v>
      </c>
      <c r="E397" t="s">
        <v>15</v>
      </c>
      <c r="F397" t="s">
        <v>13</v>
      </c>
      <c r="G397">
        <f>MONTH(cleaned_personal_finance_data4[[#This Row],[date]])</f>
        <v>7</v>
      </c>
      <c r="H397">
        <f>YEAR(cleaned_personal_finance_data4[[#This Row],[date]])</f>
        <v>2024</v>
      </c>
      <c r="I397" t="s">
        <v>87</v>
      </c>
    </row>
    <row r="398" spans="1:9" hidden="1" x14ac:dyDescent="0.25">
      <c r="A398">
        <v>397</v>
      </c>
      <c r="B398" s="1">
        <v>45494</v>
      </c>
      <c r="C398" t="s">
        <v>20</v>
      </c>
      <c r="D398">
        <v>3000</v>
      </c>
      <c r="E398" t="s">
        <v>10</v>
      </c>
      <c r="F398" t="s">
        <v>13</v>
      </c>
      <c r="G398">
        <f>MONTH(cleaned_personal_finance_data4[[#This Row],[date]])</f>
        <v>7</v>
      </c>
      <c r="H398">
        <f>YEAR(cleaned_personal_finance_data4[[#This Row],[date]])</f>
        <v>2024</v>
      </c>
      <c r="I398" t="s">
        <v>20</v>
      </c>
    </row>
    <row r="399" spans="1:9" hidden="1" x14ac:dyDescent="0.25">
      <c r="A399">
        <v>398</v>
      </c>
      <c r="B399" s="1">
        <v>45494</v>
      </c>
      <c r="C399" t="s">
        <v>20</v>
      </c>
      <c r="D399">
        <v>3400</v>
      </c>
      <c r="E399" t="s">
        <v>12</v>
      </c>
      <c r="F399" t="s">
        <v>21</v>
      </c>
      <c r="G399">
        <f>MONTH(cleaned_personal_finance_data4[[#This Row],[date]])</f>
        <v>7</v>
      </c>
      <c r="H399">
        <f>YEAR(cleaned_personal_finance_data4[[#This Row],[date]])</f>
        <v>2024</v>
      </c>
      <c r="I399" t="s">
        <v>20</v>
      </c>
    </row>
    <row r="400" spans="1:9" hidden="1" x14ac:dyDescent="0.25">
      <c r="A400">
        <v>399</v>
      </c>
      <c r="B400" s="1">
        <v>45495</v>
      </c>
      <c r="C400" t="s">
        <v>34</v>
      </c>
      <c r="D400">
        <v>129</v>
      </c>
      <c r="E400" t="s">
        <v>15</v>
      </c>
      <c r="F400" t="s">
        <v>21</v>
      </c>
      <c r="G400">
        <f>MONTH(cleaned_personal_finance_data4[[#This Row],[date]])</f>
        <v>7</v>
      </c>
      <c r="H400">
        <f>YEAR(cleaned_personal_finance_data4[[#This Row],[date]])</f>
        <v>2024</v>
      </c>
      <c r="I400" t="s">
        <v>34</v>
      </c>
    </row>
    <row r="401" spans="1:9" hidden="1" x14ac:dyDescent="0.25">
      <c r="A401">
        <v>400</v>
      </c>
      <c r="B401" s="1">
        <v>45495</v>
      </c>
      <c r="C401" t="s">
        <v>195</v>
      </c>
      <c r="D401">
        <v>650</v>
      </c>
      <c r="E401" t="s">
        <v>15</v>
      </c>
      <c r="F401" t="s">
        <v>21</v>
      </c>
      <c r="G401">
        <f>MONTH(cleaned_personal_finance_data4[[#This Row],[date]])</f>
        <v>7</v>
      </c>
      <c r="H401">
        <f>YEAR(cleaned_personal_finance_data4[[#This Row],[date]])</f>
        <v>2024</v>
      </c>
      <c r="I401" t="s">
        <v>195</v>
      </c>
    </row>
    <row r="402" spans="1:9" hidden="1" x14ac:dyDescent="0.25">
      <c r="A402">
        <v>401</v>
      </c>
      <c r="B402" s="1">
        <v>45496</v>
      </c>
      <c r="C402" t="s">
        <v>196</v>
      </c>
      <c r="D402">
        <v>150</v>
      </c>
      <c r="E402" t="s">
        <v>15</v>
      </c>
      <c r="F402" t="s">
        <v>13</v>
      </c>
      <c r="G402">
        <f>MONTH(cleaned_personal_finance_data4[[#This Row],[date]])</f>
        <v>7</v>
      </c>
      <c r="H402">
        <f>YEAR(cleaned_personal_finance_data4[[#This Row],[date]])</f>
        <v>2024</v>
      </c>
      <c r="I402" t="s">
        <v>196</v>
      </c>
    </row>
    <row r="403" spans="1:9" hidden="1" x14ac:dyDescent="0.25">
      <c r="A403">
        <v>402</v>
      </c>
      <c r="B403" s="1">
        <v>45498</v>
      </c>
      <c r="C403" t="s">
        <v>51</v>
      </c>
      <c r="D403">
        <v>30</v>
      </c>
      <c r="E403" t="s">
        <v>15</v>
      </c>
      <c r="F403" t="s">
        <v>13</v>
      </c>
      <c r="G403">
        <f>MONTH(cleaned_personal_finance_data4[[#This Row],[date]])</f>
        <v>7</v>
      </c>
      <c r="H403">
        <f>YEAR(cleaned_personal_finance_data4[[#This Row],[date]])</f>
        <v>2024</v>
      </c>
      <c r="I403" t="s">
        <v>43</v>
      </c>
    </row>
    <row r="404" spans="1:9" hidden="1" x14ac:dyDescent="0.25">
      <c r="A404">
        <v>403</v>
      </c>
      <c r="B404" s="1">
        <v>45498</v>
      </c>
      <c r="C404" t="s">
        <v>54</v>
      </c>
      <c r="D404">
        <v>30</v>
      </c>
      <c r="E404" t="s">
        <v>15</v>
      </c>
      <c r="F404" t="s">
        <v>13</v>
      </c>
      <c r="G404">
        <f>MONTH(cleaned_personal_finance_data4[[#This Row],[date]])</f>
        <v>7</v>
      </c>
      <c r="H404">
        <f>YEAR(cleaned_personal_finance_data4[[#This Row],[date]])</f>
        <v>2024</v>
      </c>
      <c r="I404" t="s">
        <v>54</v>
      </c>
    </row>
    <row r="405" spans="1:9" hidden="1" x14ac:dyDescent="0.25">
      <c r="A405">
        <v>404</v>
      </c>
      <c r="B405" s="1">
        <v>45498</v>
      </c>
      <c r="C405" t="s">
        <v>66</v>
      </c>
      <c r="D405">
        <v>10</v>
      </c>
      <c r="E405" t="s">
        <v>15</v>
      </c>
      <c r="F405" t="s">
        <v>13</v>
      </c>
      <c r="G405">
        <f>MONTH(cleaned_personal_finance_data4[[#This Row],[date]])</f>
        <v>7</v>
      </c>
      <c r="H405">
        <f>YEAR(cleaned_personal_finance_data4[[#This Row],[date]])</f>
        <v>2024</v>
      </c>
      <c r="I405" t="s">
        <v>66</v>
      </c>
    </row>
    <row r="406" spans="1:9" hidden="1" x14ac:dyDescent="0.25">
      <c r="A406">
        <v>405</v>
      </c>
      <c r="B406" s="1">
        <v>45498</v>
      </c>
      <c r="C406" t="s">
        <v>197</v>
      </c>
      <c r="D406">
        <v>30</v>
      </c>
      <c r="E406" t="s">
        <v>15</v>
      </c>
      <c r="F406" t="s">
        <v>13</v>
      </c>
      <c r="G406">
        <f>MONTH(cleaned_personal_finance_data4[[#This Row],[date]])</f>
        <v>7</v>
      </c>
      <c r="H406">
        <f>YEAR(cleaned_personal_finance_data4[[#This Row],[date]])</f>
        <v>2024</v>
      </c>
      <c r="I406" t="s">
        <v>197</v>
      </c>
    </row>
    <row r="407" spans="1:9" hidden="1" x14ac:dyDescent="0.25">
      <c r="A407">
        <v>406</v>
      </c>
      <c r="B407" s="1">
        <v>45498</v>
      </c>
      <c r="C407" t="s">
        <v>76</v>
      </c>
      <c r="D407">
        <v>30</v>
      </c>
      <c r="E407" t="s">
        <v>15</v>
      </c>
      <c r="F407" t="s">
        <v>13</v>
      </c>
      <c r="G407">
        <f>MONTH(cleaned_personal_finance_data4[[#This Row],[date]])</f>
        <v>7</v>
      </c>
      <c r="H407">
        <f>YEAR(cleaned_personal_finance_data4[[#This Row],[date]])</f>
        <v>2024</v>
      </c>
      <c r="I407" t="s">
        <v>43</v>
      </c>
    </row>
    <row r="408" spans="1:9" hidden="1" x14ac:dyDescent="0.25">
      <c r="A408">
        <v>407</v>
      </c>
      <c r="B408" s="1">
        <v>45498</v>
      </c>
      <c r="C408" t="s">
        <v>198</v>
      </c>
      <c r="D408">
        <v>125</v>
      </c>
      <c r="E408" t="s">
        <v>15</v>
      </c>
      <c r="F408" t="s">
        <v>21</v>
      </c>
      <c r="G408">
        <f>MONTH(cleaned_personal_finance_data4[[#This Row],[date]])</f>
        <v>7</v>
      </c>
      <c r="H408">
        <f>YEAR(cleaned_personal_finance_data4[[#This Row],[date]])</f>
        <v>2024</v>
      </c>
      <c r="I408" t="s">
        <v>198</v>
      </c>
    </row>
    <row r="409" spans="1:9" hidden="1" x14ac:dyDescent="0.25">
      <c r="A409">
        <v>408</v>
      </c>
      <c r="B409" s="1">
        <v>45499</v>
      </c>
      <c r="C409" t="s">
        <v>51</v>
      </c>
      <c r="D409">
        <v>30</v>
      </c>
      <c r="E409" t="s">
        <v>15</v>
      </c>
      <c r="F409" t="s">
        <v>13</v>
      </c>
      <c r="G409">
        <f>MONTH(cleaned_personal_finance_data4[[#This Row],[date]])</f>
        <v>7</v>
      </c>
      <c r="H409">
        <f>YEAR(cleaned_personal_finance_data4[[#This Row],[date]])</f>
        <v>2024</v>
      </c>
      <c r="I409" t="s">
        <v>43</v>
      </c>
    </row>
    <row r="410" spans="1:9" hidden="1" x14ac:dyDescent="0.25">
      <c r="A410">
        <v>409</v>
      </c>
      <c r="B410" s="1">
        <v>45499</v>
      </c>
      <c r="C410" t="s">
        <v>199</v>
      </c>
      <c r="D410">
        <v>14</v>
      </c>
      <c r="E410" t="s">
        <v>15</v>
      </c>
      <c r="F410" t="s">
        <v>13</v>
      </c>
      <c r="G410">
        <f>MONTH(cleaned_personal_finance_data4[[#This Row],[date]])</f>
        <v>7</v>
      </c>
      <c r="H410">
        <f>YEAR(cleaned_personal_finance_data4[[#This Row],[date]])</f>
        <v>2024</v>
      </c>
      <c r="I410" t="s">
        <v>199</v>
      </c>
    </row>
    <row r="411" spans="1:9" hidden="1" x14ac:dyDescent="0.25">
      <c r="A411">
        <v>410</v>
      </c>
      <c r="B411" s="1">
        <v>45499</v>
      </c>
      <c r="C411" t="s">
        <v>66</v>
      </c>
      <c r="D411">
        <v>10</v>
      </c>
      <c r="E411" t="s">
        <v>15</v>
      </c>
      <c r="F411" t="s">
        <v>13</v>
      </c>
      <c r="G411">
        <f>MONTH(cleaned_personal_finance_data4[[#This Row],[date]])</f>
        <v>7</v>
      </c>
      <c r="H411">
        <f>YEAR(cleaned_personal_finance_data4[[#This Row],[date]])</f>
        <v>2024</v>
      </c>
      <c r="I411" t="s">
        <v>66</v>
      </c>
    </row>
    <row r="412" spans="1:9" hidden="1" x14ac:dyDescent="0.25">
      <c r="A412">
        <v>411</v>
      </c>
      <c r="B412" s="1">
        <v>45499</v>
      </c>
      <c r="C412" t="s">
        <v>67</v>
      </c>
      <c r="D412">
        <v>15</v>
      </c>
      <c r="E412" t="s">
        <v>15</v>
      </c>
      <c r="F412" t="s">
        <v>13</v>
      </c>
      <c r="G412">
        <f>MONTH(cleaned_personal_finance_data4[[#This Row],[date]])</f>
        <v>7</v>
      </c>
      <c r="H412">
        <f>YEAR(cleaned_personal_finance_data4[[#This Row],[date]])</f>
        <v>2024</v>
      </c>
      <c r="I412" t="s">
        <v>67</v>
      </c>
    </row>
    <row r="413" spans="1:9" hidden="1" x14ac:dyDescent="0.25">
      <c r="A413">
        <v>412</v>
      </c>
      <c r="B413" s="1">
        <v>45499</v>
      </c>
      <c r="C413" t="s">
        <v>76</v>
      </c>
      <c r="D413">
        <v>15</v>
      </c>
      <c r="E413" t="s">
        <v>15</v>
      </c>
      <c r="F413" t="s">
        <v>13</v>
      </c>
      <c r="G413">
        <f>MONTH(cleaned_personal_finance_data4[[#This Row],[date]])</f>
        <v>7</v>
      </c>
      <c r="H413">
        <f>YEAR(cleaned_personal_finance_data4[[#This Row],[date]])</f>
        <v>2024</v>
      </c>
      <c r="I413" t="s">
        <v>43</v>
      </c>
    </row>
    <row r="414" spans="1:9" x14ac:dyDescent="0.25">
      <c r="A414">
        <v>413</v>
      </c>
      <c r="B414" s="1">
        <v>45499</v>
      </c>
      <c r="C414" t="s">
        <v>6</v>
      </c>
      <c r="D414">
        <v>12615</v>
      </c>
      <c r="E414" t="s">
        <v>7</v>
      </c>
      <c r="F414" t="s">
        <v>13</v>
      </c>
      <c r="G414">
        <f>MONTH(cleaned_personal_finance_data4[[#This Row],[date]])</f>
        <v>7</v>
      </c>
      <c r="H414">
        <f>YEAR(cleaned_personal_finance_data4[[#This Row],[date]])</f>
        <v>2024</v>
      </c>
      <c r="I414" t="s">
        <v>318</v>
      </c>
    </row>
    <row r="415" spans="1:9" hidden="1" x14ac:dyDescent="0.25">
      <c r="A415">
        <v>414</v>
      </c>
      <c r="B415" s="1">
        <v>45500</v>
      </c>
      <c r="C415" t="s">
        <v>51</v>
      </c>
      <c r="D415">
        <v>30</v>
      </c>
      <c r="E415" t="s">
        <v>15</v>
      </c>
      <c r="F415" t="s">
        <v>13</v>
      </c>
      <c r="G415">
        <f>MONTH(cleaned_personal_finance_data4[[#This Row],[date]])</f>
        <v>7</v>
      </c>
      <c r="H415">
        <f>YEAR(cleaned_personal_finance_data4[[#This Row],[date]])</f>
        <v>2024</v>
      </c>
      <c r="I415" t="s">
        <v>43</v>
      </c>
    </row>
    <row r="416" spans="1:9" hidden="1" x14ac:dyDescent="0.25">
      <c r="A416">
        <v>415</v>
      </c>
      <c r="B416" s="1">
        <v>45500</v>
      </c>
      <c r="C416" t="s">
        <v>66</v>
      </c>
      <c r="D416">
        <v>10</v>
      </c>
      <c r="E416" t="s">
        <v>15</v>
      </c>
      <c r="F416" t="s">
        <v>13</v>
      </c>
      <c r="G416">
        <f>MONTH(cleaned_personal_finance_data4[[#This Row],[date]])</f>
        <v>7</v>
      </c>
      <c r="H416">
        <f>YEAR(cleaned_personal_finance_data4[[#This Row],[date]])</f>
        <v>2024</v>
      </c>
      <c r="I416" t="s">
        <v>66</v>
      </c>
    </row>
    <row r="417" spans="1:9" hidden="1" x14ac:dyDescent="0.25">
      <c r="A417">
        <v>416</v>
      </c>
      <c r="B417" s="1">
        <v>45500</v>
      </c>
      <c r="C417" t="s">
        <v>67</v>
      </c>
      <c r="D417">
        <v>15</v>
      </c>
      <c r="E417" t="s">
        <v>15</v>
      </c>
      <c r="F417" t="s">
        <v>13</v>
      </c>
      <c r="G417">
        <f>MONTH(cleaned_personal_finance_data4[[#This Row],[date]])</f>
        <v>7</v>
      </c>
      <c r="H417">
        <f>YEAR(cleaned_personal_finance_data4[[#This Row],[date]])</f>
        <v>2024</v>
      </c>
      <c r="I417" t="s">
        <v>67</v>
      </c>
    </row>
    <row r="418" spans="1:9" hidden="1" x14ac:dyDescent="0.25">
      <c r="A418">
        <v>417</v>
      </c>
      <c r="B418" s="1">
        <v>45500</v>
      </c>
      <c r="C418" t="s">
        <v>76</v>
      </c>
      <c r="D418">
        <v>30</v>
      </c>
      <c r="E418" t="s">
        <v>15</v>
      </c>
      <c r="F418" t="s">
        <v>13</v>
      </c>
      <c r="G418">
        <f>MONTH(cleaned_personal_finance_data4[[#This Row],[date]])</f>
        <v>7</v>
      </c>
      <c r="H418">
        <f>YEAR(cleaned_personal_finance_data4[[#This Row],[date]])</f>
        <v>2024</v>
      </c>
      <c r="I418" t="s">
        <v>43</v>
      </c>
    </row>
    <row r="419" spans="1:9" x14ac:dyDescent="0.25">
      <c r="A419">
        <v>418</v>
      </c>
      <c r="B419" s="1">
        <v>45503</v>
      </c>
      <c r="C419" t="s">
        <v>200</v>
      </c>
      <c r="D419">
        <v>5000</v>
      </c>
      <c r="E419" t="s">
        <v>7</v>
      </c>
      <c r="F419" t="s">
        <v>8</v>
      </c>
      <c r="G419">
        <f>MONTH(cleaned_personal_finance_data4[[#This Row],[date]])</f>
        <v>7</v>
      </c>
      <c r="H419">
        <f>YEAR(cleaned_personal_finance_data4[[#This Row],[date]])</f>
        <v>2024</v>
      </c>
      <c r="I419" t="s">
        <v>200</v>
      </c>
    </row>
    <row r="420" spans="1:9" hidden="1" x14ac:dyDescent="0.25">
      <c r="A420">
        <v>419</v>
      </c>
      <c r="B420" s="1">
        <v>45503</v>
      </c>
      <c r="C420" t="s">
        <v>184</v>
      </c>
      <c r="D420">
        <v>125</v>
      </c>
      <c r="E420" t="s">
        <v>15</v>
      </c>
      <c r="F420" t="s">
        <v>21</v>
      </c>
      <c r="G420">
        <f>MONTH(cleaned_personal_finance_data4[[#This Row],[date]])</f>
        <v>7</v>
      </c>
      <c r="H420">
        <f>YEAR(cleaned_personal_finance_data4[[#This Row],[date]])</f>
        <v>2024</v>
      </c>
      <c r="I420" t="s">
        <v>28</v>
      </c>
    </row>
    <row r="421" spans="1:9" hidden="1" x14ac:dyDescent="0.25">
      <c r="A421">
        <v>420</v>
      </c>
      <c r="B421" s="1">
        <v>45503</v>
      </c>
      <c r="C421" t="s">
        <v>28</v>
      </c>
      <c r="D421">
        <v>125</v>
      </c>
      <c r="E421" t="s">
        <v>15</v>
      </c>
      <c r="F421" t="s">
        <v>21</v>
      </c>
      <c r="G421">
        <f>MONTH(cleaned_personal_finance_data4[[#This Row],[date]])</f>
        <v>7</v>
      </c>
      <c r="H421">
        <f>YEAR(cleaned_personal_finance_data4[[#This Row],[date]])</f>
        <v>2024</v>
      </c>
      <c r="I421" t="s">
        <v>28</v>
      </c>
    </row>
    <row r="422" spans="1:9" hidden="1" x14ac:dyDescent="0.25">
      <c r="A422">
        <v>421</v>
      </c>
      <c r="B422" s="1">
        <v>45504</v>
      </c>
      <c r="C422" t="s">
        <v>201</v>
      </c>
      <c r="D422">
        <v>65</v>
      </c>
      <c r="E422" t="s">
        <v>15</v>
      </c>
      <c r="F422" t="s">
        <v>13</v>
      </c>
      <c r="G422">
        <f>MONTH(cleaned_personal_finance_data4[[#This Row],[date]])</f>
        <v>7</v>
      </c>
      <c r="H422">
        <f>YEAR(cleaned_personal_finance_data4[[#This Row],[date]])</f>
        <v>2024</v>
      </c>
      <c r="I422" t="s">
        <v>201</v>
      </c>
    </row>
    <row r="423" spans="1:9" hidden="1" x14ac:dyDescent="0.25">
      <c r="A423">
        <v>422</v>
      </c>
      <c r="B423" s="1">
        <v>45505</v>
      </c>
      <c r="C423" t="s">
        <v>51</v>
      </c>
      <c r="D423">
        <v>30</v>
      </c>
      <c r="E423" t="s">
        <v>15</v>
      </c>
      <c r="F423" t="s">
        <v>13</v>
      </c>
      <c r="G423">
        <f>MONTH(cleaned_personal_finance_data4[[#This Row],[date]])</f>
        <v>8</v>
      </c>
      <c r="H423">
        <f>YEAR(cleaned_personal_finance_data4[[#This Row],[date]])</f>
        <v>2024</v>
      </c>
      <c r="I423" t="s">
        <v>43</v>
      </c>
    </row>
    <row r="424" spans="1:9" hidden="1" x14ac:dyDescent="0.25">
      <c r="A424">
        <v>423</v>
      </c>
      <c r="B424" s="1">
        <v>45505</v>
      </c>
      <c r="C424" t="s">
        <v>106</v>
      </c>
      <c r="D424">
        <v>70</v>
      </c>
      <c r="E424" t="s">
        <v>15</v>
      </c>
      <c r="F424" t="s">
        <v>13</v>
      </c>
      <c r="G424">
        <f>MONTH(cleaned_personal_finance_data4[[#This Row],[date]])</f>
        <v>8</v>
      </c>
      <c r="H424">
        <f>YEAR(cleaned_personal_finance_data4[[#This Row],[date]])</f>
        <v>2024</v>
      </c>
      <c r="I424" t="s">
        <v>106</v>
      </c>
    </row>
    <row r="425" spans="1:9" hidden="1" x14ac:dyDescent="0.25">
      <c r="A425">
        <v>424</v>
      </c>
      <c r="B425" s="1">
        <v>45506</v>
      </c>
      <c r="C425" t="s">
        <v>64</v>
      </c>
      <c r="D425">
        <v>199</v>
      </c>
      <c r="E425" t="s">
        <v>15</v>
      </c>
      <c r="F425" t="s">
        <v>21</v>
      </c>
      <c r="G425">
        <f>MONTH(cleaned_personal_finance_data4[[#This Row],[date]])</f>
        <v>8</v>
      </c>
      <c r="H425">
        <f>YEAR(cleaned_personal_finance_data4[[#This Row],[date]])</f>
        <v>2024</v>
      </c>
      <c r="I425" t="s">
        <v>64</v>
      </c>
    </row>
    <row r="426" spans="1:9" hidden="1" x14ac:dyDescent="0.25">
      <c r="A426">
        <v>425</v>
      </c>
      <c r="B426" s="1">
        <v>45507</v>
      </c>
      <c r="C426" t="s">
        <v>201</v>
      </c>
      <c r="D426">
        <v>75</v>
      </c>
      <c r="E426" t="s">
        <v>15</v>
      </c>
      <c r="F426" t="s">
        <v>13</v>
      </c>
      <c r="G426">
        <f>MONTH(cleaned_personal_finance_data4[[#This Row],[date]])</f>
        <v>8</v>
      </c>
      <c r="H426">
        <f>YEAR(cleaned_personal_finance_data4[[#This Row],[date]])</f>
        <v>2024</v>
      </c>
      <c r="I426" t="s">
        <v>201</v>
      </c>
    </row>
    <row r="427" spans="1:9" hidden="1" x14ac:dyDescent="0.25">
      <c r="A427">
        <v>426</v>
      </c>
      <c r="B427" s="1">
        <v>45507</v>
      </c>
      <c r="C427" t="s">
        <v>202</v>
      </c>
      <c r="D427">
        <v>25</v>
      </c>
      <c r="E427" t="s">
        <v>15</v>
      </c>
      <c r="F427" t="s">
        <v>13</v>
      </c>
      <c r="G427">
        <f>MONTH(cleaned_personal_finance_data4[[#This Row],[date]])</f>
        <v>8</v>
      </c>
      <c r="H427">
        <f>YEAR(cleaned_personal_finance_data4[[#This Row],[date]])</f>
        <v>2024</v>
      </c>
      <c r="I427" t="s">
        <v>202</v>
      </c>
    </row>
    <row r="428" spans="1:9" hidden="1" x14ac:dyDescent="0.25">
      <c r="A428">
        <v>427</v>
      </c>
      <c r="B428" s="1">
        <v>45508</v>
      </c>
      <c r="C428" t="s">
        <v>175</v>
      </c>
      <c r="D428">
        <v>750</v>
      </c>
      <c r="E428" t="s">
        <v>15</v>
      </c>
      <c r="F428" t="s">
        <v>13</v>
      </c>
      <c r="G428">
        <f>MONTH(cleaned_personal_finance_data4[[#This Row],[date]])</f>
        <v>8</v>
      </c>
      <c r="H428">
        <f>YEAR(cleaned_personal_finance_data4[[#This Row],[date]])</f>
        <v>2024</v>
      </c>
      <c r="I428" t="s">
        <v>159</v>
      </c>
    </row>
    <row r="429" spans="1:9" hidden="1" x14ac:dyDescent="0.25">
      <c r="A429">
        <v>428</v>
      </c>
      <c r="B429" s="1">
        <v>45508</v>
      </c>
      <c r="C429" t="s">
        <v>145</v>
      </c>
      <c r="D429">
        <v>5000</v>
      </c>
      <c r="E429" t="s">
        <v>15</v>
      </c>
      <c r="F429" t="s">
        <v>13</v>
      </c>
      <c r="G429">
        <f>MONTH(cleaned_personal_finance_data4[[#This Row],[date]])</f>
        <v>8</v>
      </c>
      <c r="H429">
        <f>YEAR(cleaned_personal_finance_data4[[#This Row],[date]])</f>
        <v>2024</v>
      </c>
      <c r="I429" t="s">
        <v>145</v>
      </c>
    </row>
    <row r="430" spans="1:9" hidden="1" x14ac:dyDescent="0.25">
      <c r="A430">
        <v>429</v>
      </c>
      <c r="B430" s="1">
        <v>45508</v>
      </c>
      <c r="C430" t="s">
        <v>203</v>
      </c>
      <c r="D430">
        <v>290</v>
      </c>
      <c r="E430" t="s">
        <v>15</v>
      </c>
      <c r="F430" t="s">
        <v>13</v>
      </c>
      <c r="G430">
        <f>MONTH(cleaned_personal_finance_data4[[#This Row],[date]])</f>
        <v>8</v>
      </c>
      <c r="H430">
        <f>YEAR(cleaned_personal_finance_data4[[#This Row],[date]])</f>
        <v>2024</v>
      </c>
      <c r="I430" t="s">
        <v>204</v>
      </c>
    </row>
    <row r="431" spans="1:9" hidden="1" x14ac:dyDescent="0.25">
      <c r="A431">
        <v>430</v>
      </c>
      <c r="B431" s="1">
        <v>45508</v>
      </c>
      <c r="C431" t="s">
        <v>204</v>
      </c>
      <c r="D431">
        <v>220</v>
      </c>
      <c r="E431" t="s">
        <v>15</v>
      </c>
      <c r="F431" t="s">
        <v>13</v>
      </c>
      <c r="G431">
        <f>MONTH(cleaned_personal_finance_data4[[#This Row],[date]])</f>
        <v>8</v>
      </c>
      <c r="H431">
        <f>YEAR(cleaned_personal_finance_data4[[#This Row],[date]])</f>
        <v>2024</v>
      </c>
      <c r="I431" t="s">
        <v>204</v>
      </c>
    </row>
    <row r="432" spans="1:9" hidden="1" x14ac:dyDescent="0.25">
      <c r="A432">
        <v>431</v>
      </c>
      <c r="B432" s="1">
        <v>45508</v>
      </c>
      <c r="C432" t="s">
        <v>205</v>
      </c>
      <c r="D432">
        <v>290</v>
      </c>
      <c r="E432" t="s">
        <v>15</v>
      </c>
      <c r="F432" t="s">
        <v>13</v>
      </c>
      <c r="G432">
        <f>MONTH(cleaned_personal_finance_data4[[#This Row],[date]])</f>
        <v>8</v>
      </c>
      <c r="H432">
        <f>YEAR(cleaned_personal_finance_data4[[#This Row],[date]])</f>
        <v>2024</v>
      </c>
      <c r="I432" t="s">
        <v>321</v>
      </c>
    </row>
    <row r="433" spans="1:9" hidden="1" x14ac:dyDescent="0.25">
      <c r="A433">
        <v>432</v>
      </c>
      <c r="B433" s="1">
        <v>45508</v>
      </c>
      <c r="C433" t="s">
        <v>206</v>
      </c>
      <c r="D433">
        <v>90</v>
      </c>
      <c r="E433" t="s">
        <v>15</v>
      </c>
      <c r="F433" t="s">
        <v>13</v>
      </c>
      <c r="G433">
        <f>MONTH(cleaned_personal_finance_data4[[#This Row],[date]])</f>
        <v>8</v>
      </c>
      <c r="H433">
        <f>YEAR(cleaned_personal_finance_data4[[#This Row],[date]])</f>
        <v>2024</v>
      </c>
      <c r="I433" t="s">
        <v>321</v>
      </c>
    </row>
    <row r="434" spans="1:9" hidden="1" x14ac:dyDescent="0.25">
      <c r="A434">
        <v>433</v>
      </c>
      <c r="B434" s="1">
        <v>45508</v>
      </c>
      <c r="C434" t="s">
        <v>207</v>
      </c>
      <c r="D434">
        <v>100</v>
      </c>
      <c r="E434" t="s">
        <v>15</v>
      </c>
      <c r="F434" t="s">
        <v>13</v>
      </c>
      <c r="G434">
        <f>MONTH(cleaned_personal_finance_data4[[#This Row],[date]])</f>
        <v>8</v>
      </c>
      <c r="H434">
        <f>YEAR(cleaned_personal_finance_data4[[#This Row],[date]])</f>
        <v>2024</v>
      </c>
      <c r="I434" t="s">
        <v>207</v>
      </c>
    </row>
    <row r="435" spans="1:9" hidden="1" x14ac:dyDescent="0.25">
      <c r="A435">
        <v>434</v>
      </c>
      <c r="B435" s="1">
        <v>45510</v>
      </c>
      <c r="C435" t="s">
        <v>24</v>
      </c>
      <c r="D435">
        <v>239</v>
      </c>
      <c r="E435" t="s">
        <v>15</v>
      </c>
      <c r="F435" t="s">
        <v>21</v>
      </c>
      <c r="G435">
        <f>MONTH(cleaned_personal_finance_data4[[#This Row],[date]])</f>
        <v>8</v>
      </c>
      <c r="H435">
        <f>YEAR(cleaned_personal_finance_data4[[#This Row],[date]])</f>
        <v>2024</v>
      </c>
      <c r="I435" t="s">
        <v>24</v>
      </c>
    </row>
    <row r="436" spans="1:9" hidden="1" x14ac:dyDescent="0.25">
      <c r="A436">
        <v>435</v>
      </c>
      <c r="B436" s="1">
        <v>45513</v>
      </c>
      <c r="C436" t="s">
        <v>51</v>
      </c>
      <c r="D436">
        <v>30</v>
      </c>
      <c r="E436" t="s">
        <v>15</v>
      </c>
      <c r="F436" t="s">
        <v>13</v>
      </c>
      <c r="G436">
        <f>MONTH(cleaned_personal_finance_data4[[#This Row],[date]])</f>
        <v>8</v>
      </c>
      <c r="H436">
        <f>YEAR(cleaned_personal_finance_data4[[#This Row],[date]])</f>
        <v>2024</v>
      </c>
      <c r="I436" t="s">
        <v>43</v>
      </c>
    </row>
    <row r="437" spans="1:9" hidden="1" x14ac:dyDescent="0.25">
      <c r="A437">
        <v>436</v>
      </c>
      <c r="B437" s="1">
        <v>45513</v>
      </c>
      <c r="C437" t="s">
        <v>54</v>
      </c>
      <c r="D437">
        <v>30</v>
      </c>
      <c r="E437" t="s">
        <v>15</v>
      </c>
      <c r="F437" t="s">
        <v>13</v>
      </c>
      <c r="G437">
        <f>MONTH(cleaned_personal_finance_data4[[#This Row],[date]])</f>
        <v>8</v>
      </c>
      <c r="H437">
        <f>YEAR(cleaned_personal_finance_data4[[#This Row],[date]])</f>
        <v>2024</v>
      </c>
      <c r="I437" t="s">
        <v>54</v>
      </c>
    </row>
    <row r="438" spans="1:9" hidden="1" x14ac:dyDescent="0.25">
      <c r="A438">
        <v>437</v>
      </c>
      <c r="B438" s="1">
        <v>45513</v>
      </c>
      <c r="C438" t="s">
        <v>201</v>
      </c>
      <c r="D438">
        <v>60</v>
      </c>
      <c r="E438" t="s">
        <v>15</v>
      </c>
      <c r="F438" t="s">
        <v>13</v>
      </c>
      <c r="G438">
        <f>MONTH(cleaned_personal_finance_data4[[#This Row],[date]])</f>
        <v>8</v>
      </c>
      <c r="H438">
        <f>YEAR(cleaned_personal_finance_data4[[#This Row],[date]])</f>
        <v>2024</v>
      </c>
      <c r="I438" t="s">
        <v>201</v>
      </c>
    </row>
    <row r="439" spans="1:9" hidden="1" x14ac:dyDescent="0.25">
      <c r="A439">
        <v>438</v>
      </c>
      <c r="B439" s="1">
        <v>45513</v>
      </c>
      <c r="C439" t="s">
        <v>76</v>
      </c>
      <c r="D439">
        <v>30</v>
      </c>
      <c r="E439" t="s">
        <v>15</v>
      </c>
      <c r="F439" t="s">
        <v>13</v>
      </c>
      <c r="G439">
        <f>MONTH(cleaned_personal_finance_data4[[#This Row],[date]])</f>
        <v>8</v>
      </c>
      <c r="H439">
        <f>YEAR(cleaned_personal_finance_data4[[#This Row],[date]])</f>
        <v>2024</v>
      </c>
      <c r="I439" t="s">
        <v>43</v>
      </c>
    </row>
    <row r="440" spans="1:9" hidden="1" x14ac:dyDescent="0.25">
      <c r="A440">
        <v>439</v>
      </c>
      <c r="B440" s="1">
        <v>45513</v>
      </c>
      <c r="C440" t="s">
        <v>64</v>
      </c>
      <c r="D440">
        <v>199</v>
      </c>
      <c r="E440" t="s">
        <v>15</v>
      </c>
      <c r="F440" t="s">
        <v>21</v>
      </c>
      <c r="G440">
        <f>MONTH(cleaned_personal_finance_data4[[#This Row],[date]])</f>
        <v>8</v>
      </c>
      <c r="H440">
        <f>YEAR(cleaned_personal_finance_data4[[#This Row],[date]])</f>
        <v>2024</v>
      </c>
      <c r="I440" t="s">
        <v>64</v>
      </c>
    </row>
    <row r="441" spans="1:9" hidden="1" x14ac:dyDescent="0.25">
      <c r="A441">
        <v>440</v>
      </c>
      <c r="B441" s="1">
        <v>45514</v>
      </c>
      <c r="C441" t="s">
        <v>51</v>
      </c>
      <c r="D441">
        <v>30</v>
      </c>
      <c r="E441" t="s">
        <v>15</v>
      </c>
      <c r="F441" t="s">
        <v>13</v>
      </c>
      <c r="G441">
        <f>MONTH(cleaned_personal_finance_data4[[#This Row],[date]])</f>
        <v>8</v>
      </c>
      <c r="H441">
        <f>YEAR(cleaned_personal_finance_data4[[#This Row],[date]])</f>
        <v>2024</v>
      </c>
      <c r="I441" t="s">
        <v>43</v>
      </c>
    </row>
    <row r="442" spans="1:9" hidden="1" x14ac:dyDescent="0.25">
      <c r="A442">
        <v>441</v>
      </c>
      <c r="B442" s="1">
        <v>45514</v>
      </c>
      <c r="C442" t="s">
        <v>66</v>
      </c>
      <c r="D442">
        <v>10</v>
      </c>
      <c r="E442" t="s">
        <v>15</v>
      </c>
      <c r="F442" t="s">
        <v>13</v>
      </c>
      <c r="G442">
        <f>MONTH(cleaned_personal_finance_data4[[#This Row],[date]])</f>
        <v>8</v>
      </c>
      <c r="H442">
        <f>YEAR(cleaned_personal_finance_data4[[#This Row],[date]])</f>
        <v>2024</v>
      </c>
      <c r="I442" t="s">
        <v>66</v>
      </c>
    </row>
    <row r="443" spans="1:9" hidden="1" x14ac:dyDescent="0.25">
      <c r="A443">
        <v>442</v>
      </c>
      <c r="B443" s="1">
        <v>45514</v>
      </c>
      <c r="C443" t="s">
        <v>67</v>
      </c>
      <c r="D443">
        <v>15</v>
      </c>
      <c r="E443" t="s">
        <v>15</v>
      </c>
      <c r="F443" t="s">
        <v>13</v>
      </c>
      <c r="G443">
        <f>MONTH(cleaned_personal_finance_data4[[#This Row],[date]])</f>
        <v>8</v>
      </c>
      <c r="H443">
        <f>YEAR(cleaned_personal_finance_data4[[#This Row],[date]])</f>
        <v>2024</v>
      </c>
      <c r="I443" t="s">
        <v>67</v>
      </c>
    </row>
    <row r="444" spans="1:9" hidden="1" x14ac:dyDescent="0.25">
      <c r="A444">
        <v>443</v>
      </c>
      <c r="B444" s="1">
        <v>45514</v>
      </c>
      <c r="C444" t="s">
        <v>208</v>
      </c>
      <c r="D444">
        <v>120</v>
      </c>
      <c r="E444" t="s">
        <v>15</v>
      </c>
      <c r="F444" t="s">
        <v>13</v>
      </c>
      <c r="G444">
        <f>MONTH(cleaned_personal_finance_data4[[#This Row],[date]])</f>
        <v>8</v>
      </c>
      <c r="H444">
        <f>YEAR(cleaned_personal_finance_data4[[#This Row],[date]])</f>
        <v>2024</v>
      </c>
      <c r="I444" t="s">
        <v>321</v>
      </c>
    </row>
    <row r="445" spans="1:9" hidden="1" x14ac:dyDescent="0.25">
      <c r="A445">
        <v>444</v>
      </c>
      <c r="B445" s="1">
        <v>45514</v>
      </c>
      <c r="C445" t="s">
        <v>209</v>
      </c>
      <c r="D445">
        <v>290</v>
      </c>
      <c r="E445" t="s">
        <v>15</v>
      </c>
      <c r="F445" t="s">
        <v>13</v>
      </c>
      <c r="G445">
        <f>MONTH(cleaned_personal_finance_data4[[#This Row],[date]])</f>
        <v>8</v>
      </c>
      <c r="H445">
        <f>YEAR(cleaned_personal_finance_data4[[#This Row],[date]])</f>
        <v>2024</v>
      </c>
      <c r="I445" t="s">
        <v>204</v>
      </c>
    </row>
    <row r="446" spans="1:9" x14ac:dyDescent="0.25">
      <c r="A446">
        <v>445</v>
      </c>
      <c r="B446" s="1">
        <v>45516</v>
      </c>
      <c r="C446" t="s">
        <v>210</v>
      </c>
      <c r="D446">
        <v>5000</v>
      </c>
      <c r="E446" t="s">
        <v>7</v>
      </c>
      <c r="F446" t="s">
        <v>8</v>
      </c>
      <c r="G446">
        <f>MONTH(cleaned_personal_finance_data4[[#This Row],[date]])</f>
        <v>8</v>
      </c>
      <c r="H446">
        <f>YEAR(cleaned_personal_finance_data4[[#This Row],[date]])</f>
        <v>2024</v>
      </c>
      <c r="I446" t="s">
        <v>210</v>
      </c>
    </row>
    <row r="447" spans="1:9" x14ac:dyDescent="0.25">
      <c r="A447">
        <v>446</v>
      </c>
      <c r="B447" s="1">
        <v>45516</v>
      </c>
      <c r="C447" t="s">
        <v>6</v>
      </c>
      <c r="D447">
        <v>12615</v>
      </c>
      <c r="E447" t="s">
        <v>7</v>
      </c>
      <c r="F447" t="s">
        <v>8</v>
      </c>
      <c r="G447">
        <f>MONTH(cleaned_personal_finance_data4[[#This Row],[date]])</f>
        <v>8</v>
      </c>
      <c r="H447">
        <f>YEAR(cleaned_personal_finance_data4[[#This Row],[date]])</f>
        <v>2024</v>
      </c>
      <c r="I447" t="s">
        <v>318</v>
      </c>
    </row>
    <row r="448" spans="1:9" hidden="1" x14ac:dyDescent="0.25">
      <c r="A448">
        <v>447</v>
      </c>
      <c r="B448" s="1">
        <v>45519</v>
      </c>
      <c r="C448" t="s">
        <v>28</v>
      </c>
      <c r="D448">
        <v>125</v>
      </c>
      <c r="E448" t="s">
        <v>15</v>
      </c>
      <c r="F448" t="s">
        <v>21</v>
      </c>
      <c r="G448">
        <f>MONTH(cleaned_personal_finance_data4[[#This Row],[date]])</f>
        <v>8</v>
      </c>
      <c r="H448">
        <f>YEAR(cleaned_personal_finance_data4[[#This Row],[date]])</f>
        <v>2024</v>
      </c>
      <c r="I448" t="s">
        <v>28</v>
      </c>
    </row>
    <row r="449" spans="1:9" hidden="1" x14ac:dyDescent="0.25">
      <c r="A449">
        <v>448</v>
      </c>
      <c r="B449" s="1">
        <v>45522</v>
      </c>
      <c r="C449" t="s">
        <v>32</v>
      </c>
      <c r="D449">
        <v>20</v>
      </c>
      <c r="E449" t="s">
        <v>15</v>
      </c>
      <c r="F449" t="s">
        <v>13</v>
      </c>
      <c r="G449">
        <f>MONTH(cleaned_personal_finance_data4[[#This Row],[date]])</f>
        <v>8</v>
      </c>
      <c r="H449">
        <f>YEAR(cleaned_personal_finance_data4[[#This Row],[date]])</f>
        <v>2024</v>
      </c>
      <c r="I449" t="s">
        <v>32</v>
      </c>
    </row>
    <row r="450" spans="1:9" hidden="1" x14ac:dyDescent="0.25">
      <c r="A450">
        <v>449</v>
      </c>
      <c r="B450" s="1">
        <v>45522</v>
      </c>
      <c r="C450" t="s">
        <v>201</v>
      </c>
      <c r="D450">
        <v>75</v>
      </c>
      <c r="E450" t="s">
        <v>15</v>
      </c>
      <c r="F450" t="s">
        <v>13</v>
      </c>
      <c r="G450">
        <f>MONTH(cleaned_personal_finance_data4[[#This Row],[date]])</f>
        <v>8</v>
      </c>
      <c r="H450">
        <f>YEAR(cleaned_personal_finance_data4[[#This Row],[date]])</f>
        <v>2024</v>
      </c>
      <c r="I450" t="s">
        <v>201</v>
      </c>
    </row>
    <row r="451" spans="1:9" hidden="1" x14ac:dyDescent="0.25">
      <c r="A451">
        <v>450</v>
      </c>
      <c r="B451" s="1">
        <v>45522</v>
      </c>
      <c r="C451" t="s">
        <v>211</v>
      </c>
      <c r="D451">
        <v>70</v>
      </c>
      <c r="E451" t="s">
        <v>15</v>
      </c>
      <c r="F451" t="s">
        <v>13</v>
      </c>
      <c r="G451">
        <f>MONTH(cleaned_personal_finance_data4[[#This Row],[date]])</f>
        <v>8</v>
      </c>
      <c r="H451">
        <f>YEAR(cleaned_personal_finance_data4[[#This Row],[date]])</f>
        <v>2024</v>
      </c>
      <c r="I451" t="s">
        <v>262</v>
      </c>
    </row>
    <row r="452" spans="1:9" hidden="1" x14ac:dyDescent="0.25">
      <c r="A452">
        <v>451</v>
      </c>
      <c r="B452" s="1">
        <v>45527</v>
      </c>
      <c r="C452" t="s">
        <v>103</v>
      </c>
      <c r="D452">
        <v>260</v>
      </c>
      <c r="E452" t="s">
        <v>15</v>
      </c>
      <c r="F452" t="s">
        <v>13</v>
      </c>
      <c r="G452">
        <f>MONTH(cleaned_personal_finance_data4[[#This Row],[date]])</f>
        <v>8</v>
      </c>
      <c r="H452">
        <f>YEAR(cleaned_personal_finance_data4[[#This Row],[date]])</f>
        <v>2024</v>
      </c>
      <c r="I452" t="s">
        <v>329</v>
      </c>
    </row>
    <row r="453" spans="1:9" hidden="1" x14ac:dyDescent="0.25">
      <c r="A453">
        <v>452</v>
      </c>
      <c r="B453" s="1">
        <v>45531</v>
      </c>
      <c r="C453" t="s">
        <v>212</v>
      </c>
      <c r="D453">
        <v>180</v>
      </c>
      <c r="E453" t="s">
        <v>15</v>
      </c>
      <c r="F453" t="s">
        <v>13</v>
      </c>
      <c r="G453">
        <f>MONTH(cleaned_personal_finance_data4[[#This Row],[date]])</f>
        <v>8</v>
      </c>
      <c r="H453">
        <f>YEAR(cleaned_personal_finance_data4[[#This Row],[date]])</f>
        <v>2024</v>
      </c>
      <c r="I453" t="s">
        <v>319</v>
      </c>
    </row>
    <row r="454" spans="1:9" hidden="1" x14ac:dyDescent="0.25">
      <c r="A454">
        <v>453</v>
      </c>
      <c r="B454" s="1">
        <v>45531</v>
      </c>
      <c r="C454" t="s">
        <v>213</v>
      </c>
      <c r="D454">
        <v>300</v>
      </c>
      <c r="E454" t="s">
        <v>15</v>
      </c>
      <c r="F454" t="s">
        <v>13</v>
      </c>
      <c r="G454">
        <f>MONTH(cleaned_personal_finance_data4[[#This Row],[date]])</f>
        <v>8</v>
      </c>
      <c r="H454">
        <f>YEAR(cleaned_personal_finance_data4[[#This Row],[date]])</f>
        <v>2024</v>
      </c>
      <c r="I454" t="s">
        <v>213</v>
      </c>
    </row>
    <row r="455" spans="1:9" hidden="1" x14ac:dyDescent="0.25">
      <c r="A455">
        <v>454</v>
      </c>
      <c r="B455" s="1">
        <v>45532</v>
      </c>
      <c r="C455" t="s">
        <v>37</v>
      </c>
      <c r="D455">
        <v>25</v>
      </c>
      <c r="E455" t="s">
        <v>15</v>
      </c>
      <c r="F455" t="s">
        <v>13</v>
      </c>
      <c r="G455">
        <f>MONTH(cleaned_personal_finance_data4[[#This Row],[date]])</f>
        <v>8</v>
      </c>
      <c r="H455">
        <f>YEAR(cleaned_personal_finance_data4[[#This Row],[date]])</f>
        <v>2024</v>
      </c>
      <c r="I455" t="s">
        <v>47</v>
      </c>
    </row>
    <row r="456" spans="1:9" hidden="1" x14ac:dyDescent="0.25">
      <c r="A456">
        <v>455</v>
      </c>
      <c r="B456" s="1">
        <v>45532</v>
      </c>
      <c r="C456" t="s">
        <v>214</v>
      </c>
      <c r="D456">
        <v>200</v>
      </c>
      <c r="E456" t="s">
        <v>15</v>
      </c>
      <c r="F456" t="s">
        <v>13</v>
      </c>
      <c r="G456">
        <f>MONTH(cleaned_personal_finance_data4[[#This Row],[date]])</f>
        <v>8</v>
      </c>
      <c r="H456">
        <f>YEAR(cleaned_personal_finance_data4[[#This Row],[date]])</f>
        <v>2024</v>
      </c>
      <c r="I456" t="s">
        <v>214</v>
      </c>
    </row>
    <row r="457" spans="1:9" hidden="1" x14ac:dyDescent="0.25">
      <c r="A457">
        <v>456</v>
      </c>
      <c r="B457" s="1">
        <v>45532</v>
      </c>
      <c r="C457" t="s">
        <v>215</v>
      </c>
      <c r="D457">
        <v>460</v>
      </c>
      <c r="E457" t="s">
        <v>15</v>
      </c>
      <c r="F457" t="s">
        <v>13</v>
      </c>
      <c r="G457">
        <f>MONTH(cleaned_personal_finance_data4[[#This Row],[date]])</f>
        <v>8</v>
      </c>
      <c r="H457">
        <f>YEAR(cleaned_personal_finance_data4[[#This Row],[date]])</f>
        <v>2024</v>
      </c>
      <c r="I457" t="s">
        <v>262</v>
      </c>
    </row>
    <row r="458" spans="1:9" hidden="1" x14ac:dyDescent="0.25">
      <c r="A458">
        <v>457</v>
      </c>
      <c r="B458" s="1">
        <v>45533</v>
      </c>
      <c r="C458" t="s">
        <v>216</v>
      </c>
      <c r="D458">
        <v>1000</v>
      </c>
      <c r="E458" t="s">
        <v>15</v>
      </c>
      <c r="F458" t="s">
        <v>21</v>
      </c>
      <c r="G458">
        <f>MONTH(cleaned_personal_finance_data4[[#This Row],[date]])</f>
        <v>8</v>
      </c>
      <c r="H458">
        <f>YEAR(cleaned_personal_finance_data4[[#This Row],[date]])</f>
        <v>2024</v>
      </c>
      <c r="I458" t="s">
        <v>216</v>
      </c>
    </row>
    <row r="459" spans="1:9" x14ac:dyDescent="0.25">
      <c r="A459">
        <v>458</v>
      </c>
      <c r="B459" s="1">
        <v>45534</v>
      </c>
      <c r="C459" t="s">
        <v>6</v>
      </c>
      <c r="D459">
        <v>12617</v>
      </c>
      <c r="E459" t="s">
        <v>7</v>
      </c>
      <c r="F459" t="s">
        <v>8</v>
      </c>
      <c r="G459">
        <f>MONTH(cleaned_personal_finance_data4[[#This Row],[date]])</f>
        <v>8</v>
      </c>
      <c r="H459">
        <f>YEAR(cleaned_personal_finance_data4[[#This Row],[date]])</f>
        <v>2024</v>
      </c>
      <c r="I459" t="s">
        <v>318</v>
      </c>
    </row>
    <row r="460" spans="1:9" x14ac:dyDescent="0.25">
      <c r="A460">
        <v>459</v>
      </c>
      <c r="B460" s="1">
        <v>45534</v>
      </c>
      <c r="C460" t="s">
        <v>217</v>
      </c>
      <c r="D460">
        <v>12400</v>
      </c>
      <c r="E460" t="s">
        <v>7</v>
      </c>
      <c r="F460" t="s">
        <v>8</v>
      </c>
      <c r="G460">
        <f>MONTH(cleaned_personal_finance_data4[[#This Row],[date]])</f>
        <v>8</v>
      </c>
      <c r="H460">
        <f>YEAR(cleaned_personal_finance_data4[[#This Row],[date]])</f>
        <v>2024</v>
      </c>
      <c r="I460" t="s">
        <v>325</v>
      </c>
    </row>
    <row r="461" spans="1:9" hidden="1" x14ac:dyDescent="0.25">
      <c r="A461">
        <v>460</v>
      </c>
      <c r="B461" s="1">
        <v>45535</v>
      </c>
      <c r="C461" t="s">
        <v>207</v>
      </c>
      <c r="D461">
        <v>200</v>
      </c>
      <c r="E461" t="s">
        <v>15</v>
      </c>
      <c r="F461" t="s">
        <v>13</v>
      </c>
      <c r="G461">
        <f>MONTH(cleaned_personal_finance_data4[[#This Row],[date]])</f>
        <v>8</v>
      </c>
      <c r="H461">
        <f>YEAR(cleaned_personal_finance_data4[[#This Row],[date]])</f>
        <v>2024</v>
      </c>
      <c r="I461" t="s">
        <v>207</v>
      </c>
    </row>
    <row r="462" spans="1:9" hidden="1" x14ac:dyDescent="0.25">
      <c r="A462">
        <v>461</v>
      </c>
      <c r="B462" s="1">
        <v>45537</v>
      </c>
      <c r="C462" t="s">
        <v>218</v>
      </c>
      <c r="D462">
        <v>40</v>
      </c>
      <c r="E462" t="s">
        <v>15</v>
      </c>
      <c r="F462" t="s">
        <v>13</v>
      </c>
      <c r="G462">
        <f>MONTH(cleaned_personal_finance_data4[[#This Row],[date]])</f>
        <v>9</v>
      </c>
      <c r="H462">
        <f>YEAR(cleaned_personal_finance_data4[[#This Row],[date]])</f>
        <v>2024</v>
      </c>
      <c r="I462" t="s">
        <v>218</v>
      </c>
    </row>
    <row r="463" spans="1:9" hidden="1" x14ac:dyDescent="0.25">
      <c r="A463">
        <v>462</v>
      </c>
      <c r="B463" s="1">
        <v>45539</v>
      </c>
      <c r="C463" t="s">
        <v>184</v>
      </c>
      <c r="D463">
        <v>125</v>
      </c>
      <c r="E463" t="s">
        <v>15</v>
      </c>
      <c r="F463" t="s">
        <v>21</v>
      </c>
      <c r="G463">
        <f>MONTH(cleaned_personal_finance_data4[[#This Row],[date]])</f>
        <v>9</v>
      </c>
      <c r="H463">
        <f>YEAR(cleaned_personal_finance_data4[[#This Row],[date]])</f>
        <v>2024</v>
      </c>
      <c r="I463" t="s">
        <v>28</v>
      </c>
    </row>
    <row r="464" spans="1:9" hidden="1" x14ac:dyDescent="0.25">
      <c r="A464">
        <v>463</v>
      </c>
      <c r="B464" s="1">
        <v>45540</v>
      </c>
      <c r="C464" t="s">
        <v>184</v>
      </c>
      <c r="D464">
        <v>50</v>
      </c>
      <c r="E464" t="s">
        <v>15</v>
      </c>
      <c r="F464" t="s">
        <v>21</v>
      </c>
      <c r="G464">
        <f>MONTH(cleaned_personal_finance_data4[[#This Row],[date]])</f>
        <v>9</v>
      </c>
      <c r="H464">
        <f>YEAR(cleaned_personal_finance_data4[[#This Row],[date]])</f>
        <v>2024</v>
      </c>
      <c r="I464" t="s">
        <v>28</v>
      </c>
    </row>
    <row r="465" spans="1:9" hidden="1" x14ac:dyDescent="0.25">
      <c r="A465">
        <v>464</v>
      </c>
      <c r="B465" s="1">
        <v>45540</v>
      </c>
      <c r="C465" t="s">
        <v>219</v>
      </c>
      <c r="D465">
        <v>15</v>
      </c>
      <c r="E465" t="s">
        <v>15</v>
      </c>
      <c r="F465" t="s">
        <v>21</v>
      </c>
      <c r="G465">
        <f>MONTH(cleaned_personal_finance_data4[[#This Row],[date]])</f>
        <v>9</v>
      </c>
      <c r="H465">
        <f>YEAR(cleaned_personal_finance_data4[[#This Row],[date]])</f>
        <v>2024</v>
      </c>
      <c r="I465" t="s">
        <v>219</v>
      </c>
    </row>
    <row r="466" spans="1:9" hidden="1" x14ac:dyDescent="0.25">
      <c r="A466">
        <v>465</v>
      </c>
      <c r="B466" s="1">
        <v>45540</v>
      </c>
      <c r="C466" t="s">
        <v>184</v>
      </c>
      <c r="D466">
        <v>25</v>
      </c>
      <c r="E466" t="s">
        <v>15</v>
      </c>
      <c r="F466" t="s">
        <v>21</v>
      </c>
      <c r="G466">
        <f>MONTH(cleaned_personal_finance_data4[[#This Row],[date]])</f>
        <v>9</v>
      </c>
      <c r="H466">
        <f>YEAR(cleaned_personal_finance_data4[[#This Row],[date]])</f>
        <v>2024</v>
      </c>
      <c r="I466" t="s">
        <v>28</v>
      </c>
    </row>
    <row r="467" spans="1:9" hidden="1" x14ac:dyDescent="0.25">
      <c r="A467">
        <v>466</v>
      </c>
      <c r="B467" s="1">
        <v>45540</v>
      </c>
      <c r="C467" t="s">
        <v>218</v>
      </c>
      <c r="D467">
        <v>40</v>
      </c>
      <c r="E467" t="s">
        <v>15</v>
      </c>
      <c r="F467" t="s">
        <v>13</v>
      </c>
      <c r="G467">
        <f>MONTH(cleaned_personal_finance_data4[[#This Row],[date]])</f>
        <v>9</v>
      </c>
      <c r="H467">
        <f>YEAR(cleaned_personal_finance_data4[[#This Row],[date]])</f>
        <v>2024</v>
      </c>
      <c r="I467" t="s">
        <v>218</v>
      </c>
    </row>
    <row r="468" spans="1:9" hidden="1" x14ac:dyDescent="0.25">
      <c r="A468">
        <v>467</v>
      </c>
      <c r="B468" s="1">
        <v>45541</v>
      </c>
      <c r="C468" t="s">
        <v>24</v>
      </c>
      <c r="D468">
        <v>239</v>
      </c>
      <c r="E468" t="s">
        <v>15</v>
      </c>
      <c r="F468" t="s">
        <v>21</v>
      </c>
      <c r="G468">
        <f>MONTH(cleaned_personal_finance_data4[[#This Row],[date]])</f>
        <v>9</v>
      </c>
      <c r="H468">
        <f>YEAR(cleaned_personal_finance_data4[[#This Row],[date]])</f>
        <v>2024</v>
      </c>
      <c r="I468" t="s">
        <v>24</v>
      </c>
    </row>
    <row r="469" spans="1:9" hidden="1" x14ac:dyDescent="0.25">
      <c r="A469">
        <v>468</v>
      </c>
      <c r="B469" s="1">
        <v>45542</v>
      </c>
      <c r="C469" t="s">
        <v>220</v>
      </c>
      <c r="D469">
        <v>22</v>
      </c>
      <c r="E469" t="s">
        <v>15</v>
      </c>
      <c r="F469" t="s">
        <v>13</v>
      </c>
      <c r="G469">
        <f>MONTH(cleaned_personal_finance_data4[[#This Row],[date]])</f>
        <v>9</v>
      </c>
      <c r="H469">
        <f>YEAR(cleaned_personal_finance_data4[[#This Row],[date]])</f>
        <v>2024</v>
      </c>
      <c r="I469" t="s">
        <v>220</v>
      </c>
    </row>
    <row r="470" spans="1:9" hidden="1" x14ac:dyDescent="0.25">
      <c r="A470">
        <v>469</v>
      </c>
      <c r="B470" s="1">
        <v>45546</v>
      </c>
      <c r="C470" t="s">
        <v>207</v>
      </c>
      <c r="D470">
        <v>100</v>
      </c>
      <c r="E470" t="s">
        <v>15</v>
      </c>
      <c r="F470" t="s">
        <v>13</v>
      </c>
      <c r="G470">
        <f>MONTH(cleaned_personal_finance_data4[[#This Row],[date]])</f>
        <v>9</v>
      </c>
      <c r="H470">
        <f>YEAR(cleaned_personal_finance_data4[[#This Row],[date]])</f>
        <v>2024</v>
      </c>
      <c r="I470" t="s">
        <v>207</v>
      </c>
    </row>
    <row r="471" spans="1:9" hidden="1" x14ac:dyDescent="0.25">
      <c r="A471">
        <v>470</v>
      </c>
      <c r="B471" s="1">
        <v>45547</v>
      </c>
      <c r="C471" t="s">
        <v>207</v>
      </c>
      <c r="D471">
        <v>150</v>
      </c>
      <c r="E471" t="s">
        <v>15</v>
      </c>
      <c r="F471" t="s">
        <v>13</v>
      </c>
      <c r="G471">
        <f>MONTH(cleaned_personal_finance_data4[[#This Row],[date]])</f>
        <v>9</v>
      </c>
      <c r="H471">
        <f>YEAR(cleaned_personal_finance_data4[[#This Row],[date]])</f>
        <v>2024</v>
      </c>
      <c r="I471" t="s">
        <v>207</v>
      </c>
    </row>
    <row r="472" spans="1:9" hidden="1" x14ac:dyDescent="0.25">
      <c r="A472">
        <v>471</v>
      </c>
      <c r="B472" s="1">
        <v>45547</v>
      </c>
      <c r="C472" t="s">
        <v>184</v>
      </c>
      <c r="D472">
        <v>125</v>
      </c>
      <c r="E472" t="s">
        <v>15</v>
      </c>
      <c r="F472" t="s">
        <v>21</v>
      </c>
      <c r="G472">
        <f>MONTH(cleaned_personal_finance_data4[[#This Row],[date]])</f>
        <v>9</v>
      </c>
      <c r="H472">
        <f>YEAR(cleaned_personal_finance_data4[[#This Row],[date]])</f>
        <v>2024</v>
      </c>
      <c r="I472" t="s">
        <v>28</v>
      </c>
    </row>
    <row r="473" spans="1:9" x14ac:dyDescent="0.25">
      <c r="A473">
        <v>472</v>
      </c>
      <c r="B473" s="1">
        <v>45548</v>
      </c>
      <c r="C473" t="s">
        <v>6</v>
      </c>
      <c r="D473">
        <v>25418</v>
      </c>
      <c r="E473" t="s">
        <v>7</v>
      </c>
      <c r="F473" t="s">
        <v>8</v>
      </c>
      <c r="G473">
        <f>MONTH(cleaned_personal_finance_data4[[#This Row],[date]])</f>
        <v>9</v>
      </c>
      <c r="H473">
        <f>YEAR(cleaned_personal_finance_data4[[#This Row],[date]])</f>
        <v>2024</v>
      </c>
      <c r="I473" t="s">
        <v>318</v>
      </c>
    </row>
    <row r="474" spans="1:9" hidden="1" x14ac:dyDescent="0.25">
      <c r="A474">
        <v>473</v>
      </c>
      <c r="B474" s="1">
        <v>45549</v>
      </c>
      <c r="C474" t="s">
        <v>145</v>
      </c>
      <c r="D474">
        <v>5000</v>
      </c>
      <c r="E474" t="s">
        <v>15</v>
      </c>
      <c r="F474" t="s">
        <v>13</v>
      </c>
      <c r="G474">
        <f>MONTH(cleaned_personal_finance_data4[[#This Row],[date]])</f>
        <v>9</v>
      </c>
      <c r="H474">
        <f>YEAR(cleaned_personal_finance_data4[[#This Row],[date]])</f>
        <v>2024</v>
      </c>
      <c r="I474" t="s">
        <v>145</v>
      </c>
    </row>
    <row r="475" spans="1:9" hidden="1" x14ac:dyDescent="0.25">
      <c r="A475">
        <v>474</v>
      </c>
      <c r="B475" s="1">
        <v>45549</v>
      </c>
      <c r="C475" t="s">
        <v>175</v>
      </c>
      <c r="D475">
        <v>2550</v>
      </c>
      <c r="E475" t="s">
        <v>15</v>
      </c>
      <c r="F475" t="s">
        <v>13</v>
      </c>
      <c r="G475">
        <f>MONTH(cleaned_personal_finance_data4[[#This Row],[date]])</f>
        <v>9</v>
      </c>
      <c r="H475">
        <f>YEAR(cleaned_personal_finance_data4[[#This Row],[date]])</f>
        <v>2024</v>
      </c>
      <c r="I475" t="s">
        <v>159</v>
      </c>
    </row>
    <row r="476" spans="1:9" hidden="1" x14ac:dyDescent="0.25">
      <c r="A476">
        <v>475</v>
      </c>
      <c r="B476" s="1">
        <v>45549</v>
      </c>
      <c r="C476" t="s">
        <v>20</v>
      </c>
      <c r="D476">
        <v>2150</v>
      </c>
      <c r="E476" t="s">
        <v>10</v>
      </c>
      <c r="F476" t="s">
        <v>13</v>
      </c>
      <c r="G476">
        <f>MONTH(cleaned_personal_finance_data4[[#This Row],[date]])</f>
        <v>9</v>
      </c>
      <c r="H476">
        <f>YEAR(cleaned_personal_finance_data4[[#This Row],[date]])</f>
        <v>2024</v>
      </c>
      <c r="I476" t="s">
        <v>20</v>
      </c>
    </row>
    <row r="477" spans="1:9" hidden="1" x14ac:dyDescent="0.25">
      <c r="A477">
        <v>476</v>
      </c>
      <c r="B477" s="1">
        <v>45549</v>
      </c>
      <c r="C477" t="s">
        <v>20</v>
      </c>
      <c r="D477">
        <v>2150</v>
      </c>
      <c r="E477" t="s">
        <v>12</v>
      </c>
      <c r="F477" t="s">
        <v>21</v>
      </c>
      <c r="G477">
        <f>MONTH(cleaned_personal_finance_data4[[#This Row],[date]])</f>
        <v>9</v>
      </c>
      <c r="H477">
        <f>YEAR(cleaned_personal_finance_data4[[#This Row],[date]])</f>
        <v>2024</v>
      </c>
      <c r="I477" t="s">
        <v>20</v>
      </c>
    </row>
    <row r="478" spans="1:9" hidden="1" x14ac:dyDescent="0.25">
      <c r="A478">
        <v>477</v>
      </c>
      <c r="B478" s="1">
        <v>45549</v>
      </c>
      <c r="C478" t="s">
        <v>221</v>
      </c>
      <c r="D478">
        <v>300</v>
      </c>
      <c r="E478" t="s">
        <v>15</v>
      </c>
      <c r="F478" t="s">
        <v>13</v>
      </c>
      <c r="G478">
        <f>MONTH(cleaned_personal_finance_data4[[#This Row],[date]])</f>
        <v>9</v>
      </c>
      <c r="H478">
        <f>YEAR(cleaned_personal_finance_data4[[#This Row],[date]])</f>
        <v>2024</v>
      </c>
      <c r="I478" t="s">
        <v>323</v>
      </c>
    </row>
    <row r="479" spans="1:9" hidden="1" x14ac:dyDescent="0.25">
      <c r="A479">
        <v>478</v>
      </c>
      <c r="B479" s="1">
        <v>45551</v>
      </c>
      <c r="C479" t="s">
        <v>222</v>
      </c>
      <c r="D479">
        <v>20</v>
      </c>
      <c r="E479" t="s">
        <v>15</v>
      </c>
      <c r="F479" t="s">
        <v>13</v>
      </c>
      <c r="G479">
        <f>MONTH(cleaned_personal_finance_data4[[#This Row],[date]])</f>
        <v>9</v>
      </c>
      <c r="H479">
        <f>YEAR(cleaned_personal_finance_data4[[#This Row],[date]])</f>
        <v>2024</v>
      </c>
      <c r="I479" t="s">
        <v>43</v>
      </c>
    </row>
    <row r="480" spans="1:9" hidden="1" x14ac:dyDescent="0.25">
      <c r="A480">
        <v>479</v>
      </c>
      <c r="B480" s="1">
        <v>45552</v>
      </c>
      <c r="C480" t="s">
        <v>222</v>
      </c>
      <c r="D480">
        <v>20</v>
      </c>
      <c r="E480" t="s">
        <v>15</v>
      </c>
      <c r="F480" t="s">
        <v>13</v>
      </c>
      <c r="G480">
        <f>MONTH(cleaned_personal_finance_data4[[#This Row],[date]])</f>
        <v>9</v>
      </c>
      <c r="H480">
        <f>YEAR(cleaned_personal_finance_data4[[#This Row],[date]])</f>
        <v>2024</v>
      </c>
      <c r="I480" t="s">
        <v>43</v>
      </c>
    </row>
    <row r="481" spans="1:9" hidden="1" x14ac:dyDescent="0.25">
      <c r="A481">
        <v>480</v>
      </c>
      <c r="B481" s="1">
        <v>45552</v>
      </c>
      <c r="C481" t="s">
        <v>223</v>
      </c>
      <c r="D481">
        <v>20</v>
      </c>
      <c r="E481" t="s">
        <v>15</v>
      </c>
      <c r="F481" t="s">
        <v>13</v>
      </c>
      <c r="G481">
        <f>MONTH(cleaned_personal_finance_data4[[#This Row],[date]])</f>
        <v>9</v>
      </c>
      <c r="H481">
        <f>YEAR(cleaned_personal_finance_data4[[#This Row],[date]])</f>
        <v>2024</v>
      </c>
      <c r="I481" t="s">
        <v>43</v>
      </c>
    </row>
    <row r="482" spans="1:9" hidden="1" x14ac:dyDescent="0.25">
      <c r="A482">
        <v>481</v>
      </c>
      <c r="B482" s="1">
        <v>45553</v>
      </c>
      <c r="C482" t="s">
        <v>222</v>
      </c>
      <c r="D482">
        <v>20</v>
      </c>
      <c r="E482" t="s">
        <v>15</v>
      </c>
      <c r="F482" t="s">
        <v>13</v>
      </c>
      <c r="G482">
        <f>MONTH(cleaned_personal_finance_data4[[#This Row],[date]])</f>
        <v>9</v>
      </c>
      <c r="H482">
        <f>YEAR(cleaned_personal_finance_data4[[#This Row],[date]])</f>
        <v>2024</v>
      </c>
      <c r="I482" t="s">
        <v>43</v>
      </c>
    </row>
    <row r="483" spans="1:9" hidden="1" x14ac:dyDescent="0.25">
      <c r="A483">
        <v>482</v>
      </c>
      <c r="B483" s="1">
        <v>45554</v>
      </c>
      <c r="C483" t="s">
        <v>224</v>
      </c>
      <c r="D483">
        <v>35</v>
      </c>
      <c r="E483" t="s">
        <v>15</v>
      </c>
      <c r="F483" t="s">
        <v>13</v>
      </c>
      <c r="G483">
        <f>MONTH(cleaned_personal_finance_data4[[#This Row],[date]])</f>
        <v>9</v>
      </c>
      <c r="H483">
        <f>YEAR(cleaned_personal_finance_data4[[#This Row],[date]])</f>
        <v>2024</v>
      </c>
      <c r="I483" t="s">
        <v>224</v>
      </c>
    </row>
    <row r="484" spans="1:9" hidden="1" x14ac:dyDescent="0.25">
      <c r="A484">
        <v>483</v>
      </c>
      <c r="B484" s="1">
        <v>45554</v>
      </c>
      <c r="C484" t="s">
        <v>32</v>
      </c>
      <c r="D484">
        <v>20</v>
      </c>
      <c r="E484" t="s">
        <v>15</v>
      </c>
      <c r="F484" t="s">
        <v>13</v>
      </c>
      <c r="G484">
        <f>MONTH(cleaned_personal_finance_data4[[#This Row],[date]])</f>
        <v>9</v>
      </c>
      <c r="H484">
        <f>YEAR(cleaned_personal_finance_data4[[#This Row],[date]])</f>
        <v>2024</v>
      </c>
      <c r="I484" t="s">
        <v>32</v>
      </c>
    </row>
    <row r="485" spans="1:9" hidden="1" x14ac:dyDescent="0.25">
      <c r="A485">
        <v>484</v>
      </c>
      <c r="B485" s="1">
        <v>45554</v>
      </c>
      <c r="C485" t="s">
        <v>106</v>
      </c>
      <c r="D485">
        <v>55</v>
      </c>
      <c r="E485" t="s">
        <v>15</v>
      </c>
      <c r="F485" t="s">
        <v>13</v>
      </c>
      <c r="G485">
        <f>MONTH(cleaned_personal_finance_data4[[#This Row],[date]])</f>
        <v>9</v>
      </c>
      <c r="H485">
        <f>YEAR(cleaned_personal_finance_data4[[#This Row],[date]])</f>
        <v>2024</v>
      </c>
      <c r="I485" t="s">
        <v>106</v>
      </c>
    </row>
    <row r="486" spans="1:9" hidden="1" x14ac:dyDescent="0.25">
      <c r="A486">
        <v>485</v>
      </c>
      <c r="B486" s="1">
        <v>45555</v>
      </c>
      <c r="C486" t="s">
        <v>50</v>
      </c>
      <c r="D486">
        <v>700</v>
      </c>
      <c r="E486" t="s">
        <v>15</v>
      </c>
      <c r="F486" t="s">
        <v>21</v>
      </c>
      <c r="G486">
        <f>MONTH(cleaned_personal_finance_data4[[#This Row],[date]])</f>
        <v>9</v>
      </c>
      <c r="H486">
        <f>YEAR(cleaned_personal_finance_data4[[#This Row],[date]])</f>
        <v>2024</v>
      </c>
      <c r="I486" t="s">
        <v>50</v>
      </c>
    </row>
    <row r="487" spans="1:9" hidden="1" x14ac:dyDescent="0.25">
      <c r="A487">
        <v>486</v>
      </c>
      <c r="B487" s="1">
        <v>45555</v>
      </c>
      <c r="C487" t="s">
        <v>64</v>
      </c>
      <c r="D487">
        <v>200</v>
      </c>
      <c r="E487" t="s">
        <v>15</v>
      </c>
      <c r="F487" t="s">
        <v>21</v>
      </c>
      <c r="G487">
        <f>MONTH(cleaned_personal_finance_data4[[#This Row],[date]])</f>
        <v>9</v>
      </c>
      <c r="H487">
        <f>YEAR(cleaned_personal_finance_data4[[#This Row],[date]])</f>
        <v>2024</v>
      </c>
      <c r="I487" t="s">
        <v>64</v>
      </c>
    </row>
    <row r="488" spans="1:9" hidden="1" x14ac:dyDescent="0.25">
      <c r="A488">
        <v>487</v>
      </c>
      <c r="B488" s="1">
        <v>45555</v>
      </c>
      <c r="C488" t="s">
        <v>225</v>
      </c>
      <c r="D488">
        <v>450</v>
      </c>
      <c r="E488" t="s">
        <v>15</v>
      </c>
      <c r="F488" t="s">
        <v>13</v>
      </c>
      <c r="G488">
        <f>MONTH(cleaned_personal_finance_data4[[#This Row],[date]])</f>
        <v>9</v>
      </c>
      <c r="H488">
        <f>YEAR(cleaned_personal_finance_data4[[#This Row],[date]])</f>
        <v>2024</v>
      </c>
      <c r="I488" t="s">
        <v>262</v>
      </c>
    </row>
    <row r="489" spans="1:9" hidden="1" x14ac:dyDescent="0.25">
      <c r="A489">
        <v>488</v>
      </c>
      <c r="B489" s="1">
        <v>45555</v>
      </c>
      <c r="C489" t="s">
        <v>214</v>
      </c>
      <c r="D489">
        <v>500</v>
      </c>
      <c r="E489" t="s">
        <v>15</v>
      </c>
      <c r="F489" t="s">
        <v>13</v>
      </c>
      <c r="G489">
        <f>MONTH(cleaned_personal_finance_data4[[#This Row],[date]])</f>
        <v>9</v>
      </c>
      <c r="H489">
        <f>YEAR(cleaned_personal_finance_data4[[#This Row],[date]])</f>
        <v>2024</v>
      </c>
      <c r="I489" t="s">
        <v>214</v>
      </c>
    </row>
    <row r="490" spans="1:9" hidden="1" x14ac:dyDescent="0.25">
      <c r="A490">
        <v>489</v>
      </c>
      <c r="B490" s="1">
        <v>45556</v>
      </c>
      <c r="C490" t="s">
        <v>226</v>
      </c>
      <c r="D490">
        <v>200</v>
      </c>
      <c r="E490" t="s">
        <v>15</v>
      </c>
      <c r="F490" t="s">
        <v>13</v>
      </c>
      <c r="G490">
        <f>MONTH(cleaned_personal_finance_data4[[#This Row],[date]])</f>
        <v>9</v>
      </c>
      <c r="H490">
        <f>YEAR(cleaned_personal_finance_data4[[#This Row],[date]])</f>
        <v>2024</v>
      </c>
      <c r="I490" t="s">
        <v>226</v>
      </c>
    </row>
    <row r="491" spans="1:9" hidden="1" x14ac:dyDescent="0.25">
      <c r="A491">
        <v>490</v>
      </c>
      <c r="B491" s="1">
        <v>45556</v>
      </c>
      <c r="C491" t="s">
        <v>103</v>
      </c>
      <c r="D491">
        <v>260</v>
      </c>
      <c r="E491" t="s">
        <v>15</v>
      </c>
      <c r="F491" t="s">
        <v>13</v>
      </c>
      <c r="G491">
        <f>MONTH(cleaned_personal_finance_data4[[#This Row],[date]])</f>
        <v>9</v>
      </c>
      <c r="H491">
        <f>YEAR(cleaned_personal_finance_data4[[#This Row],[date]])</f>
        <v>2024</v>
      </c>
      <c r="I491" t="s">
        <v>329</v>
      </c>
    </row>
    <row r="492" spans="1:9" hidden="1" x14ac:dyDescent="0.25">
      <c r="A492">
        <v>491</v>
      </c>
      <c r="B492" s="1">
        <v>45557</v>
      </c>
      <c r="C492" t="s">
        <v>34</v>
      </c>
      <c r="D492">
        <v>129</v>
      </c>
      <c r="E492" t="s">
        <v>15</v>
      </c>
      <c r="F492" t="s">
        <v>21</v>
      </c>
      <c r="G492">
        <f>MONTH(cleaned_personal_finance_data4[[#This Row],[date]])</f>
        <v>9</v>
      </c>
      <c r="H492">
        <f>YEAR(cleaned_personal_finance_data4[[#This Row],[date]])</f>
        <v>2024</v>
      </c>
      <c r="I492" t="s">
        <v>34</v>
      </c>
    </row>
    <row r="493" spans="1:9" hidden="1" x14ac:dyDescent="0.25">
      <c r="A493">
        <v>492</v>
      </c>
      <c r="B493" s="1">
        <v>45559</v>
      </c>
      <c r="C493" t="s">
        <v>207</v>
      </c>
      <c r="D493">
        <v>100</v>
      </c>
      <c r="E493" t="s">
        <v>15</v>
      </c>
      <c r="F493" t="s">
        <v>13</v>
      </c>
      <c r="G493">
        <f>MONTH(cleaned_personal_finance_data4[[#This Row],[date]])</f>
        <v>9</v>
      </c>
      <c r="H493">
        <f>YEAR(cleaned_personal_finance_data4[[#This Row],[date]])</f>
        <v>2024</v>
      </c>
      <c r="I493" t="s">
        <v>207</v>
      </c>
    </row>
    <row r="494" spans="1:9" hidden="1" x14ac:dyDescent="0.25">
      <c r="A494">
        <v>493</v>
      </c>
      <c r="B494" s="1">
        <v>45560</v>
      </c>
      <c r="C494" t="s">
        <v>218</v>
      </c>
      <c r="D494">
        <v>30</v>
      </c>
      <c r="E494" t="s">
        <v>15</v>
      </c>
      <c r="F494" t="s">
        <v>13</v>
      </c>
      <c r="G494">
        <f>MONTH(cleaned_personal_finance_data4[[#This Row],[date]])</f>
        <v>9</v>
      </c>
      <c r="H494">
        <f>YEAR(cleaned_personal_finance_data4[[#This Row],[date]])</f>
        <v>2024</v>
      </c>
      <c r="I494" t="s">
        <v>218</v>
      </c>
    </row>
    <row r="495" spans="1:9" x14ac:dyDescent="0.25">
      <c r="A495">
        <v>494</v>
      </c>
      <c r="B495" s="1">
        <v>45561</v>
      </c>
      <c r="C495" t="s">
        <v>6</v>
      </c>
      <c r="D495">
        <v>13202</v>
      </c>
      <c r="E495" t="s">
        <v>7</v>
      </c>
      <c r="F495" t="s">
        <v>13</v>
      </c>
      <c r="G495">
        <f>MONTH(cleaned_personal_finance_data4[[#This Row],[date]])</f>
        <v>9</v>
      </c>
      <c r="H495">
        <f>YEAR(cleaned_personal_finance_data4[[#This Row],[date]])</f>
        <v>2024</v>
      </c>
      <c r="I495" t="s">
        <v>318</v>
      </c>
    </row>
    <row r="496" spans="1:9" hidden="1" x14ac:dyDescent="0.25">
      <c r="A496">
        <v>495</v>
      </c>
      <c r="B496" s="1">
        <v>45562</v>
      </c>
      <c r="C496" t="s">
        <v>227</v>
      </c>
      <c r="D496">
        <v>500</v>
      </c>
      <c r="E496" t="s">
        <v>12</v>
      </c>
      <c r="F496" t="s">
        <v>21</v>
      </c>
      <c r="G496">
        <f>MONTH(cleaned_personal_finance_data4[[#This Row],[date]])</f>
        <v>9</v>
      </c>
      <c r="H496">
        <f>YEAR(cleaned_personal_finance_data4[[#This Row],[date]])</f>
        <v>2024</v>
      </c>
      <c r="I496" t="s">
        <v>319</v>
      </c>
    </row>
    <row r="497" spans="1:9" hidden="1" x14ac:dyDescent="0.25">
      <c r="A497">
        <v>496</v>
      </c>
      <c r="B497" s="1">
        <v>45563</v>
      </c>
      <c r="C497" t="s">
        <v>127</v>
      </c>
      <c r="D497">
        <v>80</v>
      </c>
      <c r="E497" t="s">
        <v>15</v>
      </c>
      <c r="F497" t="s">
        <v>13</v>
      </c>
      <c r="G497">
        <f>MONTH(cleaned_personal_finance_data4[[#This Row],[date]])</f>
        <v>9</v>
      </c>
      <c r="H497">
        <f>YEAR(cleaned_personal_finance_data4[[#This Row],[date]])</f>
        <v>2024</v>
      </c>
      <c r="I497" t="s">
        <v>262</v>
      </c>
    </row>
    <row r="498" spans="1:9" hidden="1" x14ac:dyDescent="0.25">
      <c r="A498">
        <v>497</v>
      </c>
      <c r="B498" s="1">
        <v>45565</v>
      </c>
      <c r="C498" t="s">
        <v>228</v>
      </c>
      <c r="D498">
        <v>100</v>
      </c>
      <c r="E498" t="s">
        <v>15</v>
      </c>
      <c r="F498" t="s">
        <v>13</v>
      </c>
      <c r="G498">
        <f>MONTH(cleaned_personal_finance_data4[[#This Row],[date]])</f>
        <v>9</v>
      </c>
      <c r="H498">
        <f>YEAR(cleaned_personal_finance_data4[[#This Row],[date]])</f>
        <v>2024</v>
      </c>
      <c r="I498" t="s">
        <v>228</v>
      </c>
    </row>
    <row r="499" spans="1:9" hidden="1" x14ac:dyDescent="0.25">
      <c r="A499">
        <v>498</v>
      </c>
      <c r="B499" s="1">
        <v>45569</v>
      </c>
      <c r="C499" t="s">
        <v>227</v>
      </c>
      <c r="D499">
        <v>1365</v>
      </c>
      <c r="E499" t="s">
        <v>15</v>
      </c>
      <c r="F499" t="s">
        <v>13</v>
      </c>
      <c r="G499">
        <f>MONTH(cleaned_personal_finance_data4[[#This Row],[date]])</f>
        <v>10</v>
      </c>
      <c r="H499">
        <f>YEAR(cleaned_personal_finance_data4[[#This Row],[date]])</f>
        <v>2024</v>
      </c>
      <c r="I499" t="s">
        <v>319</v>
      </c>
    </row>
    <row r="500" spans="1:9" hidden="1" x14ac:dyDescent="0.25">
      <c r="A500">
        <v>499</v>
      </c>
      <c r="B500" s="1">
        <v>45569</v>
      </c>
      <c r="C500" t="s">
        <v>51</v>
      </c>
      <c r="D500">
        <v>30</v>
      </c>
      <c r="E500" t="s">
        <v>15</v>
      </c>
      <c r="F500" t="s">
        <v>13</v>
      </c>
      <c r="G500">
        <f>MONTH(cleaned_personal_finance_data4[[#This Row],[date]])</f>
        <v>10</v>
      </c>
      <c r="H500">
        <f>YEAR(cleaned_personal_finance_data4[[#This Row],[date]])</f>
        <v>2024</v>
      </c>
      <c r="I500" t="s">
        <v>43</v>
      </c>
    </row>
    <row r="501" spans="1:9" hidden="1" x14ac:dyDescent="0.25">
      <c r="A501">
        <v>500</v>
      </c>
      <c r="B501" s="1">
        <v>45569</v>
      </c>
      <c r="C501" t="s">
        <v>67</v>
      </c>
      <c r="D501">
        <v>20</v>
      </c>
      <c r="E501" t="s">
        <v>15</v>
      </c>
      <c r="F501" t="s">
        <v>13</v>
      </c>
      <c r="G501">
        <f>MONTH(cleaned_personal_finance_data4[[#This Row],[date]])</f>
        <v>10</v>
      </c>
      <c r="H501">
        <f>YEAR(cleaned_personal_finance_data4[[#This Row],[date]])</f>
        <v>2024</v>
      </c>
      <c r="I501" t="s">
        <v>67</v>
      </c>
    </row>
    <row r="502" spans="1:9" hidden="1" x14ac:dyDescent="0.25">
      <c r="A502">
        <v>501</v>
      </c>
      <c r="B502" s="1">
        <v>45569</v>
      </c>
      <c r="C502" t="s">
        <v>66</v>
      </c>
      <c r="D502">
        <v>10</v>
      </c>
      <c r="E502" t="s">
        <v>15</v>
      </c>
      <c r="F502" t="s">
        <v>13</v>
      </c>
      <c r="G502">
        <f>MONTH(cleaned_personal_finance_data4[[#This Row],[date]])</f>
        <v>10</v>
      </c>
      <c r="H502">
        <f>YEAR(cleaned_personal_finance_data4[[#This Row],[date]])</f>
        <v>2024</v>
      </c>
      <c r="I502" t="s">
        <v>66</v>
      </c>
    </row>
    <row r="503" spans="1:9" hidden="1" x14ac:dyDescent="0.25">
      <c r="A503">
        <v>502</v>
      </c>
      <c r="B503" s="1">
        <v>45569</v>
      </c>
      <c r="C503" t="s">
        <v>80</v>
      </c>
      <c r="D503">
        <v>120</v>
      </c>
      <c r="E503" t="s">
        <v>15</v>
      </c>
      <c r="F503" t="s">
        <v>13</v>
      </c>
      <c r="G503">
        <f>MONTH(cleaned_personal_finance_data4[[#This Row],[date]])</f>
        <v>10</v>
      </c>
      <c r="H503">
        <f>YEAR(cleaned_personal_finance_data4[[#This Row],[date]])</f>
        <v>2024</v>
      </c>
      <c r="I503" t="s">
        <v>43</v>
      </c>
    </row>
    <row r="504" spans="1:9" hidden="1" x14ac:dyDescent="0.25">
      <c r="A504">
        <v>503</v>
      </c>
      <c r="B504" s="1">
        <v>45569</v>
      </c>
      <c r="C504" t="s">
        <v>54</v>
      </c>
      <c r="D504">
        <v>218</v>
      </c>
      <c r="E504" t="s">
        <v>15</v>
      </c>
      <c r="F504" t="s">
        <v>13</v>
      </c>
      <c r="G504">
        <f>MONTH(cleaned_personal_finance_data4[[#This Row],[date]])</f>
        <v>10</v>
      </c>
      <c r="H504">
        <f>YEAR(cleaned_personal_finance_data4[[#This Row],[date]])</f>
        <v>2024</v>
      </c>
      <c r="I504" t="s">
        <v>54</v>
      </c>
    </row>
    <row r="505" spans="1:9" hidden="1" x14ac:dyDescent="0.25">
      <c r="A505">
        <v>504</v>
      </c>
      <c r="B505" s="1">
        <v>45569</v>
      </c>
      <c r="C505" t="s">
        <v>227</v>
      </c>
      <c r="D505">
        <v>855</v>
      </c>
      <c r="E505" t="s">
        <v>12</v>
      </c>
      <c r="F505" t="s">
        <v>21</v>
      </c>
      <c r="G505">
        <f>MONTH(cleaned_personal_finance_data4[[#This Row],[date]])</f>
        <v>10</v>
      </c>
      <c r="H505">
        <f>YEAR(cleaned_personal_finance_data4[[#This Row],[date]])</f>
        <v>2024</v>
      </c>
      <c r="I505" t="s">
        <v>319</v>
      </c>
    </row>
    <row r="506" spans="1:9" hidden="1" x14ac:dyDescent="0.25">
      <c r="A506">
        <v>505</v>
      </c>
      <c r="B506" s="1">
        <v>45570</v>
      </c>
      <c r="C506" t="s">
        <v>229</v>
      </c>
      <c r="D506">
        <v>45</v>
      </c>
      <c r="E506" t="s">
        <v>15</v>
      </c>
      <c r="F506" t="s">
        <v>13</v>
      </c>
      <c r="G506">
        <f>MONTH(cleaned_personal_finance_data4[[#This Row],[date]])</f>
        <v>10</v>
      </c>
      <c r="H506">
        <f>YEAR(cleaned_personal_finance_data4[[#This Row],[date]])</f>
        <v>2024</v>
      </c>
      <c r="I506" t="s">
        <v>229</v>
      </c>
    </row>
    <row r="507" spans="1:9" hidden="1" x14ac:dyDescent="0.25">
      <c r="A507">
        <v>506</v>
      </c>
      <c r="B507" s="1">
        <v>45570</v>
      </c>
      <c r="C507" t="s">
        <v>129</v>
      </c>
      <c r="D507">
        <v>13</v>
      </c>
      <c r="E507" t="s">
        <v>15</v>
      </c>
      <c r="F507" t="s">
        <v>13</v>
      </c>
      <c r="G507">
        <f>MONTH(cleaned_personal_finance_data4[[#This Row],[date]])</f>
        <v>10</v>
      </c>
      <c r="H507">
        <f>YEAR(cleaned_personal_finance_data4[[#This Row],[date]])</f>
        <v>2024</v>
      </c>
      <c r="I507" t="s">
        <v>43</v>
      </c>
    </row>
    <row r="508" spans="1:9" hidden="1" x14ac:dyDescent="0.25">
      <c r="A508">
        <v>507</v>
      </c>
      <c r="B508" s="1">
        <v>45570</v>
      </c>
      <c r="C508" t="s">
        <v>85</v>
      </c>
      <c r="D508">
        <v>290</v>
      </c>
      <c r="E508" t="s">
        <v>15</v>
      </c>
      <c r="F508" t="s">
        <v>13</v>
      </c>
      <c r="G508">
        <f>MONTH(cleaned_personal_finance_data4[[#This Row],[date]])</f>
        <v>10</v>
      </c>
      <c r="H508">
        <f>YEAR(cleaned_personal_finance_data4[[#This Row],[date]])</f>
        <v>2024</v>
      </c>
      <c r="I508" t="s">
        <v>85</v>
      </c>
    </row>
    <row r="509" spans="1:9" hidden="1" x14ac:dyDescent="0.25">
      <c r="A509">
        <v>508</v>
      </c>
      <c r="B509" s="1">
        <v>45570</v>
      </c>
      <c r="C509" t="s">
        <v>61</v>
      </c>
      <c r="D509">
        <v>120</v>
      </c>
      <c r="E509" t="s">
        <v>15</v>
      </c>
      <c r="F509" t="s">
        <v>13</v>
      </c>
      <c r="G509">
        <f>MONTH(cleaned_personal_finance_data4[[#This Row],[date]])</f>
        <v>10</v>
      </c>
      <c r="H509">
        <f>YEAR(cleaned_personal_finance_data4[[#This Row],[date]])</f>
        <v>2024</v>
      </c>
      <c r="I509" t="s">
        <v>43</v>
      </c>
    </row>
    <row r="510" spans="1:9" hidden="1" x14ac:dyDescent="0.25">
      <c r="A510">
        <v>509</v>
      </c>
      <c r="B510" s="1">
        <v>45570</v>
      </c>
      <c r="C510" t="s">
        <v>76</v>
      </c>
      <c r="D510">
        <v>50</v>
      </c>
      <c r="E510" t="s">
        <v>15</v>
      </c>
      <c r="F510" t="s">
        <v>13</v>
      </c>
      <c r="G510">
        <f>MONTH(cleaned_personal_finance_data4[[#This Row],[date]])</f>
        <v>10</v>
      </c>
      <c r="H510">
        <f>YEAR(cleaned_personal_finance_data4[[#This Row],[date]])</f>
        <v>2024</v>
      </c>
      <c r="I510" t="s">
        <v>43</v>
      </c>
    </row>
    <row r="511" spans="1:9" hidden="1" x14ac:dyDescent="0.25">
      <c r="A511">
        <v>510</v>
      </c>
      <c r="B511" s="1">
        <v>45570</v>
      </c>
      <c r="C511" t="s">
        <v>184</v>
      </c>
      <c r="D511">
        <v>125</v>
      </c>
      <c r="E511" t="s">
        <v>15</v>
      </c>
      <c r="F511" t="s">
        <v>21</v>
      </c>
      <c r="G511">
        <f>MONTH(cleaned_personal_finance_data4[[#This Row],[date]])</f>
        <v>10</v>
      </c>
      <c r="H511">
        <f>YEAR(cleaned_personal_finance_data4[[#This Row],[date]])</f>
        <v>2024</v>
      </c>
      <c r="I511" t="s">
        <v>28</v>
      </c>
    </row>
    <row r="512" spans="1:9" hidden="1" x14ac:dyDescent="0.25">
      <c r="A512">
        <v>511</v>
      </c>
      <c r="B512" s="1">
        <v>45570</v>
      </c>
      <c r="C512" t="s">
        <v>28</v>
      </c>
      <c r="D512">
        <v>50</v>
      </c>
      <c r="E512" t="s">
        <v>15</v>
      </c>
      <c r="F512" t="s">
        <v>21</v>
      </c>
      <c r="G512">
        <f>MONTH(cleaned_personal_finance_data4[[#This Row],[date]])</f>
        <v>10</v>
      </c>
      <c r="H512">
        <f>YEAR(cleaned_personal_finance_data4[[#This Row],[date]])</f>
        <v>2024</v>
      </c>
      <c r="I512" t="s">
        <v>28</v>
      </c>
    </row>
    <row r="513" spans="1:9" hidden="1" x14ac:dyDescent="0.25">
      <c r="A513">
        <v>512</v>
      </c>
      <c r="B513" s="1">
        <v>45571</v>
      </c>
      <c r="C513" t="s">
        <v>24</v>
      </c>
      <c r="D513">
        <v>239</v>
      </c>
      <c r="E513" t="s">
        <v>15</v>
      </c>
      <c r="F513" t="s">
        <v>21</v>
      </c>
      <c r="G513">
        <f>MONTH(cleaned_personal_finance_data4[[#This Row],[date]])</f>
        <v>10</v>
      </c>
      <c r="H513">
        <f>YEAR(cleaned_personal_finance_data4[[#This Row],[date]])</f>
        <v>2024</v>
      </c>
      <c r="I513" t="s">
        <v>24</v>
      </c>
    </row>
    <row r="514" spans="1:9" hidden="1" x14ac:dyDescent="0.25">
      <c r="A514">
        <v>513</v>
      </c>
      <c r="B514" s="1">
        <v>45573</v>
      </c>
      <c r="C514" t="s">
        <v>230</v>
      </c>
      <c r="D514">
        <v>500</v>
      </c>
      <c r="E514" t="s">
        <v>15</v>
      </c>
      <c r="F514" t="s">
        <v>13</v>
      </c>
      <c r="G514">
        <f>MONTH(cleaned_personal_finance_data4[[#This Row],[date]])</f>
        <v>10</v>
      </c>
      <c r="H514">
        <f>YEAR(cleaned_personal_finance_data4[[#This Row],[date]])</f>
        <v>2024</v>
      </c>
      <c r="I514" t="s">
        <v>230</v>
      </c>
    </row>
    <row r="515" spans="1:9" hidden="1" x14ac:dyDescent="0.25">
      <c r="A515">
        <v>514</v>
      </c>
      <c r="B515" s="1">
        <v>45575</v>
      </c>
      <c r="C515" t="s">
        <v>218</v>
      </c>
      <c r="D515">
        <v>35</v>
      </c>
      <c r="E515" t="s">
        <v>15</v>
      </c>
      <c r="F515" t="s">
        <v>13</v>
      </c>
      <c r="G515">
        <f>MONTH(cleaned_personal_finance_data4[[#This Row],[date]])</f>
        <v>10</v>
      </c>
      <c r="H515">
        <f>YEAR(cleaned_personal_finance_data4[[#This Row],[date]])</f>
        <v>2024</v>
      </c>
      <c r="I515" t="s">
        <v>218</v>
      </c>
    </row>
    <row r="516" spans="1:9" hidden="1" x14ac:dyDescent="0.25">
      <c r="A516">
        <v>515</v>
      </c>
      <c r="B516" s="1">
        <v>45575</v>
      </c>
      <c r="C516" t="s">
        <v>64</v>
      </c>
      <c r="D516">
        <v>199</v>
      </c>
      <c r="E516" t="s">
        <v>15</v>
      </c>
      <c r="F516" t="s">
        <v>21</v>
      </c>
      <c r="G516">
        <f>MONTH(cleaned_personal_finance_data4[[#This Row],[date]])</f>
        <v>10</v>
      </c>
      <c r="H516">
        <f>YEAR(cleaned_personal_finance_data4[[#This Row],[date]])</f>
        <v>2024</v>
      </c>
      <c r="I516" t="s">
        <v>64</v>
      </c>
    </row>
    <row r="517" spans="1:9" x14ac:dyDescent="0.25">
      <c r="A517">
        <v>516</v>
      </c>
      <c r="B517" s="1">
        <v>45578</v>
      </c>
      <c r="C517" t="s">
        <v>231</v>
      </c>
      <c r="D517">
        <v>1021</v>
      </c>
      <c r="E517" t="s">
        <v>7</v>
      </c>
      <c r="F517" t="s">
        <v>8</v>
      </c>
      <c r="G517">
        <f>MONTH(cleaned_personal_finance_data4[[#This Row],[date]])</f>
        <v>10</v>
      </c>
      <c r="H517">
        <f>YEAR(cleaned_personal_finance_data4[[#This Row],[date]])</f>
        <v>2024</v>
      </c>
      <c r="I517" t="s">
        <v>231</v>
      </c>
    </row>
    <row r="518" spans="1:9" hidden="1" x14ac:dyDescent="0.25">
      <c r="A518">
        <v>517</v>
      </c>
      <c r="B518" s="1">
        <v>45578</v>
      </c>
      <c r="C518" t="s">
        <v>232</v>
      </c>
      <c r="D518">
        <v>3150</v>
      </c>
      <c r="E518" t="s">
        <v>15</v>
      </c>
      <c r="F518" t="s">
        <v>13</v>
      </c>
      <c r="G518">
        <f>MONTH(cleaned_personal_finance_data4[[#This Row],[date]])</f>
        <v>10</v>
      </c>
      <c r="H518">
        <f>YEAR(cleaned_personal_finance_data4[[#This Row],[date]])</f>
        <v>2024</v>
      </c>
      <c r="I518" t="s">
        <v>159</v>
      </c>
    </row>
    <row r="519" spans="1:9" hidden="1" x14ac:dyDescent="0.25">
      <c r="A519">
        <v>518</v>
      </c>
      <c r="B519" s="1">
        <v>45578</v>
      </c>
      <c r="C519" t="s">
        <v>233</v>
      </c>
      <c r="D519">
        <v>5000</v>
      </c>
      <c r="E519" t="s">
        <v>15</v>
      </c>
      <c r="F519" t="s">
        <v>13</v>
      </c>
      <c r="G519">
        <f>MONTH(cleaned_personal_finance_data4[[#This Row],[date]])</f>
        <v>10</v>
      </c>
      <c r="H519">
        <f>YEAR(cleaned_personal_finance_data4[[#This Row],[date]])</f>
        <v>2024</v>
      </c>
      <c r="I519" t="s">
        <v>145</v>
      </c>
    </row>
    <row r="520" spans="1:9" hidden="1" x14ac:dyDescent="0.25">
      <c r="A520">
        <v>519</v>
      </c>
      <c r="B520" s="1">
        <v>45578</v>
      </c>
      <c r="C520" t="s">
        <v>234</v>
      </c>
      <c r="D520">
        <v>1750</v>
      </c>
      <c r="E520" t="s">
        <v>15</v>
      </c>
      <c r="F520" t="s">
        <v>13</v>
      </c>
      <c r="G520">
        <f>MONTH(cleaned_personal_finance_data4[[#This Row],[date]])</f>
        <v>10</v>
      </c>
      <c r="H520">
        <f>YEAR(cleaned_personal_finance_data4[[#This Row],[date]])</f>
        <v>2024</v>
      </c>
      <c r="I520" t="s">
        <v>323</v>
      </c>
    </row>
    <row r="521" spans="1:9" hidden="1" x14ac:dyDescent="0.25">
      <c r="A521">
        <v>520</v>
      </c>
      <c r="B521" s="1">
        <v>45579</v>
      </c>
      <c r="C521" t="s">
        <v>235</v>
      </c>
      <c r="D521">
        <v>20</v>
      </c>
      <c r="E521" t="s">
        <v>15</v>
      </c>
      <c r="F521" t="s">
        <v>13</v>
      </c>
      <c r="G521">
        <f>MONTH(cleaned_personal_finance_data4[[#This Row],[date]])</f>
        <v>10</v>
      </c>
      <c r="H521">
        <f>YEAR(cleaned_personal_finance_data4[[#This Row],[date]])</f>
        <v>2024</v>
      </c>
      <c r="I521" t="s">
        <v>43</v>
      </c>
    </row>
    <row r="522" spans="1:9" hidden="1" x14ac:dyDescent="0.25">
      <c r="A522">
        <v>521</v>
      </c>
      <c r="B522" s="1">
        <v>45579</v>
      </c>
      <c r="C522" t="s">
        <v>218</v>
      </c>
      <c r="D522">
        <v>15</v>
      </c>
      <c r="E522" t="s">
        <v>15</v>
      </c>
      <c r="F522" t="s">
        <v>13</v>
      </c>
      <c r="G522">
        <f>MONTH(cleaned_personal_finance_data4[[#This Row],[date]])</f>
        <v>10</v>
      </c>
      <c r="H522">
        <f>YEAR(cleaned_personal_finance_data4[[#This Row],[date]])</f>
        <v>2024</v>
      </c>
      <c r="I522" t="s">
        <v>218</v>
      </c>
    </row>
    <row r="523" spans="1:9" x14ac:dyDescent="0.25">
      <c r="A523">
        <v>522</v>
      </c>
      <c r="B523" s="1">
        <v>45579</v>
      </c>
      <c r="C523" t="s">
        <v>6</v>
      </c>
      <c r="D523">
        <v>13240</v>
      </c>
      <c r="E523" t="s">
        <v>7</v>
      </c>
      <c r="F523" t="s">
        <v>8</v>
      </c>
      <c r="G523">
        <f>MONTH(cleaned_personal_finance_data4[[#This Row],[date]])</f>
        <v>10</v>
      </c>
      <c r="H523">
        <f>YEAR(cleaned_personal_finance_data4[[#This Row],[date]])</f>
        <v>2024</v>
      </c>
      <c r="I523" t="s">
        <v>318</v>
      </c>
    </row>
    <row r="524" spans="1:9" hidden="1" x14ac:dyDescent="0.25">
      <c r="A524">
        <v>523</v>
      </c>
      <c r="B524" s="1">
        <v>45581</v>
      </c>
      <c r="C524" t="s">
        <v>218</v>
      </c>
      <c r="D524">
        <v>45</v>
      </c>
      <c r="E524" t="s">
        <v>15</v>
      </c>
      <c r="F524" t="s">
        <v>13</v>
      </c>
      <c r="G524">
        <f>MONTH(cleaned_personal_finance_data4[[#This Row],[date]])</f>
        <v>10</v>
      </c>
      <c r="H524">
        <f>YEAR(cleaned_personal_finance_data4[[#This Row],[date]])</f>
        <v>2024</v>
      </c>
      <c r="I524" t="s">
        <v>218</v>
      </c>
    </row>
    <row r="525" spans="1:9" hidden="1" x14ac:dyDescent="0.25">
      <c r="A525">
        <v>524</v>
      </c>
      <c r="B525" s="1">
        <v>45581</v>
      </c>
      <c r="C525" t="s">
        <v>236</v>
      </c>
      <c r="D525">
        <v>50</v>
      </c>
      <c r="E525" t="s">
        <v>15</v>
      </c>
      <c r="F525" t="s">
        <v>13</v>
      </c>
      <c r="G525">
        <f>MONTH(cleaned_personal_finance_data4[[#This Row],[date]])</f>
        <v>10</v>
      </c>
      <c r="H525">
        <f>YEAR(cleaned_personal_finance_data4[[#This Row],[date]])</f>
        <v>2024</v>
      </c>
      <c r="I525" t="s">
        <v>236</v>
      </c>
    </row>
    <row r="526" spans="1:9" hidden="1" x14ac:dyDescent="0.25">
      <c r="A526">
        <v>525</v>
      </c>
      <c r="B526" s="1">
        <v>45581</v>
      </c>
      <c r="C526" t="s">
        <v>184</v>
      </c>
      <c r="D526">
        <v>125</v>
      </c>
      <c r="E526" t="s">
        <v>15</v>
      </c>
      <c r="F526" t="s">
        <v>21</v>
      </c>
      <c r="G526">
        <f>MONTH(cleaned_personal_finance_data4[[#This Row],[date]])</f>
        <v>10</v>
      </c>
      <c r="H526">
        <f>YEAR(cleaned_personal_finance_data4[[#This Row],[date]])</f>
        <v>2024</v>
      </c>
      <c r="I526" t="s">
        <v>28</v>
      </c>
    </row>
    <row r="527" spans="1:9" hidden="1" x14ac:dyDescent="0.25">
      <c r="A527">
        <v>526</v>
      </c>
      <c r="B527" s="1">
        <v>45583</v>
      </c>
      <c r="C527" t="s">
        <v>64</v>
      </c>
      <c r="D527">
        <v>199</v>
      </c>
      <c r="E527" t="s">
        <v>15</v>
      </c>
      <c r="F527" t="s">
        <v>21</v>
      </c>
      <c r="G527">
        <f>MONTH(cleaned_personal_finance_data4[[#This Row],[date]])</f>
        <v>10</v>
      </c>
      <c r="H527">
        <f>YEAR(cleaned_personal_finance_data4[[#This Row],[date]])</f>
        <v>2024</v>
      </c>
      <c r="I527" t="s">
        <v>64</v>
      </c>
    </row>
    <row r="528" spans="1:9" hidden="1" x14ac:dyDescent="0.25">
      <c r="A528">
        <v>527</v>
      </c>
      <c r="B528" s="1">
        <v>45584</v>
      </c>
      <c r="C528" t="s">
        <v>28</v>
      </c>
      <c r="D528">
        <v>125</v>
      </c>
      <c r="E528" t="s">
        <v>15</v>
      </c>
      <c r="F528" t="s">
        <v>21</v>
      </c>
      <c r="G528">
        <f>MONTH(cleaned_personal_finance_data4[[#This Row],[date]])</f>
        <v>10</v>
      </c>
      <c r="H528">
        <f>YEAR(cleaned_personal_finance_data4[[#This Row],[date]])</f>
        <v>2024</v>
      </c>
      <c r="I528" t="s">
        <v>28</v>
      </c>
    </row>
    <row r="529" spans="1:9" hidden="1" x14ac:dyDescent="0.25">
      <c r="A529">
        <v>528</v>
      </c>
      <c r="B529" s="1">
        <v>45587</v>
      </c>
      <c r="C529" t="s">
        <v>103</v>
      </c>
      <c r="D529">
        <v>260</v>
      </c>
      <c r="E529" t="s">
        <v>15</v>
      </c>
      <c r="F529" t="s">
        <v>13</v>
      </c>
      <c r="G529">
        <f>MONTH(cleaned_personal_finance_data4[[#This Row],[date]])</f>
        <v>10</v>
      </c>
      <c r="H529">
        <f>YEAR(cleaned_personal_finance_data4[[#This Row],[date]])</f>
        <v>2024</v>
      </c>
      <c r="I529" t="s">
        <v>329</v>
      </c>
    </row>
    <row r="530" spans="1:9" hidden="1" x14ac:dyDescent="0.25">
      <c r="A530">
        <v>529</v>
      </c>
      <c r="B530" s="1">
        <v>45587</v>
      </c>
      <c r="C530" t="s">
        <v>34</v>
      </c>
      <c r="D530">
        <v>129</v>
      </c>
      <c r="E530" t="s">
        <v>15</v>
      </c>
      <c r="F530" t="s">
        <v>21</v>
      </c>
      <c r="G530">
        <f>MONTH(cleaned_personal_finance_data4[[#This Row],[date]])</f>
        <v>10</v>
      </c>
      <c r="H530">
        <f>YEAR(cleaned_personal_finance_data4[[#This Row],[date]])</f>
        <v>2024</v>
      </c>
      <c r="I530" t="s">
        <v>34</v>
      </c>
    </row>
    <row r="531" spans="1:9" hidden="1" x14ac:dyDescent="0.25">
      <c r="A531">
        <v>530</v>
      </c>
      <c r="B531" s="1">
        <v>45588</v>
      </c>
      <c r="C531" t="s">
        <v>237</v>
      </c>
      <c r="D531">
        <v>8</v>
      </c>
      <c r="E531" t="s">
        <v>15</v>
      </c>
      <c r="F531" t="s">
        <v>13</v>
      </c>
      <c r="G531">
        <f>MONTH(cleaned_personal_finance_data4[[#This Row],[date]])</f>
        <v>10</v>
      </c>
      <c r="H531">
        <f>YEAR(cleaned_personal_finance_data4[[#This Row],[date]])</f>
        <v>2024</v>
      </c>
      <c r="I531" t="s">
        <v>237</v>
      </c>
    </row>
    <row r="532" spans="1:9" hidden="1" x14ac:dyDescent="0.25">
      <c r="A532">
        <v>531</v>
      </c>
      <c r="B532" s="1">
        <v>45588</v>
      </c>
      <c r="C532" t="s">
        <v>28</v>
      </c>
      <c r="D532">
        <v>125</v>
      </c>
      <c r="E532" t="s">
        <v>15</v>
      </c>
      <c r="F532" t="s">
        <v>21</v>
      </c>
      <c r="G532">
        <f>MONTH(cleaned_personal_finance_data4[[#This Row],[date]])</f>
        <v>10</v>
      </c>
      <c r="H532">
        <f>YEAR(cleaned_personal_finance_data4[[#This Row],[date]])</f>
        <v>2024</v>
      </c>
      <c r="I532" t="s">
        <v>28</v>
      </c>
    </row>
    <row r="533" spans="1:9" hidden="1" x14ac:dyDescent="0.25">
      <c r="A533">
        <v>532</v>
      </c>
      <c r="B533" s="1">
        <v>45589</v>
      </c>
      <c r="C533" t="s">
        <v>28</v>
      </c>
      <c r="D533">
        <v>125</v>
      </c>
      <c r="E533" t="s">
        <v>15</v>
      </c>
      <c r="F533" t="s">
        <v>21</v>
      </c>
      <c r="G533">
        <f>MONTH(cleaned_personal_finance_data4[[#This Row],[date]])</f>
        <v>10</v>
      </c>
      <c r="H533">
        <f>YEAR(cleaned_personal_finance_data4[[#This Row],[date]])</f>
        <v>2024</v>
      </c>
      <c r="I533" t="s">
        <v>28</v>
      </c>
    </row>
    <row r="534" spans="1:9" hidden="1" x14ac:dyDescent="0.25">
      <c r="A534">
        <v>533</v>
      </c>
      <c r="B534" s="1">
        <v>45590</v>
      </c>
      <c r="C534" t="s">
        <v>238</v>
      </c>
      <c r="D534">
        <v>10000</v>
      </c>
      <c r="E534" t="s">
        <v>15</v>
      </c>
      <c r="F534" t="s">
        <v>13</v>
      </c>
      <c r="G534">
        <f>MONTH(cleaned_personal_finance_data4[[#This Row],[date]])</f>
        <v>10</v>
      </c>
      <c r="H534">
        <f>YEAR(cleaned_personal_finance_data4[[#This Row],[date]])</f>
        <v>2024</v>
      </c>
      <c r="I534" t="s">
        <v>238</v>
      </c>
    </row>
    <row r="535" spans="1:9" hidden="1" x14ac:dyDescent="0.25">
      <c r="A535">
        <v>534</v>
      </c>
      <c r="B535" s="1">
        <v>45590</v>
      </c>
      <c r="C535" t="s">
        <v>28</v>
      </c>
      <c r="D535">
        <v>25</v>
      </c>
      <c r="E535" t="s">
        <v>15</v>
      </c>
      <c r="F535" t="s">
        <v>21</v>
      </c>
      <c r="G535">
        <f>MONTH(cleaned_personal_finance_data4[[#This Row],[date]])</f>
        <v>10</v>
      </c>
      <c r="H535">
        <f>YEAR(cleaned_personal_finance_data4[[#This Row],[date]])</f>
        <v>2024</v>
      </c>
      <c r="I535" t="s">
        <v>28</v>
      </c>
    </row>
    <row r="536" spans="1:9" hidden="1" x14ac:dyDescent="0.25">
      <c r="A536">
        <v>535</v>
      </c>
      <c r="B536" s="1">
        <v>45591</v>
      </c>
      <c r="C536" t="s">
        <v>78</v>
      </c>
      <c r="D536">
        <v>200</v>
      </c>
      <c r="E536" t="s">
        <v>15</v>
      </c>
      <c r="F536" t="s">
        <v>13</v>
      </c>
      <c r="G536">
        <f>MONTH(cleaned_personal_finance_data4[[#This Row],[date]])</f>
        <v>10</v>
      </c>
      <c r="H536">
        <f>YEAR(cleaned_personal_finance_data4[[#This Row],[date]])</f>
        <v>2024</v>
      </c>
      <c r="I536" t="s">
        <v>78</v>
      </c>
    </row>
    <row r="537" spans="1:9" hidden="1" x14ac:dyDescent="0.25">
      <c r="A537">
        <v>536</v>
      </c>
      <c r="B537" s="1">
        <v>45591</v>
      </c>
      <c r="C537" t="s">
        <v>64</v>
      </c>
      <c r="D537">
        <v>199</v>
      </c>
      <c r="E537" t="s">
        <v>15</v>
      </c>
      <c r="F537" t="s">
        <v>21</v>
      </c>
      <c r="G537">
        <f>MONTH(cleaned_personal_finance_data4[[#This Row],[date]])</f>
        <v>10</v>
      </c>
      <c r="H537">
        <f>YEAR(cleaned_personal_finance_data4[[#This Row],[date]])</f>
        <v>2024</v>
      </c>
      <c r="I537" t="s">
        <v>64</v>
      </c>
    </row>
    <row r="538" spans="1:9" hidden="1" x14ac:dyDescent="0.25">
      <c r="A538">
        <v>537</v>
      </c>
      <c r="B538" s="1">
        <v>45595</v>
      </c>
      <c r="C538" t="s">
        <v>218</v>
      </c>
      <c r="D538">
        <v>15</v>
      </c>
      <c r="E538" t="s">
        <v>15</v>
      </c>
      <c r="F538" t="s">
        <v>13</v>
      </c>
      <c r="G538">
        <f>MONTH(cleaned_personal_finance_data4[[#This Row],[date]])</f>
        <v>10</v>
      </c>
      <c r="H538">
        <f>YEAR(cleaned_personal_finance_data4[[#This Row],[date]])</f>
        <v>2024</v>
      </c>
      <c r="I538" t="s">
        <v>218</v>
      </c>
    </row>
    <row r="539" spans="1:9" hidden="1" x14ac:dyDescent="0.25">
      <c r="A539">
        <v>538</v>
      </c>
      <c r="B539" s="1">
        <v>45595</v>
      </c>
      <c r="C539" t="s">
        <v>239</v>
      </c>
      <c r="D539">
        <v>92</v>
      </c>
      <c r="E539" t="s">
        <v>15</v>
      </c>
      <c r="F539" t="s">
        <v>21</v>
      </c>
      <c r="G539">
        <f>MONTH(cleaned_personal_finance_data4[[#This Row],[date]])</f>
        <v>10</v>
      </c>
      <c r="H539">
        <f>YEAR(cleaned_personal_finance_data4[[#This Row],[date]])</f>
        <v>2024</v>
      </c>
      <c r="I539" t="s">
        <v>324</v>
      </c>
    </row>
    <row r="540" spans="1:9" hidden="1" x14ac:dyDescent="0.25">
      <c r="A540">
        <v>539</v>
      </c>
      <c r="B540" s="1">
        <v>45596</v>
      </c>
      <c r="C540" t="s">
        <v>78</v>
      </c>
      <c r="D540">
        <v>150</v>
      </c>
      <c r="E540" t="s">
        <v>15</v>
      </c>
      <c r="F540" t="s">
        <v>13</v>
      </c>
      <c r="G540">
        <f>MONTH(cleaned_personal_finance_data4[[#This Row],[date]])</f>
        <v>10</v>
      </c>
      <c r="H540">
        <f>YEAR(cleaned_personal_finance_data4[[#This Row],[date]])</f>
        <v>2024</v>
      </c>
      <c r="I540" t="s">
        <v>78</v>
      </c>
    </row>
    <row r="541" spans="1:9" x14ac:dyDescent="0.25">
      <c r="A541">
        <v>540</v>
      </c>
      <c r="B541" s="1">
        <v>45596</v>
      </c>
      <c r="C541" t="s">
        <v>6</v>
      </c>
      <c r="D541">
        <v>13241</v>
      </c>
      <c r="E541" t="s">
        <v>7</v>
      </c>
      <c r="F541" t="s">
        <v>8</v>
      </c>
      <c r="G541">
        <f>MONTH(cleaned_personal_finance_data4[[#This Row],[date]])</f>
        <v>10</v>
      </c>
      <c r="H541">
        <f>YEAR(cleaned_personal_finance_data4[[#This Row],[date]])</f>
        <v>2024</v>
      </c>
      <c r="I541" t="s">
        <v>318</v>
      </c>
    </row>
    <row r="542" spans="1:9" hidden="1" x14ac:dyDescent="0.25">
      <c r="A542">
        <v>541</v>
      </c>
      <c r="B542" s="1">
        <v>45598</v>
      </c>
      <c r="C542" t="s">
        <v>240</v>
      </c>
      <c r="D542">
        <v>35</v>
      </c>
      <c r="E542" t="s">
        <v>15</v>
      </c>
      <c r="F542" t="s">
        <v>13</v>
      </c>
      <c r="G542">
        <f>MONTH(cleaned_personal_finance_data4[[#This Row],[date]])</f>
        <v>11</v>
      </c>
      <c r="H542">
        <f>YEAR(cleaned_personal_finance_data4[[#This Row],[date]])</f>
        <v>2024</v>
      </c>
      <c r="I542" t="s">
        <v>240</v>
      </c>
    </row>
    <row r="543" spans="1:9" hidden="1" x14ac:dyDescent="0.25">
      <c r="A543">
        <v>542</v>
      </c>
      <c r="B543" s="1">
        <v>45599</v>
      </c>
      <c r="C543" t="s">
        <v>64</v>
      </c>
      <c r="D543">
        <v>199</v>
      </c>
      <c r="E543" t="s">
        <v>15</v>
      </c>
      <c r="F543" t="s">
        <v>21</v>
      </c>
      <c r="G543">
        <f>MONTH(cleaned_personal_finance_data4[[#This Row],[date]])</f>
        <v>11</v>
      </c>
      <c r="H543">
        <f>YEAR(cleaned_personal_finance_data4[[#This Row],[date]])</f>
        <v>2024</v>
      </c>
      <c r="I543" t="s">
        <v>64</v>
      </c>
    </row>
    <row r="544" spans="1:9" hidden="1" x14ac:dyDescent="0.25">
      <c r="A544">
        <v>543</v>
      </c>
      <c r="B544" s="1">
        <v>45601</v>
      </c>
      <c r="C544" t="s">
        <v>241</v>
      </c>
      <c r="D544">
        <v>30</v>
      </c>
      <c r="E544" t="s">
        <v>15</v>
      </c>
      <c r="F544" t="s">
        <v>13</v>
      </c>
      <c r="G544">
        <f>MONTH(cleaned_personal_finance_data4[[#This Row],[date]])</f>
        <v>11</v>
      </c>
      <c r="H544">
        <f>YEAR(cleaned_personal_finance_data4[[#This Row],[date]])</f>
        <v>2024</v>
      </c>
      <c r="I544" t="s">
        <v>241</v>
      </c>
    </row>
    <row r="545" spans="1:9" hidden="1" x14ac:dyDescent="0.25">
      <c r="A545">
        <v>544</v>
      </c>
      <c r="B545" s="1">
        <v>45601</v>
      </c>
      <c r="C545" t="s">
        <v>242</v>
      </c>
      <c r="D545">
        <v>15</v>
      </c>
      <c r="E545" t="s">
        <v>15</v>
      </c>
      <c r="F545" t="s">
        <v>13</v>
      </c>
      <c r="G545">
        <f>MONTH(cleaned_personal_finance_data4[[#This Row],[date]])</f>
        <v>11</v>
      </c>
      <c r="H545">
        <f>YEAR(cleaned_personal_finance_data4[[#This Row],[date]])</f>
        <v>2024</v>
      </c>
      <c r="I545" t="s">
        <v>242</v>
      </c>
    </row>
    <row r="546" spans="1:9" hidden="1" x14ac:dyDescent="0.25">
      <c r="A546">
        <v>545</v>
      </c>
      <c r="B546" s="1">
        <v>45602</v>
      </c>
      <c r="C546" t="s">
        <v>242</v>
      </c>
      <c r="D546">
        <v>15</v>
      </c>
      <c r="E546" t="s">
        <v>15</v>
      </c>
      <c r="F546" t="s">
        <v>13</v>
      </c>
      <c r="G546">
        <f>MONTH(cleaned_personal_finance_data4[[#This Row],[date]])</f>
        <v>11</v>
      </c>
      <c r="H546">
        <f>YEAR(cleaned_personal_finance_data4[[#This Row],[date]])</f>
        <v>2024</v>
      </c>
      <c r="I546" t="s">
        <v>242</v>
      </c>
    </row>
    <row r="547" spans="1:9" hidden="1" x14ac:dyDescent="0.25">
      <c r="A547">
        <v>546</v>
      </c>
      <c r="B547" s="1">
        <v>45603</v>
      </c>
      <c r="C547" t="s">
        <v>242</v>
      </c>
      <c r="D547">
        <v>15</v>
      </c>
      <c r="E547" t="s">
        <v>15</v>
      </c>
      <c r="F547" t="s">
        <v>13</v>
      </c>
      <c r="G547">
        <f>MONTH(cleaned_personal_finance_data4[[#This Row],[date]])</f>
        <v>11</v>
      </c>
      <c r="H547">
        <f>YEAR(cleaned_personal_finance_data4[[#This Row],[date]])</f>
        <v>2024</v>
      </c>
      <c r="I547" t="s">
        <v>242</v>
      </c>
    </row>
    <row r="548" spans="1:9" hidden="1" x14ac:dyDescent="0.25">
      <c r="A548">
        <v>547</v>
      </c>
      <c r="B548" s="1">
        <v>45603</v>
      </c>
      <c r="C548" t="s">
        <v>243</v>
      </c>
      <c r="D548">
        <v>20</v>
      </c>
      <c r="E548" t="s">
        <v>15</v>
      </c>
      <c r="F548" t="s">
        <v>13</v>
      </c>
      <c r="G548">
        <f>MONTH(cleaned_personal_finance_data4[[#This Row],[date]])</f>
        <v>11</v>
      </c>
      <c r="H548">
        <f>YEAR(cleaned_personal_finance_data4[[#This Row],[date]])</f>
        <v>2024</v>
      </c>
      <c r="I548" t="s">
        <v>243</v>
      </c>
    </row>
    <row r="549" spans="1:9" hidden="1" x14ac:dyDescent="0.25">
      <c r="A549">
        <v>548</v>
      </c>
      <c r="B549" s="1">
        <v>45607</v>
      </c>
      <c r="C549" t="s">
        <v>244</v>
      </c>
      <c r="D549">
        <v>500</v>
      </c>
      <c r="E549" t="s">
        <v>15</v>
      </c>
      <c r="F549" t="s">
        <v>13</v>
      </c>
      <c r="G549">
        <f>MONTH(cleaned_personal_finance_data4[[#This Row],[date]])</f>
        <v>11</v>
      </c>
      <c r="H549">
        <f>YEAR(cleaned_personal_finance_data4[[#This Row],[date]])</f>
        <v>2024</v>
      </c>
      <c r="I549" t="s">
        <v>244</v>
      </c>
    </row>
    <row r="550" spans="1:9" hidden="1" x14ac:dyDescent="0.25">
      <c r="A550">
        <v>549</v>
      </c>
      <c r="B550" s="1">
        <v>45607</v>
      </c>
      <c r="C550" t="s">
        <v>245</v>
      </c>
      <c r="D550">
        <v>200</v>
      </c>
      <c r="E550" t="s">
        <v>15</v>
      </c>
      <c r="F550" t="s">
        <v>13</v>
      </c>
      <c r="G550">
        <f>MONTH(cleaned_personal_finance_data4[[#This Row],[date]])</f>
        <v>11</v>
      </c>
      <c r="H550">
        <f>YEAR(cleaned_personal_finance_data4[[#This Row],[date]])</f>
        <v>2024</v>
      </c>
      <c r="I550" t="s">
        <v>245</v>
      </c>
    </row>
    <row r="551" spans="1:9" hidden="1" x14ac:dyDescent="0.25">
      <c r="A551">
        <v>550</v>
      </c>
      <c r="B551" s="1">
        <v>45607</v>
      </c>
      <c r="C551" t="s">
        <v>67</v>
      </c>
      <c r="D551">
        <v>50</v>
      </c>
      <c r="E551" t="s">
        <v>15</v>
      </c>
      <c r="F551" t="s">
        <v>13</v>
      </c>
      <c r="G551">
        <f>MONTH(cleaned_personal_finance_data4[[#This Row],[date]])</f>
        <v>11</v>
      </c>
      <c r="H551">
        <f>YEAR(cleaned_personal_finance_data4[[#This Row],[date]])</f>
        <v>2024</v>
      </c>
      <c r="I551" t="s">
        <v>67</v>
      </c>
    </row>
    <row r="552" spans="1:9" hidden="1" x14ac:dyDescent="0.25">
      <c r="A552">
        <v>551</v>
      </c>
      <c r="B552" s="1">
        <v>45607</v>
      </c>
      <c r="C552" t="s">
        <v>246</v>
      </c>
      <c r="D552">
        <v>20</v>
      </c>
      <c r="E552" t="s">
        <v>15</v>
      </c>
      <c r="F552" t="s">
        <v>13</v>
      </c>
      <c r="G552">
        <f>MONTH(cleaned_personal_finance_data4[[#This Row],[date]])</f>
        <v>11</v>
      </c>
      <c r="H552">
        <f>YEAR(cleaned_personal_finance_data4[[#This Row],[date]])</f>
        <v>2024</v>
      </c>
      <c r="I552" t="s">
        <v>246</v>
      </c>
    </row>
    <row r="553" spans="1:9" hidden="1" x14ac:dyDescent="0.25">
      <c r="A553">
        <v>552</v>
      </c>
      <c r="B553" s="1">
        <v>45607</v>
      </c>
      <c r="C553" t="s">
        <v>247</v>
      </c>
      <c r="D553">
        <v>40</v>
      </c>
      <c r="E553" t="s">
        <v>15</v>
      </c>
      <c r="F553" t="s">
        <v>13</v>
      </c>
      <c r="G553">
        <f>MONTH(cleaned_personal_finance_data4[[#This Row],[date]])</f>
        <v>11</v>
      </c>
      <c r="H553">
        <f>YEAR(cleaned_personal_finance_data4[[#This Row],[date]])</f>
        <v>2024</v>
      </c>
      <c r="I553" t="s">
        <v>247</v>
      </c>
    </row>
    <row r="554" spans="1:9" hidden="1" x14ac:dyDescent="0.25">
      <c r="A554">
        <v>553</v>
      </c>
      <c r="B554" s="1">
        <v>45608</v>
      </c>
      <c r="C554" t="s">
        <v>218</v>
      </c>
      <c r="D554">
        <v>45</v>
      </c>
      <c r="E554" t="s">
        <v>15</v>
      </c>
      <c r="F554" t="s">
        <v>13</v>
      </c>
      <c r="G554">
        <f>MONTH(cleaned_personal_finance_data4[[#This Row],[date]])</f>
        <v>11</v>
      </c>
      <c r="H554">
        <f>YEAR(cleaned_personal_finance_data4[[#This Row],[date]])</f>
        <v>2024</v>
      </c>
      <c r="I554" t="s">
        <v>218</v>
      </c>
    </row>
    <row r="555" spans="1:9" hidden="1" x14ac:dyDescent="0.25">
      <c r="A555">
        <v>554</v>
      </c>
      <c r="B555" s="1">
        <v>45608</v>
      </c>
      <c r="C555" t="s">
        <v>103</v>
      </c>
      <c r="D555">
        <v>265</v>
      </c>
      <c r="E555" t="s">
        <v>15</v>
      </c>
      <c r="F555" t="s">
        <v>13</v>
      </c>
      <c r="G555">
        <f>MONTH(cleaned_personal_finance_data4[[#This Row],[date]])</f>
        <v>11</v>
      </c>
      <c r="H555">
        <f>YEAR(cleaned_personal_finance_data4[[#This Row],[date]])</f>
        <v>2024</v>
      </c>
      <c r="I555" t="s">
        <v>329</v>
      </c>
    </row>
    <row r="556" spans="1:9" x14ac:dyDescent="0.25">
      <c r="A556">
        <v>555</v>
      </c>
      <c r="B556" s="1">
        <v>45608</v>
      </c>
      <c r="C556" t="s">
        <v>248</v>
      </c>
      <c r="D556">
        <v>27000</v>
      </c>
      <c r="E556" t="s">
        <v>7</v>
      </c>
      <c r="F556" t="s">
        <v>8</v>
      </c>
      <c r="G556">
        <f>MONTH(cleaned_personal_finance_data4[[#This Row],[date]])</f>
        <v>11</v>
      </c>
      <c r="H556">
        <f>YEAR(cleaned_personal_finance_data4[[#This Row],[date]])</f>
        <v>2024</v>
      </c>
      <c r="I556" t="s">
        <v>327</v>
      </c>
    </row>
    <row r="557" spans="1:9" x14ac:dyDescent="0.25">
      <c r="A557">
        <v>556</v>
      </c>
      <c r="B557" s="1">
        <v>45608</v>
      </c>
      <c r="C557" t="s">
        <v>249</v>
      </c>
      <c r="D557">
        <v>5000</v>
      </c>
      <c r="E557" t="s">
        <v>7</v>
      </c>
      <c r="F557" t="s">
        <v>8</v>
      </c>
      <c r="G557">
        <f>MONTH(cleaned_personal_finance_data4[[#This Row],[date]])</f>
        <v>11</v>
      </c>
      <c r="H557">
        <f>YEAR(cleaned_personal_finance_data4[[#This Row],[date]])</f>
        <v>2024</v>
      </c>
      <c r="I557" t="s">
        <v>249</v>
      </c>
    </row>
    <row r="558" spans="1:9" x14ac:dyDescent="0.25">
      <c r="A558">
        <v>557</v>
      </c>
      <c r="B558" s="1">
        <v>45608</v>
      </c>
      <c r="C558" t="s">
        <v>6</v>
      </c>
      <c r="D558">
        <v>14752</v>
      </c>
      <c r="E558" t="s">
        <v>7</v>
      </c>
      <c r="F558" t="s">
        <v>8</v>
      </c>
      <c r="G558">
        <f>MONTH(cleaned_personal_finance_data4[[#This Row],[date]])</f>
        <v>11</v>
      </c>
      <c r="H558">
        <f>YEAR(cleaned_personal_finance_data4[[#This Row],[date]])</f>
        <v>2024</v>
      </c>
      <c r="I558" t="s">
        <v>318</v>
      </c>
    </row>
    <row r="559" spans="1:9" hidden="1" x14ac:dyDescent="0.25">
      <c r="A559">
        <v>558</v>
      </c>
      <c r="B559" s="1">
        <v>45609</v>
      </c>
      <c r="C559" t="s">
        <v>218</v>
      </c>
      <c r="D559">
        <v>30</v>
      </c>
      <c r="E559" t="s">
        <v>15</v>
      </c>
      <c r="F559" t="s">
        <v>13</v>
      </c>
      <c r="G559">
        <f>MONTH(cleaned_personal_finance_data4[[#This Row],[date]])</f>
        <v>11</v>
      </c>
      <c r="H559">
        <f>YEAR(cleaned_personal_finance_data4[[#This Row],[date]])</f>
        <v>2024</v>
      </c>
      <c r="I559" t="s">
        <v>218</v>
      </c>
    </row>
    <row r="560" spans="1:9" hidden="1" x14ac:dyDescent="0.25">
      <c r="A560">
        <v>559</v>
      </c>
      <c r="B560" s="1">
        <v>45609</v>
      </c>
      <c r="C560" t="s">
        <v>250</v>
      </c>
      <c r="D560">
        <v>2325</v>
      </c>
      <c r="E560" t="s">
        <v>15</v>
      </c>
      <c r="F560" t="s">
        <v>13</v>
      </c>
      <c r="G560">
        <f>MONTH(cleaned_personal_finance_data4[[#This Row],[date]])</f>
        <v>11</v>
      </c>
      <c r="H560">
        <f>YEAR(cleaned_personal_finance_data4[[#This Row],[date]])</f>
        <v>2024</v>
      </c>
      <c r="I560" t="s">
        <v>159</v>
      </c>
    </row>
    <row r="561" spans="1:9" hidden="1" x14ac:dyDescent="0.25">
      <c r="A561">
        <v>560</v>
      </c>
      <c r="B561" s="1">
        <v>45609</v>
      </c>
      <c r="C561" t="s">
        <v>145</v>
      </c>
      <c r="D561">
        <v>5000</v>
      </c>
      <c r="E561" t="s">
        <v>15</v>
      </c>
      <c r="F561" t="s">
        <v>13</v>
      </c>
      <c r="G561">
        <f>MONTH(cleaned_personal_finance_data4[[#This Row],[date]])</f>
        <v>11</v>
      </c>
      <c r="H561">
        <f>YEAR(cleaned_personal_finance_data4[[#This Row],[date]])</f>
        <v>2024</v>
      </c>
      <c r="I561" t="s">
        <v>145</v>
      </c>
    </row>
    <row r="562" spans="1:9" hidden="1" x14ac:dyDescent="0.25">
      <c r="A562">
        <v>561</v>
      </c>
      <c r="B562" s="1">
        <v>45609</v>
      </c>
      <c r="C562" t="s">
        <v>251</v>
      </c>
      <c r="D562">
        <v>300</v>
      </c>
      <c r="E562" t="s">
        <v>15</v>
      </c>
      <c r="F562" t="s">
        <v>13</v>
      </c>
      <c r="G562">
        <f>MONTH(cleaned_personal_finance_data4[[#This Row],[date]])</f>
        <v>11</v>
      </c>
      <c r="H562">
        <f>YEAR(cleaned_personal_finance_data4[[#This Row],[date]])</f>
        <v>2024</v>
      </c>
      <c r="I562" t="s">
        <v>251</v>
      </c>
    </row>
    <row r="563" spans="1:9" hidden="1" x14ac:dyDescent="0.25">
      <c r="A563">
        <v>562</v>
      </c>
      <c r="B563" s="1">
        <v>45611</v>
      </c>
      <c r="C563" t="s">
        <v>226</v>
      </c>
      <c r="D563">
        <v>100</v>
      </c>
      <c r="E563" t="s">
        <v>15</v>
      </c>
      <c r="F563" t="s">
        <v>13</v>
      </c>
      <c r="G563">
        <f>MONTH(cleaned_personal_finance_data4[[#This Row],[date]])</f>
        <v>11</v>
      </c>
      <c r="H563">
        <f>YEAR(cleaned_personal_finance_data4[[#This Row],[date]])</f>
        <v>2024</v>
      </c>
      <c r="I563" t="s">
        <v>226</v>
      </c>
    </row>
    <row r="564" spans="1:9" hidden="1" x14ac:dyDescent="0.25">
      <c r="A564">
        <v>563</v>
      </c>
      <c r="B564" s="1">
        <v>45614</v>
      </c>
      <c r="C564" t="s">
        <v>252</v>
      </c>
      <c r="D564">
        <v>100</v>
      </c>
      <c r="E564" t="s">
        <v>15</v>
      </c>
      <c r="F564" t="s">
        <v>13</v>
      </c>
      <c r="G564">
        <f>MONTH(cleaned_personal_finance_data4[[#This Row],[date]])</f>
        <v>11</v>
      </c>
      <c r="H564">
        <f>YEAR(cleaned_personal_finance_data4[[#This Row],[date]])</f>
        <v>2024</v>
      </c>
      <c r="I564" t="s">
        <v>198</v>
      </c>
    </row>
    <row r="565" spans="1:9" hidden="1" x14ac:dyDescent="0.25">
      <c r="A565">
        <v>564</v>
      </c>
      <c r="B565" s="1">
        <v>45614</v>
      </c>
      <c r="C565" t="s">
        <v>218</v>
      </c>
      <c r="D565">
        <v>15</v>
      </c>
      <c r="E565" t="s">
        <v>15</v>
      </c>
      <c r="F565" t="s">
        <v>13</v>
      </c>
      <c r="G565">
        <f>MONTH(cleaned_personal_finance_data4[[#This Row],[date]])</f>
        <v>11</v>
      </c>
      <c r="H565">
        <f>YEAR(cleaned_personal_finance_data4[[#This Row],[date]])</f>
        <v>2024</v>
      </c>
      <c r="I565" t="s">
        <v>218</v>
      </c>
    </row>
    <row r="566" spans="1:9" hidden="1" x14ac:dyDescent="0.25">
      <c r="A566">
        <v>565</v>
      </c>
      <c r="B566" s="1">
        <v>45615</v>
      </c>
      <c r="C566" t="s">
        <v>218</v>
      </c>
      <c r="D566">
        <v>15</v>
      </c>
      <c r="E566" t="s">
        <v>15</v>
      </c>
      <c r="F566" t="s">
        <v>13</v>
      </c>
      <c r="G566">
        <f>MONTH(cleaned_personal_finance_data4[[#This Row],[date]])</f>
        <v>11</v>
      </c>
      <c r="H566">
        <f>YEAR(cleaned_personal_finance_data4[[#This Row],[date]])</f>
        <v>2024</v>
      </c>
      <c r="I566" t="s">
        <v>218</v>
      </c>
    </row>
    <row r="567" spans="1:9" hidden="1" x14ac:dyDescent="0.25">
      <c r="A567">
        <v>566</v>
      </c>
      <c r="B567" s="1">
        <v>45615</v>
      </c>
      <c r="C567" t="s">
        <v>253</v>
      </c>
      <c r="D567">
        <v>100</v>
      </c>
      <c r="E567" t="s">
        <v>15</v>
      </c>
      <c r="F567" t="s">
        <v>13</v>
      </c>
      <c r="G567">
        <f>MONTH(cleaned_personal_finance_data4[[#This Row],[date]])</f>
        <v>11</v>
      </c>
      <c r="H567">
        <f>YEAR(cleaned_personal_finance_data4[[#This Row],[date]])</f>
        <v>2024</v>
      </c>
      <c r="I567" t="s">
        <v>198</v>
      </c>
    </row>
    <row r="568" spans="1:9" hidden="1" x14ac:dyDescent="0.25">
      <c r="A568">
        <v>567</v>
      </c>
      <c r="B568" s="1">
        <v>45616</v>
      </c>
      <c r="C568" t="s">
        <v>254</v>
      </c>
      <c r="D568">
        <v>100</v>
      </c>
      <c r="E568" t="s">
        <v>15</v>
      </c>
      <c r="F568" t="s">
        <v>13</v>
      </c>
      <c r="G568">
        <f>MONTH(cleaned_personal_finance_data4[[#This Row],[date]])</f>
        <v>11</v>
      </c>
      <c r="H568">
        <f>YEAR(cleaned_personal_finance_data4[[#This Row],[date]])</f>
        <v>2024</v>
      </c>
      <c r="I568" t="s">
        <v>198</v>
      </c>
    </row>
    <row r="569" spans="1:9" hidden="1" x14ac:dyDescent="0.25">
      <c r="A569">
        <v>568</v>
      </c>
      <c r="B569" s="1">
        <v>45618</v>
      </c>
      <c r="C569" t="s">
        <v>255</v>
      </c>
      <c r="D569">
        <v>100</v>
      </c>
      <c r="E569" t="s">
        <v>15</v>
      </c>
      <c r="F569" t="s">
        <v>13</v>
      </c>
      <c r="G569">
        <f>MONTH(cleaned_personal_finance_data4[[#This Row],[date]])</f>
        <v>11</v>
      </c>
      <c r="H569">
        <f>YEAR(cleaned_personal_finance_data4[[#This Row],[date]])</f>
        <v>2024</v>
      </c>
      <c r="I569" t="s">
        <v>198</v>
      </c>
    </row>
    <row r="570" spans="1:9" hidden="1" x14ac:dyDescent="0.25">
      <c r="A570">
        <v>569</v>
      </c>
      <c r="B570" s="1">
        <v>45618</v>
      </c>
      <c r="C570" t="s">
        <v>218</v>
      </c>
      <c r="D570">
        <v>45</v>
      </c>
      <c r="E570" t="s">
        <v>15</v>
      </c>
      <c r="F570" t="s">
        <v>13</v>
      </c>
      <c r="G570">
        <f>MONTH(cleaned_personal_finance_data4[[#This Row],[date]])</f>
        <v>11</v>
      </c>
      <c r="H570">
        <f>YEAR(cleaned_personal_finance_data4[[#This Row],[date]])</f>
        <v>2024</v>
      </c>
      <c r="I570" t="s">
        <v>218</v>
      </c>
    </row>
    <row r="571" spans="1:9" hidden="1" x14ac:dyDescent="0.25">
      <c r="A571">
        <v>570</v>
      </c>
      <c r="B571" s="1">
        <v>45625</v>
      </c>
      <c r="C571" t="s">
        <v>256</v>
      </c>
      <c r="D571">
        <v>12</v>
      </c>
      <c r="E571" t="s">
        <v>15</v>
      </c>
      <c r="F571" t="s">
        <v>13</v>
      </c>
      <c r="G571">
        <f>MONTH(cleaned_personal_finance_data4[[#This Row],[date]])</f>
        <v>11</v>
      </c>
      <c r="H571">
        <f>YEAR(cleaned_personal_finance_data4[[#This Row],[date]])</f>
        <v>2024</v>
      </c>
      <c r="I571" t="s">
        <v>256</v>
      </c>
    </row>
    <row r="572" spans="1:9" hidden="1" x14ac:dyDescent="0.25">
      <c r="A572">
        <v>571</v>
      </c>
      <c r="B572" s="1">
        <v>45625</v>
      </c>
      <c r="C572" t="s">
        <v>240</v>
      </c>
      <c r="D572">
        <v>30</v>
      </c>
      <c r="E572" t="s">
        <v>15</v>
      </c>
      <c r="F572" t="s">
        <v>13</v>
      </c>
      <c r="G572">
        <f>MONTH(cleaned_personal_finance_data4[[#This Row],[date]])</f>
        <v>11</v>
      </c>
      <c r="H572">
        <f>YEAR(cleaned_personal_finance_data4[[#This Row],[date]])</f>
        <v>2024</v>
      </c>
      <c r="I572" t="s">
        <v>240</v>
      </c>
    </row>
    <row r="573" spans="1:9" x14ac:dyDescent="0.25">
      <c r="A573">
        <v>572</v>
      </c>
      <c r="B573" s="1">
        <v>45626</v>
      </c>
      <c r="C573" t="s">
        <v>6</v>
      </c>
      <c r="D573">
        <v>13240</v>
      </c>
      <c r="E573" t="s">
        <v>7</v>
      </c>
      <c r="F573" t="s">
        <v>13</v>
      </c>
      <c r="G573">
        <f>MONTH(cleaned_personal_finance_data4[[#This Row],[date]])</f>
        <v>11</v>
      </c>
      <c r="H573">
        <f>YEAR(cleaned_personal_finance_data4[[#This Row],[date]])</f>
        <v>2024</v>
      </c>
      <c r="I573" t="s">
        <v>318</v>
      </c>
    </row>
    <row r="574" spans="1:9" hidden="1" x14ac:dyDescent="0.25">
      <c r="A574">
        <v>573</v>
      </c>
      <c r="B574" s="1">
        <v>45630</v>
      </c>
      <c r="C574" t="s">
        <v>242</v>
      </c>
      <c r="D574">
        <v>15</v>
      </c>
      <c r="E574" t="s">
        <v>15</v>
      </c>
      <c r="F574" t="s">
        <v>13</v>
      </c>
      <c r="G574">
        <f>MONTH(cleaned_personal_finance_data4[[#This Row],[date]])</f>
        <v>12</v>
      </c>
      <c r="H574">
        <f>YEAR(cleaned_personal_finance_data4[[#This Row],[date]])</f>
        <v>2024</v>
      </c>
      <c r="I574" t="s">
        <v>242</v>
      </c>
    </row>
    <row r="575" spans="1:9" hidden="1" x14ac:dyDescent="0.25">
      <c r="A575">
        <v>574</v>
      </c>
      <c r="B575" s="1">
        <v>45632</v>
      </c>
      <c r="C575" t="s">
        <v>218</v>
      </c>
      <c r="D575">
        <v>45</v>
      </c>
      <c r="E575" t="s">
        <v>15</v>
      </c>
      <c r="F575" t="s">
        <v>13</v>
      </c>
      <c r="G575">
        <f>MONTH(cleaned_personal_finance_data4[[#This Row],[date]])</f>
        <v>12</v>
      </c>
      <c r="H575">
        <f>YEAR(cleaned_personal_finance_data4[[#This Row],[date]])</f>
        <v>2024</v>
      </c>
      <c r="I575" t="s">
        <v>218</v>
      </c>
    </row>
    <row r="576" spans="1:9" hidden="1" x14ac:dyDescent="0.25">
      <c r="A576">
        <v>575</v>
      </c>
      <c r="B576" s="1">
        <v>45634</v>
      </c>
      <c r="C576" t="s">
        <v>257</v>
      </c>
      <c r="D576">
        <v>135</v>
      </c>
      <c r="E576" t="s">
        <v>15</v>
      </c>
      <c r="F576" t="s">
        <v>13</v>
      </c>
      <c r="G576">
        <f>MONTH(cleaned_personal_finance_data4[[#This Row],[date]])</f>
        <v>12</v>
      </c>
      <c r="H576">
        <f>YEAR(cleaned_personal_finance_data4[[#This Row],[date]])</f>
        <v>2024</v>
      </c>
      <c r="I576" t="s">
        <v>329</v>
      </c>
    </row>
    <row r="577" spans="1:9" hidden="1" x14ac:dyDescent="0.25">
      <c r="A577">
        <v>576</v>
      </c>
      <c r="B577" s="1">
        <v>45634</v>
      </c>
      <c r="C577" t="s">
        <v>139</v>
      </c>
      <c r="D577">
        <v>35</v>
      </c>
      <c r="E577" t="s">
        <v>15</v>
      </c>
      <c r="F577" t="s">
        <v>13</v>
      </c>
      <c r="G577">
        <f>MONTH(cleaned_personal_finance_data4[[#This Row],[date]])</f>
        <v>12</v>
      </c>
      <c r="H577">
        <f>YEAR(cleaned_personal_finance_data4[[#This Row],[date]])</f>
        <v>2024</v>
      </c>
      <c r="I577" t="s">
        <v>139</v>
      </c>
    </row>
    <row r="578" spans="1:9" hidden="1" x14ac:dyDescent="0.25">
      <c r="A578">
        <v>577</v>
      </c>
      <c r="B578" s="1">
        <v>45636</v>
      </c>
      <c r="C578" t="s">
        <v>242</v>
      </c>
      <c r="D578">
        <v>15</v>
      </c>
      <c r="E578" t="s">
        <v>15</v>
      </c>
      <c r="F578" t="s">
        <v>13</v>
      </c>
      <c r="G578">
        <f>MONTH(cleaned_personal_finance_data4[[#This Row],[date]])</f>
        <v>12</v>
      </c>
      <c r="H578">
        <f>YEAR(cleaned_personal_finance_data4[[#This Row],[date]])</f>
        <v>2024</v>
      </c>
      <c r="I578" t="s">
        <v>242</v>
      </c>
    </row>
    <row r="579" spans="1:9" hidden="1" x14ac:dyDescent="0.25">
      <c r="A579">
        <v>578</v>
      </c>
      <c r="B579" s="1">
        <v>45637</v>
      </c>
      <c r="C579" t="s">
        <v>218</v>
      </c>
      <c r="D579">
        <v>45</v>
      </c>
      <c r="E579" t="s">
        <v>15</v>
      </c>
      <c r="F579" t="s">
        <v>13</v>
      </c>
      <c r="G579">
        <f>MONTH(cleaned_personal_finance_data4[[#This Row],[date]])</f>
        <v>12</v>
      </c>
      <c r="H579">
        <f>YEAR(cleaned_personal_finance_data4[[#This Row],[date]])</f>
        <v>2024</v>
      </c>
      <c r="I579" t="s">
        <v>218</v>
      </c>
    </row>
    <row r="580" spans="1:9" hidden="1" x14ac:dyDescent="0.25">
      <c r="A580">
        <v>579</v>
      </c>
      <c r="B580" s="1">
        <v>45639</v>
      </c>
      <c r="C580" t="s">
        <v>218</v>
      </c>
      <c r="D580">
        <v>45</v>
      </c>
      <c r="E580" t="s">
        <v>15</v>
      </c>
      <c r="F580" t="s">
        <v>13</v>
      </c>
      <c r="G580">
        <f>MONTH(cleaned_personal_finance_data4[[#This Row],[date]])</f>
        <v>12</v>
      </c>
      <c r="H580">
        <f>YEAR(cleaned_personal_finance_data4[[#This Row],[date]])</f>
        <v>2024</v>
      </c>
      <c r="I580" t="s">
        <v>218</v>
      </c>
    </row>
    <row r="581" spans="1:9" hidden="1" x14ac:dyDescent="0.25">
      <c r="A581">
        <v>580</v>
      </c>
      <c r="B581" s="1">
        <v>45640</v>
      </c>
      <c r="C581" t="s">
        <v>258</v>
      </c>
      <c r="D581">
        <v>225</v>
      </c>
      <c r="E581" t="s">
        <v>15</v>
      </c>
      <c r="F581" t="s">
        <v>13</v>
      </c>
      <c r="G581">
        <f>MONTH(cleaned_personal_finance_data4[[#This Row],[date]])</f>
        <v>12</v>
      </c>
      <c r="H581">
        <f>YEAR(cleaned_personal_finance_data4[[#This Row],[date]])</f>
        <v>2024</v>
      </c>
      <c r="I581" t="s">
        <v>258</v>
      </c>
    </row>
    <row r="582" spans="1:9" hidden="1" x14ac:dyDescent="0.25">
      <c r="A582">
        <v>581</v>
      </c>
      <c r="B582" s="1">
        <v>45645</v>
      </c>
      <c r="C582" t="s">
        <v>259</v>
      </c>
      <c r="D582">
        <v>200</v>
      </c>
      <c r="E582" t="s">
        <v>15</v>
      </c>
      <c r="F582" t="s">
        <v>13</v>
      </c>
      <c r="G582">
        <f>MONTH(cleaned_personal_finance_data4[[#This Row],[date]])</f>
        <v>12</v>
      </c>
      <c r="H582">
        <f>YEAR(cleaned_personal_finance_data4[[#This Row],[date]])</f>
        <v>2024</v>
      </c>
      <c r="I582" t="s">
        <v>259</v>
      </c>
    </row>
    <row r="583" spans="1:9" hidden="1" x14ac:dyDescent="0.25">
      <c r="A583">
        <v>582</v>
      </c>
      <c r="B583" s="1">
        <v>45645</v>
      </c>
      <c r="C583" t="s">
        <v>260</v>
      </c>
      <c r="D583">
        <v>365</v>
      </c>
      <c r="E583" t="s">
        <v>15</v>
      </c>
      <c r="F583" t="s">
        <v>13</v>
      </c>
      <c r="G583">
        <f>MONTH(cleaned_personal_finance_data4[[#This Row],[date]])</f>
        <v>12</v>
      </c>
      <c r="H583">
        <f>YEAR(cleaned_personal_finance_data4[[#This Row],[date]])</f>
        <v>2024</v>
      </c>
      <c r="I583" t="s">
        <v>260</v>
      </c>
    </row>
    <row r="584" spans="1:9" hidden="1" x14ac:dyDescent="0.25">
      <c r="A584">
        <v>583</v>
      </c>
      <c r="B584" s="1">
        <v>45645</v>
      </c>
      <c r="C584" t="s">
        <v>261</v>
      </c>
      <c r="D584">
        <v>180</v>
      </c>
      <c r="E584" t="s">
        <v>15</v>
      </c>
      <c r="F584" t="s">
        <v>13</v>
      </c>
      <c r="G584">
        <f>MONTH(cleaned_personal_finance_data4[[#This Row],[date]])</f>
        <v>12</v>
      </c>
      <c r="H584">
        <f>YEAR(cleaned_personal_finance_data4[[#This Row],[date]])</f>
        <v>2024</v>
      </c>
      <c r="I584" t="s">
        <v>261</v>
      </c>
    </row>
    <row r="585" spans="1:9" hidden="1" x14ac:dyDescent="0.25">
      <c r="A585">
        <v>584</v>
      </c>
      <c r="B585" s="1">
        <v>45645</v>
      </c>
      <c r="C585" t="s">
        <v>262</v>
      </c>
      <c r="D585">
        <v>350</v>
      </c>
      <c r="E585" t="s">
        <v>15</v>
      </c>
      <c r="F585" t="s">
        <v>13</v>
      </c>
      <c r="G585">
        <f>MONTH(cleaned_personal_finance_data4[[#This Row],[date]])</f>
        <v>12</v>
      </c>
      <c r="H585">
        <f>YEAR(cleaned_personal_finance_data4[[#This Row],[date]])</f>
        <v>2024</v>
      </c>
      <c r="I585" t="s">
        <v>262</v>
      </c>
    </row>
    <row r="586" spans="1:9" hidden="1" x14ac:dyDescent="0.25">
      <c r="A586">
        <v>585</v>
      </c>
      <c r="B586" s="1">
        <v>45645</v>
      </c>
      <c r="C586" t="s">
        <v>263</v>
      </c>
      <c r="D586">
        <v>175</v>
      </c>
      <c r="E586" t="s">
        <v>15</v>
      </c>
      <c r="F586" t="s">
        <v>13</v>
      </c>
      <c r="G586">
        <f>MONTH(cleaned_personal_finance_data4[[#This Row],[date]])</f>
        <v>12</v>
      </c>
      <c r="H586">
        <f>YEAR(cleaned_personal_finance_data4[[#This Row],[date]])</f>
        <v>2024</v>
      </c>
      <c r="I586" t="s">
        <v>263</v>
      </c>
    </row>
    <row r="587" spans="1:9" x14ac:dyDescent="0.25">
      <c r="A587">
        <v>586</v>
      </c>
      <c r="B587" s="1">
        <v>45647</v>
      </c>
      <c r="C587" t="s">
        <v>6</v>
      </c>
      <c r="D587">
        <v>13240</v>
      </c>
      <c r="E587" t="s">
        <v>7</v>
      </c>
      <c r="F587" t="s">
        <v>8</v>
      </c>
      <c r="G587">
        <f>MONTH(cleaned_personal_finance_data4[[#This Row],[date]])</f>
        <v>12</v>
      </c>
      <c r="H587">
        <f>YEAR(cleaned_personal_finance_data4[[#This Row],[date]])</f>
        <v>2024</v>
      </c>
      <c r="I587" t="s">
        <v>318</v>
      </c>
    </row>
    <row r="588" spans="1:9" x14ac:dyDescent="0.25">
      <c r="A588">
        <v>587</v>
      </c>
      <c r="B588" s="1">
        <v>45647</v>
      </c>
      <c r="C588" t="s">
        <v>264</v>
      </c>
      <c r="D588">
        <v>25000</v>
      </c>
      <c r="E588" t="s">
        <v>7</v>
      </c>
      <c r="F588" t="s">
        <v>8</v>
      </c>
      <c r="G588">
        <f>MONTH(cleaned_personal_finance_data4[[#This Row],[date]])</f>
        <v>12</v>
      </c>
      <c r="H588">
        <f>YEAR(cleaned_personal_finance_data4[[#This Row],[date]])</f>
        <v>2024</v>
      </c>
      <c r="I588" t="s">
        <v>326</v>
      </c>
    </row>
    <row r="589" spans="1:9" hidden="1" x14ac:dyDescent="0.25">
      <c r="A589">
        <v>588</v>
      </c>
      <c r="B589" s="1">
        <v>45647</v>
      </c>
      <c r="C589" t="s">
        <v>175</v>
      </c>
      <c r="D589">
        <v>3000</v>
      </c>
      <c r="E589" t="s">
        <v>15</v>
      </c>
      <c r="F589" t="s">
        <v>13</v>
      </c>
      <c r="G589">
        <f>MONTH(cleaned_personal_finance_data4[[#This Row],[date]])</f>
        <v>12</v>
      </c>
      <c r="H589">
        <f>YEAR(cleaned_personal_finance_data4[[#This Row],[date]])</f>
        <v>2024</v>
      </c>
      <c r="I589" t="s">
        <v>159</v>
      </c>
    </row>
    <row r="590" spans="1:9" hidden="1" x14ac:dyDescent="0.25">
      <c r="A590">
        <v>589</v>
      </c>
      <c r="B590" s="1">
        <v>45647</v>
      </c>
      <c r="C590" t="s">
        <v>145</v>
      </c>
      <c r="D590">
        <v>6000</v>
      </c>
      <c r="E590" t="s">
        <v>15</v>
      </c>
      <c r="F590" t="s">
        <v>13</v>
      </c>
      <c r="G590">
        <f>MONTH(cleaned_personal_finance_data4[[#This Row],[date]])</f>
        <v>12</v>
      </c>
      <c r="H590">
        <f>YEAR(cleaned_personal_finance_data4[[#This Row],[date]])</f>
        <v>2024</v>
      </c>
      <c r="I590" t="s">
        <v>145</v>
      </c>
    </row>
    <row r="591" spans="1:9" hidden="1" x14ac:dyDescent="0.25">
      <c r="A591">
        <v>590</v>
      </c>
      <c r="B591" s="1">
        <v>45647</v>
      </c>
      <c r="C591" t="s">
        <v>265</v>
      </c>
      <c r="D591">
        <v>1050</v>
      </c>
      <c r="E591" t="s">
        <v>15</v>
      </c>
      <c r="F591" t="s">
        <v>13</v>
      </c>
      <c r="G591">
        <f>MONTH(cleaned_personal_finance_data4[[#This Row],[date]])</f>
        <v>12</v>
      </c>
      <c r="H591">
        <f>YEAR(cleaned_personal_finance_data4[[#This Row],[date]])</f>
        <v>2024</v>
      </c>
      <c r="I591" t="s">
        <v>265</v>
      </c>
    </row>
    <row r="592" spans="1:9" hidden="1" x14ac:dyDescent="0.25">
      <c r="A592">
        <v>591</v>
      </c>
      <c r="B592" s="1">
        <v>45647</v>
      </c>
      <c r="C592" t="s">
        <v>266</v>
      </c>
      <c r="D592">
        <v>100</v>
      </c>
      <c r="E592" t="s">
        <v>15</v>
      </c>
      <c r="F592" t="s">
        <v>13</v>
      </c>
      <c r="G592">
        <f>MONTH(cleaned_personal_finance_data4[[#This Row],[date]])</f>
        <v>12</v>
      </c>
      <c r="H592">
        <f>YEAR(cleaned_personal_finance_data4[[#This Row],[date]])</f>
        <v>2024</v>
      </c>
      <c r="I592" t="s">
        <v>266</v>
      </c>
    </row>
    <row r="593" spans="1:9" hidden="1" x14ac:dyDescent="0.25">
      <c r="A593">
        <v>592</v>
      </c>
      <c r="B593" s="1">
        <v>45647</v>
      </c>
      <c r="C593" t="s">
        <v>267</v>
      </c>
      <c r="D593">
        <v>210</v>
      </c>
      <c r="E593" t="s">
        <v>15</v>
      </c>
      <c r="F593" t="s">
        <v>13</v>
      </c>
      <c r="G593">
        <f>MONTH(cleaned_personal_finance_data4[[#This Row],[date]])</f>
        <v>12</v>
      </c>
      <c r="H593">
        <f>YEAR(cleaned_personal_finance_data4[[#This Row],[date]])</f>
        <v>2024</v>
      </c>
      <c r="I593" t="s">
        <v>267</v>
      </c>
    </row>
    <row r="594" spans="1:9" hidden="1" x14ac:dyDescent="0.25">
      <c r="A594">
        <v>593</v>
      </c>
      <c r="B594" s="1">
        <v>45649</v>
      </c>
      <c r="C594" t="s">
        <v>108</v>
      </c>
      <c r="D594">
        <v>25</v>
      </c>
      <c r="E594" t="s">
        <v>15</v>
      </c>
      <c r="F594" t="s">
        <v>13</v>
      </c>
      <c r="G594">
        <f>MONTH(cleaned_personal_finance_data4[[#This Row],[date]])</f>
        <v>12</v>
      </c>
      <c r="H594">
        <f>YEAR(cleaned_personal_finance_data4[[#This Row],[date]])</f>
        <v>2024</v>
      </c>
      <c r="I594" t="s">
        <v>43</v>
      </c>
    </row>
    <row r="595" spans="1:9" hidden="1" x14ac:dyDescent="0.25">
      <c r="A595">
        <v>594</v>
      </c>
      <c r="B595" s="1">
        <v>45649</v>
      </c>
      <c r="C595" t="s">
        <v>66</v>
      </c>
      <c r="D595">
        <v>10</v>
      </c>
      <c r="E595" t="s">
        <v>15</v>
      </c>
      <c r="F595" t="s">
        <v>13</v>
      </c>
      <c r="G595">
        <f>MONTH(cleaned_personal_finance_data4[[#This Row],[date]])</f>
        <v>12</v>
      </c>
      <c r="H595">
        <f>YEAR(cleaned_personal_finance_data4[[#This Row],[date]])</f>
        <v>2024</v>
      </c>
      <c r="I595" t="s">
        <v>66</v>
      </c>
    </row>
    <row r="596" spans="1:9" hidden="1" x14ac:dyDescent="0.25">
      <c r="A596">
        <v>595</v>
      </c>
      <c r="B596" s="1">
        <v>45649</v>
      </c>
      <c r="C596" t="s">
        <v>67</v>
      </c>
      <c r="D596">
        <v>15</v>
      </c>
      <c r="E596" t="s">
        <v>15</v>
      </c>
      <c r="F596" t="s">
        <v>13</v>
      </c>
      <c r="G596">
        <f>MONTH(cleaned_personal_finance_data4[[#This Row],[date]])</f>
        <v>12</v>
      </c>
      <c r="H596">
        <f>YEAR(cleaned_personal_finance_data4[[#This Row],[date]])</f>
        <v>2024</v>
      </c>
      <c r="I596" t="s">
        <v>67</v>
      </c>
    </row>
    <row r="597" spans="1:9" hidden="1" x14ac:dyDescent="0.25">
      <c r="A597">
        <v>596</v>
      </c>
      <c r="B597" s="1">
        <v>45649</v>
      </c>
      <c r="C597" t="s">
        <v>54</v>
      </c>
      <c r="D597">
        <v>160</v>
      </c>
      <c r="E597" t="s">
        <v>15</v>
      </c>
      <c r="F597" t="s">
        <v>13</v>
      </c>
      <c r="G597">
        <f>MONTH(cleaned_personal_finance_data4[[#This Row],[date]])</f>
        <v>12</v>
      </c>
      <c r="H597">
        <f>YEAR(cleaned_personal_finance_data4[[#This Row],[date]])</f>
        <v>2024</v>
      </c>
      <c r="I597" t="s">
        <v>54</v>
      </c>
    </row>
    <row r="598" spans="1:9" hidden="1" x14ac:dyDescent="0.25">
      <c r="A598">
        <v>597</v>
      </c>
      <c r="B598" s="1">
        <v>45649</v>
      </c>
      <c r="C598" t="s">
        <v>106</v>
      </c>
      <c r="D598">
        <v>185</v>
      </c>
      <c r="E598" t="s">
        <v>15</v>
      </c>
      <c r="F598" t="s">
        <v>13</v>
      </c>
      <c r="G598">
        <f>MONTH(cleaned_personal_finance_data4[[#This Row],[date]])</f>
        <v>12</v>
      </c>
      <c r="H598">
        <f>YEAR(cleaned_personal_finance_data4[[#This Row],[date]])</f>
        <v>2024</v>
      </c>
      <c r="I598" t="s">
        <v>106</v>
      </c>
    </row>
    <row r="599" spans="1:9" hidden="1" x14ac:dyDescent="0.25">
      <c r="A599">
        <v>598</v>
      </c>
      <c r="B599" s="1">
        <v>45649</v>
      </c>
      <c r="C599" t="s">
        <v>268</v>
      </c>
      <c r="D599">
        <v>190</v>
      </c>
      <c r="E599" t="s">
        <v>15</v>
      </c>
      <c r="F599" t="s">
        <v>13</v>
      </c>
      <c r="G599">
        <f>MONTH(cleaned_personal_finance_data4[[#This Row],[date]])</f>
        <v>12</v>
      </c>
      <c r="H599">
        <f>YEAR(cleaned_personal_finance_data4[[#This Row],[date]])</f>
        <v>2024</v>
      </c>
      <c r="I599" t="s">
        <v>268</v>
      </c>
    </row>
    <row r="600" spans="1:9" x14ac:dyDescent="0.25">
      <c r="A600">
        <v>599</v>
      </c>
      <c r="B600" s="1">
        <v>45649</v>
      </c>
      <c r="C600" t="s">
        <v>6</v>
      </c>
      <c r="D600">
        <v>13241</v>
      </c>
      <c r="E600" t="s">
        <v>7</v>
      </c>
      <c r="F600" t="s">
        <v>8</v>
      </c>
      <c r="G600">
        <f>MONTH(cleaned_personal_finance_data4[[#This Row],[date]])</f>
        <v>12</v>
      </c>
      <c r="H600">
        <f>YEAR(cleaned_personal_finance_data4[[#This Row],[date]])</f>
        <v>2024</v>
      </c>
      <c r="I600" t="s">
        <v>318</v>
      </c>
    </row>
    <row r="601" spans="1:9" hidden="1" x14ac:dyDescent="0.25">
      <c r="A601">
        <v>600</v>
      </c>
      <c r="B601" s="1">
        <v>45649</v>
      </c>
      <c r="C601" t="s">
        <v>162</v>
      </c>
      <c r="D601">
        <v>10000</v>
      </c>
      <c r="E601" t="s">
        <v>10</v>
      </c>
      <c r="F601" t="s">
        <v>8</v>
      </c>
      <c r="G601">
        <f>MONTH(cleaned_personal_finance_data4[[#This Row],[date]])</f>
        <v>12</v>
      </c>
      <c r="H601">
        <f>YEAR(cleaned_personal_finance_data4[[#This Row],[date]])</f>
        <v>2024</v>
      </c>
      <c r="I601" t="s">
        <v>162</v>
      </c>
    </row>
    <row r="602" spans="1:9" hidden="1" x14ac:dyDescent="0.25">
      <c r="A602">
        <v>601</v>
      </c>
      <c r="B602" s="1">
        <v>45650</v>
      </c>
      <c r="C602" t="s">
        <v>170</v>
      </c>
      <c r="D602">
        <v>320</v>
      </c>
      <c r="E602" t="s">
        <v>15</v>
      </c>
      <c r="F602" t="s">
        <v>13</v>
      </c>
      <c r="G602">
        <f>MONTH(cleaned_personal_finance_data4[[#This Row],[date]])</f>
        <v>12</v>
      </c>
      <c r="H602">
        <f>YEAR(cleaned_personal_finance_data4[[#This Row],[date]])</f>
        <v>2024</v>
      </c>
      <c r="I602" t="s">
        <v>170</v>
      </c>
    </row>
    <row r="603" spans="1:9" hidden="1" x14ac:dyDescent="0.25">
      <c r="A603">
        <v>602</v>
      </c>
      <c r="B603" s="1">
        <v>45650</v>
      </c>
      <c r="C603" t="s">
        <v>269</v>
      </c>
      <c r="D603">
        <v>798</v>
      </c>
      <c r="E603" t="s">
        <v>15</v>
      </c>
      <c r="F603" t="s">
        <v>13</v>
      </c>
      <c r="G603">
        <f>MONTH(cleaned_personal_finance_data4[[#This Row],[date]])</f>
        <v>12</v>
      </c>
      <c r="H603">
        <f>YEAR(cleaned_personal_finance_data4[[#This Row],[date]])</f>
        <v>2024</v>
      </c>
      <c r="I603" t="s">
        <v>269</v>
      </c>
    </row>
    <row r="604" spans="1:9" hidden="1" x14ac:dyDescent="0.25">
      <c r="A604">
        <v>603</v>
      </c>
      <c r="B604" s="1">
        <v>45650</v>
      </c>
      <c r="C604" t="s">
        <v>270</v>
      </c>
      <c r="D604">
        <v>180</v>
      </c>
      <c r="E604" t="s">
        <v>15</v>
      </c>
      <c r="F604" t="s">
        <v>13</v>
      </c>
      <c r="G604">
        <f>MONTH(cleaned_personal_finance_data4[[#This Row],[date]])</f>
        <v>12</v>
      </c>
      <c r="H604">
        <f>YEAR(cleaned_personal_finance_data4[[#This Row],[date]])</f>
        <v>2024</v>
      </c>
      <c r="I604" t="s">
        <v>270</v>
      </c>
    </row>
    <row r="605" spans="1:9" hidden="1" x14ac:dyDescent="0.25">
      <c r="A605">
        <v>604</v>
      </c>
      <c r="B605" s="1">
        <v>45650</v>
      </c>
      <c r="C605" t="s">
        <v>179</v>
      </c>
      <c r="D605">
        <v>28</v>
      </c>
      <c r="E605" t="s">
        <v>15</v>
      </c>
      <c r="F605" t="s">
        <v>13</v>
      </c>
      <c r="G605">
        <f>MONTH(cleaned_personal_finance_data4[[#This Row],[date]])</f>
        <v>12</v>
      </c>
      <c r="H605">
        <f>YEAR(cleaned_personal_finance_data4[[#This Row],[date]])</f>
        <v>2024</v>
      </c>
      <c r="I605" t="s">
        <v>179</v>
      </c>
    </row>
    <row r="606" spans="1:9" hidden="1" x14ac:dyDescent="0.25">
      <c r="A606">
        <v>605</v>
      </c>
      <c r="B606" s="1">
        <v>45650</v>
      </c>
      <c r="C606" t="s">
        <v>108</v>
      </c>
      <c r="D606">
        <v>140</v>
      </c>
      <c r="E606" t="s">
        <v>15</v>
      </c>
      <c r="F606" t="s">
        <v>13</v>
      </c>
      <c r="G606">
        <f>MONTH(cleaned_personal_finance_data4[[#This Row],[date]])</f>
        <v>12</v>
      </c>
      <c r="H606">
        <f>YEAR(cleaned_personal_finance_data4[[#This Row],[date]])</f>
        <v>2024</v>
      </c>
      <c r="I606" t="s">
        <v>43</v>
      </c>
    </row>
    <row r="607" spans="1:9" hidden="1" x14ac:dyDescent="0.25">
      <c r="A607">
        <v>606</v>
      </c>
      <c r="B607" s="1">
        <v>45650</v>
      </c>
      <c r="C607" t="s">
        <v>271</v>
      </c>
      <c r="D607">
        <v>200</v>
      </c>
      <c r="E607" t="s">
        <v>15</v>
      </c>
      <c r="F607" t="s">
        <v>13</v>
      </c>
      <c r="G607">
        <f>MONTH(cleaned_personal_finance_data4[[#This Row],[date]])</f>
        <v>12</v>
      </c>
      <c r="H607">
        <f>YEAR(cleaned_personal_finance_data4[[#This Row],[date]])</f>
        <v>2024</v>
      </c>
      <c r="I607" t="s">
        <v>271</v>
      </c>
    </row>
    <row r="608" spans="1:9" hidden="1" x14ac:dyDescent="0.25">
      <c r="A608">
        <v>607</v>
      </c>
      <c r="B608" s="1">
        <v>45650</v>
      </c>
      <c r="C608" t="s">
        <v>272</v>
      </c>
      <c r="D608">
        <v>720</v>
      </c>
      <c r="E608" t="s">
        <v>15</v>
      </c>
      <c r="F608" t="s">
        <v>13</v>
      </c>
      <c r="G608">
        <f>MONTH(cleaned_personal_finance_data4[[#This Row],[date]])</f>
        <v>12</v>
      </c>
      <c r="H608">
        <f>YEAR(cleaned_personal_finance_data4[[#This Row],[date]])</f>
        <v>2024</v>
      </c>
      <c r="I608" t="s">
        <v>322</v>
      </c>
    </row>
    <row r="609" spans="1:9" hidden="1" x14ac:dyDescent="0.25">
      <c r="A609">
        <v>608</v>
      </c>
      <c r="B609" s="1">
        <v>45651</v>
      </c>
      <c r="C609" t="s">
        <v>273</v>
      </c>
      <c r="D609">
        <v>1150</v>
      </c>
      <c r="E609" t="s">
        <v>15</v>
      </c>
      <c r="F609" t="s">
        <v>13</v>
      </c>
      <c r="G609">
        <f>MONTH(cleaned_personal_finance_data4[[#This Row],[date]])</f>
        <v>12</v>
      </c>
      <c r="H609">
        <f>YEAR(cleaned_personal_finance_data4[[#This Row],[date]])</f>
        <v>2024</v>
      </c>
      <c r="I609" t="s">
        <v>273</v>
      </c>
    </row>
    <row r="610" spans="1:9" hidden="1" x14ac:dyDescent="0.25">
      <c r="A610">
        <v>609</v>
      </c>
      <c r="B610" s="1">
        <v>45652</v>
      </c>
      <c r="C610" t="s">
        <v>78</v>
      </c>
      <c r="D610">
        <v>350</v>
      </c>
      <c r="E610" t="s">
        <v>15</v>
      </c>
      <c r="F610" t="s">
        <v>13</v>
      </c>
      <c r="G610">
        <f>MONTH(cleaned_personal_finance_data4[[#This Row],[date]])</f>
        <v>12</v>
      </c>
      <c r="H610">
        <f>YEAR(cleaned_personal_finance_data4[[#This Row],[date]])</f>
        <v>2024</v>
      </c>
      <c r="I610" t="s">
        <v>78</v>
      </c>
    </row>
    <row r="611" spans="1:9" hidden="1" x14ac:dyDescent="0.25">
      <c r="A611">
        <v>610</v>
      </c>
      <c r="B611" s="1">
        <v>45655</v>
      </c>
      <c r="C611" t="s">
        <v>66</v>
      </c>
      <c r="D611">
        <v>20</v>
      </c>
      <c r="E611" t="s">
        <v>15</v>
      </c>
      <c r="F611" t="s">
        <v>13</v>
      </c>
      <c r="G611">
        <f>MONTH(cleaned_personal_finance_data4[[#This Row],[date]])</f>
        <v>12</v>
      </c>
      <c r="H611">
        <f>YEAR(cleaned_personal_finance_data4[[#This Row],[date]])</f>
        <v>2024</v>
      </c>
      <c r="I611" t="s">
        <v>66</v>
      </c>
    </row>
    <row r="612" spans="1:9" hidden="1" x14ac:dyDescent="0.25">
      <c r="A612">
        <v>611</v>
      </c>
      <c r="B612" s="1">
        <v>45655</v>
      </c>
      <c r="C612" t="s">
        <v>67</v>
      </c>
      <c r="D612">
        <v>15</v>
      </c>
      <c r="E612" t="s">
        <v>15</v>
      </c>
      <c r="F612" t="s">
        <v>13</v>
      </c>
      <c r="G612">
        <f>MONTH(cleaned_personal_finance_data4[[#This Row],[date]])</f>
        <v>12</v>
      </c>
      <c r="H612">
        <f>YEAR(cleaned_personal_finance_data4[[#This Row],[date]])</f>
        <v>2024</v>
      </c>
      <c r="I612" t="s">
        <v>67</v>
      </c>
    </row>
    <row r="613" spans="1:9" hidden="1" x14ac:dyDescent="0.25">
      <c r="A613">
        <v>612</v>
      </c>
      <c r="B613" s="1">
        <v>45655</v>
      </c>
      <c r="C613" t="s">
        <v>54</v>
      </c>
      <c r="D613">
        <v>281</v>
      </c>
      <c r="E613" t="s">
        <v>15</v>
      </c>
      <c r="F613" t="s">
        <v>13</v>
      </c>
      <c r="G613">
        <f>MONTH(cleaned_personal_finance_data4[[#This Row],[date]])</f>
        <v>12</v>
      </c>
      <c r="H613">
        <f>YEAR(cleaned_personal_finance_data4[[#This Row],[date]])</f>
        <v>2024</v>
      </c>
      <c r="I613" t="s">
        <v>54</v>
      </c>
    </row>
    <row r="614" spans="1:9" hidden="1" x14ac:dyDescent="0.25">
      <c r="A614">
        <v>613</v>
      </c>
      <c r="B614" s="1">
        <v>45655</v>
      </c>
      <c r="C614" t="s">
        <v>162</v>
      </c>
      <c r="D614">
        <v>9972</v>
      </c>
      <c r="E614" t="s">
        <v>10</v>
      </c>
      <c r="F614" t="s">
        <v>8</v>
      </c>
      <c r="G614">
        <f>MONTH(cleaned_personal_finance_data4[[#This Row],[date]])</f>
        <v>12</v>
      </c>
      <c r="H614">
        <f>YEAR(cleaned_personal_finance_data4[[#This Row],[date]])</f>
        <v>2024</v>
      </c>
      <c r="I614" t="s">
        <v>162</v>
      </c>
    </row>
    <row r="615" spans="1:9" hidden="1" x14ac:dyDescent="0.25">
      <c r="A615">
        <v>614</v>
      </c>
      <c r="B615" s="1">
        <v>45655</v>
      </c>
      <c r="C615" t="s">
        <v>179</v>
      </c>
      <c r="D615">
        <v>26</v>
      </c>
      <c r="E615" t="s">
        <v>15</v>
      </c>
      <c r="F615" t="s">
        <v>13</v>
      </c>
      <c r="G615">
        <f>MONTH(cleaned_personal_finance_data4[[#This Row],[date]])</f>
        <v>12</v>
      </c>
      <c r="H615">
        <f>YEAR(cleaned_personal_finance_data4[[#This Row],[date]])</f>
        <v>2024</v>
      </c>
      <c r="I615" t="s">
        <v>179</v>
      </c>
    </row>
    <row r="616" spans="1:9" hidden="1" x14ac:dyDescent="0.25">
      <c r="A616">
        <v>615</v>
      </c>
      <c r="B616" s="1">
        <v>45655</v>
      </c>
      <c r="C616" t="s">
        <v>274</v>
      </c>
      <c r="D616">
        <v>69</v>
      </c>
      <c r="E616" t="s">
        <v>15</v>
      </c>
      <c r="F616" t="s">
        <v>13</v>
      </c>
      <c r="G616">
        <f>MONTH(cleaned_personal_finance_data4[[#This Row],[date]])</f>
        <v>12</v>
      </c>
      <c r="H616">
        <f>YEAR(cleaned_personal_finance_data4[[#This Row],[date]])</f>
        <v>2024</v>
      </c>
      <c r="I616" t="s">
        <v>274</v>
      </c>
    </row>
    <row r="617" spans="1:9" hidden="1" x14ac:dyDescent="0.25">
      <c r="A617">
        <v>616</v>
      </c>
      <c r="B617" s="1">
        <v>45655</v>
      </c>
      <c r="C617" t="s">
        <v>275</v>
      </c>
      <c r="D617">
        <v>269</v>
      </c>
      <c r="E617" t="s">
        <v>15</v>
      </c>
      <c r="F617" t="s">
        <v>13</v>
      </c>
      <c r="G617">
        <f>MONTH(cleaned_personal_finance_data4[[#This Row],[date]])</f>
        <v>12</v>
      </c>
      <c r="H617">
        <f>YEAR(cleaned_personal_finance_data4[[#This Row],[date]])</f>
        <v>2024</v>
      </c>
      <c r="I617" t="s">
        <v>275</v>
      </c>
    </row>
    <row r="618" spans="1:9" hidden="1" x14ac:dyDescent="0.25">
      <c r="A618">
        <v>617</v>
      </c>
      <c r="B618" s="1">
        <v>45655</v>
      </c>
      <c r="C618" t="s">
        <v>276</v>
      </c>
      <c r="D618">
        <v>263</v>
      </c>
      <c r="E618" t="s">
        <v>15</v>
      </c>
      <c r="F618" t="s">
        <v>13</v>
      </c>
      <c r="G618">
        <f>MONTH(cleaned_personal_finance_data4[[#This Row],[date]])</f>
        <v>12</v>
      </c>
      <c r="H618">
        <f>YEAR(cleaned_personal_finance_data4[[#This Row],[date]])</f>
        <v>2024</v>
      </c>
      <c r="I618" t="s">
        <v>276</v>
      </c>
    </row>
    <row r="619" spans="1:9" hidden="1" x14ac:dyDescent="0.25">
      <c r="A619">
        <v>618</v>
      </c>
      <c r="B619" s="1">
        <v>45655</v>
      </c>
      <c r="C619" t="s">
        <v>277</v>
      </c>
      <c r="D619">
        <v>279</v>
      </c>
      <c r="E619" t="s">
        <v>15</v>
      </c>
      <c r="F619" t="s">
        <v>13</v>
      </c>
      <c r="G619">
        <f>MONTH(cleaned_personal_finance_data4[[#This Row],[date]])</f>
        <v>12</v>
      </c>
      <c r="H619">
        <f>YEAR(cleaned_personal_finance_data4[[#This Row],[date]])</f>
        <v>2024</v>
      </c>
      <c r="I619" t="s">
        <v>277</v>
      </c>
    </row>
    <row r="620" spans="1:9" hidden="1" x14ac:dyDescent="0.25">
      <c r="A620">
        <v>619</v>
      </c>
      <c r="B620" s="1">
        <v>45655</v>
      </c>
      <c r="C620" t="s">
        <v>82</v>
      </c>
      <c r="D620">
        <v>250</v>
      </c>
      <c r="E620" t="s">
        <v>15</v>
      </c>
      <c r="F620" t="s">
        <v>13</v>
      </c>
      <c r="G620">
        <f>MONTH(cleaned_personal_finance_data4[[#This Row],[date]])</f>
        <v>12</v>
      </c>
      <c r="H620">
        <f>YEAR(cleaned_personal_finance_data4[[#This Row],[date]])</f>
        <v>2024</v>
      </c>
      <c r="I620" t="s">
        <v>82</v>
      </c>
    </row>
    <row r="621" spans="1:9" hidden="1" x14ac:dyDescent="0.25">
      <c r="A621">
        <v>620</v>
      </c>
      <c r="B621" s="1">
        <v>45655</v>
      </c>
      <c r="C621" t="s">
        <v>278</v>
      </c>
      <c r="D621">
        <v>87</v>
      </c>
      <c r="E621" t="s">
        <v>15</v>
      </c>
      <c r="F621" t="s">
        <v>13</v>
      </c>
      <c r="G621">
        <f>MONTH(cleaned_personal_finance_data4[[#This Row],[date]])</f>
        <v>12</v>
      </c>
      <c r="H621">
        <f>YEAR(cleaned_personal_finance_data4[[#This Row],[date]])</f>
        <v>2024</v>
      </c>
      <c r="I621" t="s">
        <v>278</v>
      </c>
    </row>
    <row r="622" spans="1:9" hidden="1" x14ac:dyDescent="0.25">
      <c r="A622">
        <v>621</v>
      </c>
      <c r="B622" s="1">
        <v>45656</v>
      </c>
      <c r="C622" t="s">
        <v>279</v>
      </c>
      <c r="D622">
        <v>1289</v>
      </c>
      <c r="E622" t="s">
        <v>15</v>
      </c>
      <c r="F622" t="s">
        <v>13</v>
      </c>
      <c r="G622">
        <f>MONTH(cleaned_personal_finance_data4[[#This Row],[date]])</f>
        <v>12</v>
      </c>
      <c r="H622">
        <f>YEAR(cleaned_personal_finance_data4[[#This Row],[date]])</f>
        <v>2024</v>
      </c>
      <c r="I622" t="s">
        <v>279</v>
      </c>
    </row>
    <row r="623" spans="1:9" hidden="1" x14ac:dyDescent="0.25">
      <c r="A623">
        <v>622</v>
      </c>
      <c r="B623" s="1">
        <v>45656</v>
      </c>
      <c r="C623" t="s">
        <v>103</v>
      </c>
      <c r="D623">
        <v>270</v>
      </c>
      <c r="E623" t="s">
        <v>15</v>
      </c>
      <c r="F623" t="s">
        <v>13</v>
      </c>
      <c r="G623">
        <f>MONTH(cleaned_personal_finance_data4[[#This Row],[date]])</f>
        <v>12</v>
      </c>
      <c r="H623">
        <f>YEAR(cleaned_personal_finance_data4[[#This Row],[date]])</f>
        <v>2024</v>
      </c>
      <c r="I623" t="s">
        <v>329</v>
      </c>
    </row>
    <row r="624" spans="1:9" hidden="1" x14ac:dyDescent="0.25">
      <c r="A624">
        <v>623</v>
      </c>
      <c r="B624" s="1">
        <v>45657</v>
      </c>
      <c r="C624" t="s">
        <v>280</v>
      </c>
      <c r="D624">
        <v>720</v>
      </c>
      <c r="E624" t="s">
        <v>15</v>
      </c>
      <c r="F624" t="s">
        <v>13</v>
      </c>
      <c r="G624">
        <f>MONTH(cleaned_personal_finance_data4[[#This Row],[date]])</f>
        <v>12</v>
      </c>
      <c r="H624">
        <f>YEAR(cleaned_personal_finance_data4[[#This Row],[date]])</f>
        <v>2024</v>
      </c>
      <c r="I624" t="s">
        <v>280</v>
      </c>
    </row>
    <row r="625" spans="1:9" hidden="1" x14ac:dyDescent="0.25">
      <c r="A625">
        <v>624</v>
      </c>
      <c r="B625" s="1">
        <v>45658</v>
      </c>
      <c r="C625" t="s">
        <v>36</v>
      </c>
      <c r="D625">
        <v>5</v>
      </c>
      <c r="E625" t="s">
        <v>15</v>
      </c>
      <c r="F625" t="s">
        <v>13</v>
      </c>
      <c r="G625">
        <f>MONTH(cleaned_personal_finance_data4[[#This Row],[date]])</f>
        <v>1</v>
      </c>
      <c r="H625">
        <f>YEAR(cleaned_personal_finance_data4[[#This Row],[date]])</f>
        <v>2025</v>
      </c>
      <c r="I625" t="s">
        <v>329</v>
      </c>
    </row>
    <row r="626" spans="1:9" hidden="1" x14ac:dyDescent="0.25">
      <c r="A626">
        <v>625</v>
      </c>
      <c r="B626" s="1">
        <v>45659</v>
      </c>
      <c r="C626" t="s">
        <v>67</v>
      </c>
      <c r="D626">
        <v>25</v>
      </c>
      <c r="E626" t="s">
        <v>15</v>
      </c>
      <c r="F626" t="s">
        <v>13</v>
      </c>
      <c r="G626">
        <f>MONTH(cleaned_personal_finance_data4[[#This Row],[date]])</f>
        <v>1</v>
      </c>
      <c r="H626">
        <f>YEAR(cleaned_personal_finance_data4[[#This Row],[date]])</f>
        <v>2025</v>
      </c>
      <c r="I626" t="s">
        <v>67</v>
      </c>
    </row>
    <row r="627" spans="1:9" hidden="1" x14ac:dyDescent="0.25">
      <c r="A627">
        <v>626</v>
      </c>
      <c r="B627" s="1">
        <v>45661</v>
      </c>
      <c r="C627" t="s">
        <v>175</v>
      </c>
      <c r="D627">
        <v>2100</v>
      </c>
      <c r="E627" t="s">
        <v>15</v>
      </c>
      <c r="F627" t="s">
        <v>13</v>
      </c>
      <c r="G627">
        <f>MONTH(cleaned_personal_finance_data4[[#This Row],[date]])</f>
        <v>1</v>
      </c>
      <c r="H627">
        <f>YEAR(cleaned_personal_finance_data4[[#This Row],[date]])</f>
        <v>2025</v>
      </c>
      <c r="I627" t="s">
        <v>159</v>
      </c>
    </row>
    <row r="628" spans="1:9" hidden="1" x14ac:dyDescent="0.25">
      <c r="A628">
        <v>627</v>
      </c>
      <c r="B628" s="1">
        <v>45661</v>
      </c>
      <c r="C628" t="s">
        <v>145</v>
      </c>
      <c r="D628">
        <v>7000</v>
      </c>
      <c r="E628" t="s">
        <v>15</v>
      </c>
      <c r="F628" t="s">
        <v>13</v>
      </c>
      <c r="G628">
        <f>MONTH(cleaned_personal_finance_data4[[#This Row],[date]])</f>
        <v>1</v>
      </c>
      <c r="H628">
        <f>YEAR(cleaned_personal_finance_data4[[#This Row],[date]])</f>
        <v>2025</v>
      </c>
      <c r="I628" t="s">
        <v>145</v>
      </c>
    </row>
    <row r="629" spans="1:9" hidden="1" x14ac:dyDescent="0.25">
      <c r="A629">
        <v>628</v>
      </c>
      <c r="B629" s="1">
        <v>45667</v>
      </c>
      <c r="C629" t="s">
        <v>281</v>
      </c>
      <c r="D629">
        <v>150</v>
      </c>
      <c r="E629" t="s">
        <v>15</v>
      </c>
      <c r="F629" t="s">
        <v>13</v>
      </c>
      <c r="G629">
        <f>MONTH(cleaned_personal_finance_data4[[#This Row],[date]])</f>
        <v>1</v>
      </c>
      <c r="H629">
        <f>YEAR(cleaned_personal_finance_data4[[#This Row],[date]])</f>
        <v>2025</v>
      </c>
      <c r="I629" t="s">
        <v>43</v>
      </c>
    </row>
    <row r="630" spans="1:9" hidden="1" x14ac:dyDescent="0.25">
      <c r="A630">
        <v>629</v>
      </c>
      <c r="B630" s="1">
        <v>45667</v>
      </c>
      <c r="C630" t="s">
        <v>180</v>
      </c>
      <c r="D630">
        <v>30</v>
      </c>
      <c r="E630" t="s">
        <v>15</v>
      </c>
      <c r="F630" t="s">
        <v>13</v>
      </c>
      <c r="G630">
        <f>MONTH(cleaned_personal_finance_data4[[#This Row],[date]])</f>
        <v>1</v>
      </c>
      <c r="H630">
        <f>YEAR(cleaned_personal_finance_data4[[#This Row],[date]])</f>
        <v>2025</v>
      </c>
      <c r="I630" t="s">
        <v>43</v>
      </c>
    </row>
    <row r="631" spans="1:9" hidden="1" x14ac:dyDescent="0.25">
      <c r="A631">
        <v>630</v>
      </c>
      <c r="B631" s="1">
        <v>45667</v>
      </c>
      <c r="C631" t="s">
        <v>107</v>
      </c>
      <c r="D631">
        <v>40</v>
      </c>
      <c r="E631" t="s">
        <v>15</v>
      </c>
      <c r="F631" t="s">
        <v>13</v>
      </c>
      <c r="G631">
        <f>MONTH(cleaned_personal_finance_data4[[#This Row],[date]])</f>
        <v>1</v>
      </c>
      <c r="H631">
        <f>YEAR(cleaned_personal_finance_data4[[#This Row],[date]])</f>
        <v>2025</v>
      </c>
      <c r="I631" t="s">
        <v>107</v>
      </c>
    </row>
    <row r="632" spans="1:9" hidden="1" x14ac:dyDescent="0.25">
      <c r="A632">
        <v>631</v>
      </c>
      <c r="B632" s="1">
        <v>45667</v>
      </c>
      <c r="C632" t="s">
        <v>106</v>
      </c>
      <c r="D632">
        <v>83</v>
      </c>
      <c r="E632" t="s">
        <v>15</v>
      </c>
      <c r="F632" t="s">
        <v>13</v>
      </c>
      <c r="G632">
        <f>MONTH(cleaned_personal_finance_data4[[#This Row],[date]])</f>
        <v>1</v>
      </c>
      <c r="H632">
        <f>YEAR(cleaned_personal_finance_data4[[#This Row],[date]])</f>
        <v>2025</v>
      </c>
      <c r="I632" t="s">
        <v>106</v>
      </c>
    </row>
    <row r="633" spans="1:9" hidden="1" x14ac:dyDescent="0.25">
      <c r="A633">
        <v>632</v>
      </c>
      <c r="B633" s="1">
        <v>45667</v>
      </c>
      <c r="C633" t="s">
        <v>282</v>
      </c>
      <c r="D633">
        <v>230</v>
      </c>
      <c r="E633" t="s">
        <v>15</v>
      </c>
      <c r="F633" t="s">
        <v>13</v>
      </c>
      <c r="G633">
        <f>MONTH(cleaned_personal_finance_data4[[#This Row],[date]])</f>
        <v>1</v>
      </c>
      <c r="H633">
        <f>YEAR(cleaned_personal_finance_data4[[#This Row],[date]])</f>
        <v>2025</v>
      </c>
      <c r="I633" t="s">
        <v>282</v>
      </c>
    </row>
    <row r="634" spans="1:9" hidden="1" x14ac:dyDescent="0.25">
      <c r="A634">
        <v>633</v>
      </c>
      <c r="B634" s="1">
        <v>45667</v>
      </c>
      <c r="C634" t="s">
        <v>283</v>
      </c>
      <c r="D634">
        <v>130</v>
      </c>
      <c r="E634" t="s">
        <v>15</v>
      </c>
      <c r="F634" t="s">
        <v>13</v>
      </c>
      <c r="G634">
        <f>MONTH(cleaned_personal_finance_data4[[#This Row],[date]])</f>
        <v>1</v>
      </c>
      <c r="H634">
        <f>YEAR(cleaned_personal_finance_data4[[#This Row],[date]])</f>
        <v>2025</v>
      </c>
      <c r="I634" t="s">
        <v>43</v>
      </c>
    </row>
    <row r="635" spans="1:9" hidden="1" x14ac:dyDescent="0.25">
      <c r="A635">
        <v>634</v>
      </c>
      <c r="B635" s="1">
        <v>45667</v>
      </c>
      <c r="C635" t="s">
        <v>284</v>
      </c>
      <c r="D635">
        <v>200</v>
      </c>
      <c r="E635" t="s">
        <v>15</v>
      </c>
      <c r="F635" t="s">
        <v>13</v>
      </c>
      <c r="G635">
        <f>MONTH(cleaned_personal_finance_data4[[#This Row],[date]])</f>
        <v>1</v>
      </c>
      <c r="H635">
        <f>YEAR(cleaned_personal_finance_data4[[#This Row],[date]])</f>
        <v>2025</v>
      </c>
      <c r="I635" t="s">
        <v>43</v>
      </c>
    </row>
    <row r="636" spans="1:9" hidden="1" x14ac:dyDescent="0.25">
      <c r="A636">
        <v>635</v>
      </c>
      <c r="B636" s="1">
        <v>45670</v>
      </c>
      <c r="C636" t="s">
        <v>281</v>
      </c>
      <c r="D636">
        <v>150</v>
      </c>
      <c r="E636" t="s">
        <v>15</v>
      </c>
      <c r="F636" t="s">
        <v>13</v>
      </c>
      <c r="G636">
        <f>MONTH(cleaned_personal_finance_data4[[#This Row],[date]])</f>
        <v>1</v>
      </c>
      <c r="H636">
        <f>YEAR(cleaned_personal_finance_data4[[#This Row],[date]])</f>
        <v>2025</v>
      </c>
      <c r="I636" t="s">
        <v>43</v>
      </c>
    </row>
    <row r="637" spans="1:9" hidden="1" x14ac:dyDescent="0.25">
      <c r="A637">
        <v>636</v>
      </c>
      <c r="B637" s="1">
        <v>45670</v>
      </c>
      <c r="C637" t="s">
        <v>54</v>
      </c>
      <c r="D637">
        <v>89</v>
      </c>
      <c r="E637" t="s">
        <v>15</v>
      </c>
      <c r="F637" t="s">
        <v>13</v>
      </c>
      <c r="G637">
        <f>MONTH(cleaned_personal_finance_data4[[#This Row],[date]])</f>
        <v>1</v>
      </c>
      <c r="H637">
        <f>YEAR(cleaned_personal_finance_data4[[#This Row],[date]])</f>
        <v>2025</v>
      </c>
      <c r="I637" t="s">
        <v>54</v>
      </c>
    </row>
    <row r="638" spans="1:9" hidden="1" x14ac:dyDescent="0.25">
      <c r="A638">
        <v>637</v>
      </c>
      <c r="B638" s="1">
        <v>45670</v>
      </c>
      <c r="C638" t="s">
        <v>108</v>
      </c>
      <c r="D638">
        <v>60</v>
      </c>
      <c r="E638" t="s">
        <v>15</v>
      </c>
      <c r="F638" t="s">
        <v>13</v>
      </c>
      <c r="G638">
        <f>MONTH(cleaned_personal_finance_data4[[#This Row],[date]])</f>
        <v>1</v>
      </c>
      <c r="H638">
        <f>YEAR(cleaned_personal_finance_data4[[#This Row],[date]])</f>
        <v>2025</v>
      </c>
      <c r="I638" t="s">
        <v>43</v>
      </c>
    </row>
    <row r="639" spans="1:9" hidden="1" x14ac:dyDescent="0.25">
      <c r="A639">
        <v>638</v>
      </c>
      <c r="B639" s="1">
        <v>45670</v>
      </c>
      <c r="C639" t="s">
        <v>162</v>
      </c>
      <c r="D639">
        <v>20000</v>
      </c>
      <c r="E639" t="s">
        <v>10</v>
      </c>
      <c r="F639" t="s">
        <v>8</v>
      </c>
      <c r="G639">
        <f>MONTH(cleaned_personal_finance_data4[[#This Row],[date]])</f>
        <v>1</v>
      </c>
      <c r="H639">
        <f>YEAR(cleaned_personal_finance_data4[[#This Row],[date]])</f>
        <v>2025</v>
      </c>
      <c r="I639" t="s">
        <v>162</v>
      </c>
    </row>
    <row r="640" spans="1:9" hidden="1" x14ac:dyDescent="0.25">
      <c r="A640">
        <v>639</v>
      </c>
      <c r="B640" s="1">
        <v>45670</v>
      </c>
      <c r="C640" t="s">
        <v>285</v>
      </c>
      <c r="D640">
        <v>5490</v>
      </c>
      <c r="E640" t="s">
        <v>15</v>
      </c>
      <c r="F640" t="s">
        <v>13</v>
      </c>
      <c r="G640">
        <f>MONTH(cleaned_personal_finance_data4[[#This Row],[date]])</f>
        <v>1</v>
      </c>
      <c r="H640">
        <f>YEAR(cleaned_personal_finance_data4[[#This Row],[date]])</f>
        <v>2025</v>
      </c>
      <c r="I640" t="s">
        <v>285</v>
      </c>
    </row>
    <row r="641" spans="1:9" hidden="1" x14ac:dyDescent="0.25">
      <c r="A641">
        <v>640</v>
      </c>
      <c r="B641" s="1">
        <v>45670</v>
      </c>
      <c r="C641" t="s">
        <v>180</v>
      </c>
      <c r="D641">
        <v>10</v>
      </c>
      <c r="E641" t="s">
        <v>15</v>
      </c>
      <c r="F641" t="s">
        <v>13</v>
      </c>
      <c r="G641">
        <f>MONTH(cleaned_personal_finance_data4[[#This Row],[date]])</f>
        <v>1</v>
      </c>
      <c r="H641">
        <f>YEAR(cleaned_personal_finance_data4[[#This Row],[date]])</f>
        <v>2025</v>
      </c>
      <c r="I641" t="s">
        <v>43</v>
      </c>
    </row>
    <row r="642" spans="1:9" hidden="1" x14ac:dyDescent="0.25">
      <c r="A642">
        <v>641</v>
      </c>
      <c r="B642" s="1">
        <v>45670</v>
      </c>
      <c r="C642" t="s">
        <v>286</v>
      </c>
      <c r="D642">
        <v>150</v>
      </c>
      <c r="E642" t="s">
        <v>15</v>
      </c>
      <c r="F642" t="s">
        <v>13</v>
      </c>
      <c r="G642">
        <f>MONTH(cleaned_personal_finance_data4[[#This Row],[date]])</f>
        <v>1</v>
      </c>
      <c r="H642">
        <f>YEAR(cleaned_personal_finance_data4[[#This Row],[date]])</f>
        <v>2025</v>
      </c>
      <c r="I642" t="s">
        <v>43</v>
      </c>
    </row>
    <row r="643" spans="1:9" hidden="1" x14ac:dyDescent="0.25">
      <c r="A643">
        <v>642</v>
      </c>
      <c r="B643" s="1">
        <v>45672</v>
      </c>
      <c r="C643" t="s">
        <v>287</v>
      </c>
      <c r="D643">
        <v>30</v>
      </c>
      <c r="E643" t="s">
        <v>15</v>
      </c>
      <c r="F643" t="s">
        <v>13</v>
      </c>
      <c r="G643">
        <f>MONTH(cleaned_personal_finance_data4[[#This Row],[date]])</f>
        <v>1</v>
      </c>
      <c r="H643">
        <f>YEAR(cleaned_personal_finance_data4[[#This Row],[date]])</f>
        <v>2025</v>
      </c>
      <c r="I643" t="s">
        <v>43</v>
      </c>
    </row>
    <row r="644" spans="1:9" hidden="1" x14ac:dyDescent="0.25">
      <c r="A644">
        <v>643</v>
      </c>
      <c r="B644" s="1">
        <v>45672</v>
      </c>
      <c r="C644" t="s">
        <v>160</v>
      </c>
      <c r="D644">
        <v>120</v>
      </c>
      <c r="E644" t="s">
        <v>15</v>
      </c>
      <c r="F644" t="s">
        <v>13</v>
      </c>
      <c r="G644">
        <f>MONTH(cleaned_personal_finance_data4[[#This Row],[date]])</f>
        <v>1</v>
      </c>
      <c r="H644">
        <f>YEAR(cleaned_personal_finance_data4[[#This Row],[date]])</f>
        <v>2025</v>
      </c>
      <c r="I644" t="s">
        <v>43</v>
      </c>
    </row>
    <row r="645" spans="1:9" hidden="1" x14ac:dyDescent="0.25">
      <c r="A645">
        <v>644</v>
      </c>
      <c r="B645" s="1">
        <v>45672</v>
      </c>
      <c r="C645" t="s">
        <v>54</v>
      </c>
      <c r="D645">
        <v>184</v>
      </c>
      <c r="E645" t="s">
        <v>15</v>
      </c>
      <c r="F645" t="s">
        <v>13</v>
      </c>
      <c r="G645">
        <f>MONTH(cleaned_personal_finance_data4[[#This Row],[date]])</f>
        <v>1</v>
      </c>
      <c r="H645">
        <f>YEAR(cleaned_personal_finance_data4[[#This Row],[date]])</f>
        <v>2025</v>
      </c>
      <c r="I645" t="s">
        <v>54</v>
      </c>
    </row>
    <row r="646" spans="1:9" hidden="1" x14ac:dyDescent="0.25">
      <c r="A646">
        <v>645</v>
      </c>
      <c r="B646" s="1">
        <v>45672</v>
      </c>
      <c r="C646" t="s">
        <v>128</v>
      </c>
      <c r="D646">
        <v>13</v>
      </c>
      <c r="E646" t="s">
        <v>15</v>
      </c>
      <c r="F646" t="s">
        <v>13</v>
      </c>
      <c r="G646">
        <f>MONTH(cleaned_personal_finance_data4[[#This Row],[date]])</f>
        <v>1</v>
      </c>
      <c r="H646">
        <f>YEAR(cleaned_personal_finance_data4[[#This Row],[date]])</f>
        <v>2025</v>
      </c>
      <c r="I646" t="s">
        <v>43</v>
      </c>
    </row>
    <row r="647" spans="1:9" hidden="1" x14ac:dyDescent="0.25">
      <c r="A647">
        <v>646</v>
      </c>
      <c r="B647" s="1">
        <v>45672</v>
      </c>
      <c r="C647" t="s">
        <v>108</v>
      </c>
      <c r="D647">
        <v>40</v>
      </c>
      <c r="E647" t="s">
        <v>15</v>
      </c>
      <c r="F647" t="s">
        <v>13</v>
      </c>
      <c r="G647">
        <f>MONTH(cleaned_personal_finance_data4[[#This Row],[date]])</f>
        <v>1</v>
      </c>
      <c r="H647">
        <f>YEAR(cleaned_personal_finance_data4[[#This Row],[date]])</f>
        <v>2025</v>
      </c>
      <c r="I647" t="s">
        <v>43</v>
      </c>
    </row>
    <row r="648" spans="1:9" hidden="1" x14ac:dyDescent="0.25">
      <c r="A648">
        <v>647</v>
      </c>
      <c r="B648" s="1">
        <v>45672</v>
      </c>
      <c r="C648" t="s">
        <v>277</v>
      </c>
      <c r="D648">
        <v>638</v>
      </c>
      <c r="E648" t="s">
        <v>15</v>
      </c>
      <c r="F648" t="s">
        <v>13</v>
      </c>
      <c r="G648">
        <f>MONTH(cleaned_personal_finance_data4[[#This Row],[date]])</f>
        <v>1</v>
      </c>
      <c r="H648">
        <f>YEAR(cleaned_personal_finance_data4[[#This Row],[date]])</f>
        <v>2025</v>
      </c>
      <c r="I648" t="s">
        <v>277</v>
      </c>
    </row>
    <row r="649" spans="1:9" hidden="1" x14ac:dyDescent="0.25">
      <c r="A649">
        <v>648</v>
      </c>
      <c r="B649" s="1">
        <v>45672</v>
      </c>
      <c r="C649" t="s">
        <v>269</v>
      </c>
      <c r="D649">
        <v>599</v>
      </c>
      <c r="E649" t="s">
        <v>15</v>
      </c>
      <c r="F649" t="s">
        <v>13</v>
      </c>
      <c r="G649">
        <f>MONTH(cleaned_personal_finance_data4[[#This Row],[date]])</f>
        <v>1</v>
      </c>
      <c r="H649">
        <f>YEAR(cleaned_personal_finance_data4[[#This Row],[date]])</f>
        <v>2025</v>
      </c>
      <c r="I649" t="s">
        <v>269</v>
      </c>
    </row>
    <row r="650" spans="1:9" hidden="1" x14ac:dyDescent="0.25">
      <c r="A650">
        <v>649</v>
      </c>
      <c r="B650" s="1">
        <v>45672</v>
      </c>
      <c r="C650" t="s">
        <v>229</v>
      </c>
      <c r="D650">
        <v>42</v>
      </c>
      <c r="E650" t="s">
        <v>15</v>
      </c>
      <c r="F650" t="s">
        <v>13</v>
      </c>
      <c r="G650">
        <f>MONTH(cleaned_personal_finance_data4[[#This Row],[date]])</f>
        <v>1</v>
      </c>
      <c r="H650">
        <f>YEAR(cleaned_personal_finance_data4[[#This Row],[date]])</f>
        <v>2025</v>
      </c>
      <c r="I650" t="s">
        <v>229</v>
      </c>
    </row>
    <row r="651" spans="1:9" hidden="1" x14ac:dyDescent="0.25">
      <c r="A651">
        <v>650</v>
      </c>
      <c r="B651" s="1">
        <v>45672</v>
      </c>
      <c r="C651" t="s">
        <v>61</v>
      </c>
      <c r="D651">
        <v>120</v>
      </c>
      <c r="E651" t="s">
        <v>15</v>
      </c>
      <c r="F651" t="s">
        <v>13</v>
      </c>
      <c r="G651">
        <f>MONTH(cleaned_personal_finance_data4[[#This Row],[date]])</f>
        <v>1</v>
      </c>
      <c r="H651">
        <f>YEAR(cleaned_personal_finance_data4[[#This Row],[date]])</f>
        <v>2025</v>
      </c>
      <c r="I651" t="s">
        <v>43</v>
      </c>
    </row>
    <row r="652" spans="1:9" hidden="1" x14ac:dyDescent="0.25">
      <c r="A652">
        <v>651</v>
      </c>
      <c r="B652" s="1">
        <v>45672</v>
      </c>
      <c r="C652" t="s">
        <v>76</v>
      </c>
      <c r="D652">
        <v>20</v>
      </c>
      <c r="E652" t="s">
        <v>15</v>
      </c>
      <c r="F652" t="s">
        <v>13</v>
      </c>
      <c r="G652">
        <f>MONTH(cleaned_personal_finance_data4[[#This Row],[date]])</f>
        <v>1</v>
      </c>
      <c r="H652">
        <f>YEAR(cleaned_personal_finance_data4[[#This Row],[date]])</f>
        <v>2025</v>
      </c>
      <c r="I652" t="s">
        <v>43</v>
      </c>
    </row>
    <row r="653" spans="1:9" hidden="1" x14ac:dyDescent="0.25">
      <c r="A653">
        <v>652</v>
      </c>
      <c r="B653" s="1">
        <v>45672</v>
      </c>
      <c r="C653" t="s">
        <v>85</v>
      </c>
      <c r="D653">
        <v>300</v>
      </c>
      <c r="E653" t="s">
        <v>15</v>
      </c>
      <c r="F653" t="s">
        <v>13</v>
      </c>
      <c r="G653">
        <f>MONTH(cleaned_personal_finance_data4[[#This Row],[date]])</f>
        <v>1</v>
      </c>
      <c r="H653">
        <f>YEAR(cleaned_personal_finance_data4[[#This Row],[date]])</f>
        <v>2025</v>
      </c>
      <c r="I653" t="s">
        <v>85</v>
      </c>
    </row>
    <row r="654" spans="1:9" x14ac:dyDescent="0.25">
      <c r="A654">
        <v>653</v>
      </c>
      <c r="B654" s="1">
        <v>45673</v>
      </c>
      <c r="C654" t="s">
        <v>6</v>
      </c>
      <c r="D654">
        <v>13201</v>
      </c>
      <c r="E654" t="s">
        <v>7</v>
      </c>
      <c r="F654" t="s">
        <v>8</v>
      </c>
      <c r="G654">
        <f>MONTH(cleaned_personal_finance_data4[[#This Row],[date]])</f>
        <v>1</v>
      </c>
      <c r="H654">
        <f>YEAR(cleaned_personal_finance_data4[[#This Row],[date]])</f>
        <v>2025</v>
      </c>
      <c r="I654" t="s">
        <v>318</v>
      </c>
    </row>
    <row r="655" spans="1:9" hidden="1" x14ac:dyDescent="0.25">
      <c r="A655">
        <v>654</v>
      </c>
      <c r="B655" s="1">
        <v>45674</v>
      </c>
      <c r="C655" t="s">
        <v>287</v>
      </c>
      <c r="D655">
        <v>50</v>
      </c>
      <c r="E655" t="s">
        <v>15</v>
      </c>
      <c r="F655" t="s">
        <v>13</v>
      </c>
      <c r="G655">
        <f>MONTH(cleaned_personal_finance_data4[[#This Row],[date]])</f>
        <v>1</v>
      </c>
      <c r="H655">
        <f>YEAR(cleaned_personal_finance_data4[[#This Row],[date]])</f>
        <v>2025</v>
      </c>
      <c r="I655" t="s">
        <v>43</v>
      </c>
    </row>
    <row r="656" spans="1:9" hidden="1" x14ac:dyDescent="0.25">
      <c r="A656">
        <v>655</v>
      </c>
      <c r="B656" s="1">
        <v>45674</v>
      </c>
      <c r="C656" t="s">
        <v>59</v>
      </c>
      <c r="D656">
        <v>20</v>
      </c>
      <c r="E656" t="s">
        <v>15</v>
      </c>
      <c r="F656" t="s">
        <v>13</v>
      </c>
      <c r="G656">
        <f>MONTH(cleaned_personal_finance_data4[[#This Row],[date]])</f>
        <v>1</v>
      </c>
      <c r="H656">
        <f>YEAR(cleaned_personal_finance_data4[[#This Row],[date]])</f>
        <v>2025</v>
      </c>
      <c r="I656" t="s">
        <v>59</v>
      </c>
    </row>
    <row r="657" spans="1:9" hidden="1" x14ac:dyDescent="0.25">
      <c r="A657">
        <v>656</v>
      </c>
      <c r="B657" s="1">
        <v>45674</v>
      </c>
      <c r="C657" t="s">
        <v>67</v>
      </c>
      <c r="D657">
        <v>20</v>
      </c>
      <c r="E657" t="s">
        <v>15</v>
      </c>
      <c r="F657" t="s">
        <v>13</v>
      </c>
      <c r="G657">
        <f>MONTH(cleaned_personal_finance_data4[[#This Row],[date]])</f>
        <v>1</v>
      </c>
      <c r="H657">
        <f>YEAR(cleaned_personal_finance_data4[[#This Row],[date]])</f>
        <v>2025</v>
      </c>
      <c r="I657" t="s">
        <v>67</v>
      </c>
    </row>
    <row r="658" spans="1:9" hidden="1" x14ac:dyDescent="0.25">
      <c r="A658">
        <v>657</v>
      </c>
      <c r="B658" s="1">
        <v>45674</v>
      </c>
      <c r="C658" t="s">
        <v>110</v>
      </c>
      <c r="D658">
        <v>120</v>
      </c>
      <c r="E658" t="s">
        <v>15</v>
      </c>
      <c r="F658" t="s">
        <v>13</v>
      </c>
      <c r="G658">
        <f>MONTH(cleaned_personal_finance_data4[[#This Row],[date]])</f>
        <v>1</v>
      </c>
      <c r="H658">
        <f>YEAR(cleaned_personal_finance_data4[[#This Row],[date]])</f>
        <v>2025</v>
      </c>
      <c r="I658" t="s">
        <v>43</v>
      </c>
    </row>
    <row r="659" spans="1:9" hidden="1" x14ac:dyDescent="0.25">
      <c r="A659">
        <v>658</v>
      </c>
      <c r="B659" s="1">
        <v>45674</v>
      </c>
      <c r="C659" t="s">
        <v>54</v>
      </c>
      <c r="D659">
        <v>120</v>
      </c>
      <c r="E659" t="s">
        <v>15</v>
      </c>
      <c r="F659" t="s">
        <v>13</v>
      </c>
      <c r="G659">
        <f>MONTH(cleaned_personal_finance_data4[[#This Row],[date]])</f>
        <v>1</v>
      </c>
      <c r="H659">
        <f>YEAR(cleaned_personal_finance_data4[[#This Row],[date]])</f>
        <v>2025</v>
      </c>
      <c r="I659" t="s">
        <v>54</v>
      </c>
    </row>
    <row r="660" spans="1:9" hidden="1" x14ac:dyDescent="0.25">
      <c r="A660">
        <v>659</v>
      </c>
      <c r="B660" s="1">
        <v>45674</v>
      </c>
      <c r="C660" t="s">
        <v>108</v>
      </c>
      <c r="D660">
        <v>60</v>
      </c>
      <c r="E660" t="s">
        <v>15</v>
      </c>
      <c r="F660" t="s">
        <v>13</v>
      </c>
      <c r="G660">
        <f>MONTH(cleaned_personal_finance_data4[[#This Row],[date]])</f>
        <v>1</v>
      </c>
      <c r="H660">
        <f>YEAR(cleaned_personal_finance_data4[[#This Row],[date]])</f>
        <v>2025</v>
      </c>
      <c r="I660" t="s">
        <v>43</v>
      </c>
    </row>
    <row r="661" spans="1:9" hidden="1" x14ac:dyDescent="0.25">
      <c r="A661">
        <v>660</v>
      </c>
      <c r="B661" s="1">
        <v>45674</v>
      </c>
      <c r="C661" t="s">
        <v>288</v>
      </c>
      <c r="D661">
        <v>135</v>
      </c>
      <c r="E661" t="s">
        <v>15</v>
      </c>
      <c r="F661" t="s">
        <v>13</v>
      </c>
      <c r="G661">
        <f>MONTH(cleaned_personal_finance_data4[[#This Row],[date]])</f>
        <v>1</v>
      </c>
      <c r="H661">
        <f>YEAR(cleaned_personal_finance_data4[[#This Row],[date]])</f>
        <v>2025</v>
      </c>
      <c r="I661" t="s">
        <v>288</v>
      </c>
    </row>
    <row r="662" spans="1:9" hidden="1" x14ac:dyDescent="0.25">
      <c r="A662">
        <v>661</v>
      </c>
      <c r="B662" s="1">
        <v>45674</v>
      </c>
      <c r="C662" t="s">
        <v>179</v>
      </c>
      <c r="D662">
        <v>20</v>
      </c>
      <c r="E662" t="s">
        <v>15</v>
      </c>
      <c r="F662" t="s">
        <v>13</v>
      </c>
      <c r="G662">
        <f>MONTH(cleaned_personal_finance_data4[[#This Row],[date]])</f>
        <v>1</v>
      </c>
      <c r="H662">
        <f>YEAR(cleaned_personal_finance_data4[[#This Row],[date]])</f>
        <v>2025</v>
      </c>
      <c r="I662" t="s">
        <v>179</v>
      </c>
    </row>
    <row r="663" spans="1:9" hidden="1" x14ac:dyDescent="0.25">
      <c r="A663">
        <v>662</v>
      </c>
      <c r="B663" s="1">
        <v>45674</v>
      </c>
      <c r="C663" t="s">
        <v>180</v>
      </c>
      <c r="D663">
        <v>10</v>
      </c>
      <c r="E663" t="s">
        <v>15</v>
      </c>
      <c r="F663" t="s">
        <v>13</v>
      </c>
      <c r="G663">
        <f>MONTH(cleaned_personal_finance_data4[[#This Row],[date]])</f>
        <v>1</v>
      </c>
      <c r="H663">
        <f>YEAR(cleaned_personal_finance_data4[[#This Row],[date]])</f>
        <v>2025</v>
      </c>
      <c r="I663" t="s">
        <v>43</v>
      </c>
    </row>
    <row r="664" spans="1:9" hidden="1" x14ac:dyDescent="0.25">
      <c r="A664">
        <v>663</v>
      </c>
      <c r="B664" s="1">
        <v>45674</v>
      </c>
      <c r="C664" t="s">
        <v>67</v>
      </c>
      <c r="D664">
        <v>25</v>
      </c>
      <c r="E664" t="s">
        <v>15</v>
      </c>
      <c r="F664" t="s">
        <v>13</v>
      </c>
      <c r="G664">
        <f>MONTH(cleaned_personal_finance_data4[[#This Row],[date]])</f>
        <v>1</v>
      </c>
      <c r="H664">
        <f>YEAR(cleaned_personal_finance_data4[[#This Row],[date]])</f>
        <v>2025</v>
      </c>
      <c r="I664" t="s">
        <v>67</v>
      </c>
    </row>
    <row r="665" spans="1:9" hidden="1" x14ac:dyDescent="0.25">
      <c r="A665">
        <v>664</v>
      </c>
      <c r="B665" s="1">
        <v>45674</v>
      </c>
      <c r="C665" t="s">
        <v>181</v>
      </c>
      <c r="D665">
        <v>120</v>
      </c>
      <c r="E665" t="s">
        <v>15</v>
      </c>
      <c r="F665" t="s">
        <v>13</v>
      </c>
      <c r="G665">
        <f>MONTH(cleaned_personal_finance_data4[[#This Row],[date]])</f>
        <v>1</v>
      </c>
      <c r="H665">
        <f>YEAR(cleaned_personal_finance_data4[[#This Row],[date]])</f>
        <v>2025</v>
      </c>
      <c r="I665" t="s">
        <v>43</v>
      </c>
    </row>
    <row r="666" spans="1:9" hidden="1" x14ac:dyDescent="0.25">
      <c r="A666">
        <v>665</v>
      </c>
      <c r="B666" s="1">
        <v>45674</v>
      </c>
      <c r="C666" t="s">
        <v>76</v>
      </c>
      <c r="D666">
        <v>100</v>
      </c>
      <c r="E666" t="s">
        <v>15</v>
      </c>
      <c r="F666" t="s">
        <v>13</v>
      </c>
      <c r="G666">
        <f>MONTH(cleaned_personal_finance_data4[[#This Row],[date]])</f>
        <v>1</v>
      </c>
      <c r="H666">
        <f>YEAR(cleaned_personal_finance_data4[[#This Row],[date]])</f>
        <v>2025</v>
      </c>
      <c r="I666" t="s">
        <v>43</v>
      </c>
    </row>
    <row r="667" spans="1:9" hidden="1" x14ac:dyDescent="0.25">
      <c r="A667">
        <v>666</v>
      </c>
      <c r="B667" s="1">
        <v>45681</v>
      </c>
      <c r="C667" t="s">
        <v>281</v>
      </c>
      <c r="D667">
        <v>300</v>
      </c>
      <c r="E667" t="s">
        <v>15</v>
      </c>
      <c r="F667" t="s">
        <v>13</v>
      </c>
      <c r="G667">
        <f>MONTH(cleaned_personal_finance_data4[[#This Row],[date]])</f>
        <v>1</v>
      </c>
      <c r="H667">
        <f>YEAR(cleaned_personal_finance_data4[[#This Row],[date]])</f>
        <v>2025</v>
      </c>
      <c r="I667" t="s">
        <v>43</v>
      </c>
    </row>
    <row r="668" spans="1:9" hidden="1" x14ac:dyDescent="0.25">
      <c r="A668">
        <v>667</v>
      </c>
      <c r="B668" s="1">
        <v>45681</v>
      </c>
      <c r="C668" t="s">
        <v>54</v>
      </c>
      <c r="D668">
        <v>392</v>
      </c>
      <c r="E668" t="s">
        <v>15</v>
      </c>
      <c r="F668" t="s">
        <v>13</v>
      </c>
      <c r="G668">
        <f>MONTH(cleaned_personal_finance_data4[[#This Row],[date]])</f>
        <v>1</v>
      </c>
      <c r="H668">
        <f>YEAR(cleaned_personal_finance_data4[[#This Row],[date]])</f>
        <v>2025</v>
      </c>
      <c r="I668" t="s">
        <v>54</v>
      </c>
    </row>
    <row r="669" spans="1:9" hidden="1" x14ac:dyDescent="0.25">
      <c r="A669">
        <v>668</v>
      </c>
      <c r="B669" s="1">
        <v>45681</v>
      </c>
      <c r="C669" t="s">
        <v>289</v>
      </c>
      <c r="D669">
        <v>58</v>
      </c>
      <c r="E669" t="s">
        <v>15</v>
      </c>
      <c r="F669" t="s">
        <v>13</v>
      </c>
      <c r="G669">
        <f>MONTH(cleaned_personal_finance_data4[[#This Row],[date]])</f>
        <v>1</v>
      </c>
      <c r="H669">
        <f>YEAR(cleaned_personal_finance_data4[[#This Row],[date]])</f>
        <v>2025</v>
      </c>
      <c r="I669" t="s">
        <v>289</v>
      </c>
    </row>
    <row r="670" spans="1:9" hidden="1" x14ac:dyDescent="0.25">
      <c r="A670">
        <v>669</v>
      </c>
      <c r="B670" s="1">
        <v>45681</v>
      </c>
      <c r="C670" t="s">
        <v>290</v>
      </c>
      <c r="D670">
        <v>18</v>
      </c>
      <c r="E670" t="s">
        <v>15</v>
      </c>
      <c r="F670" t="s">
        <v>13</v>
      </c>
      <c r="G670">
        <f>MONTH(cleaned_personal_finance_data4[[#This Row],[date]])</f>
        <v>1</v>
      </c>
      <c r="H670">
        <f>YEAR(cleaned_personal_finance_data4[[#This Row],[date]])</f>
        <v>2025</v>
      </c>
      <c r="I670" t="s">
        <v>290</v>
      </c>
    </row>
    <row r="671" spans="1:9" hidden="1" x14ac:dyDescent="0.25">
      <c r="A671">
        <v>670</v>
      </c>
      <c r="B671" s="1">
        <v>45681</v>
      </c>
      <c r="C671" t="s">
        <v>291</v>
      </c>
      <c r="D671">
        <v>20</v>
      </c>
      <c r="E671" t="s">
        <v>15</v>
      </c>
      <c r="F671" t="s">
        <v>13</v>
      </c>
      <c r="G671">
        <f>MONTH(cleaned_personal_finance_data4[[#This Row],[date]])</f>
        <v>1</v>
      </c>
      <c r="H671">
        <f>YEAR(cleaned_personal_finance_data4[[#This Row],[date]])</f>
        <v>2025</v>
      </c>
      <c r="I671" t="s">
        <v>291</v>
      </c>
    </row>
    <row r="672" spans="1:9" x14ac:dyDescent="0.25">
      <c r="A672">
        <v>671</v>
      </c>
      <c r="B672" s="1">
        <v>45687</v>
      </c>
      <c r="C672" t="s">
        <v>6</v>
      </c>
      <c r="D672">
        <v>13202</v>
      </c>
      <c r="E672" t="s">
        <v>7</v>
      </c>
      <c r="F672" t="s">
        <v>8</v>
      </c>
      <c r="G672">
        <f>MONTH(cleaned_personal_finance_data4[[#This Row],[date]])</f>
        <v>1</v>
      </c>
      <c r="H672">
        <f>YEAR(cleaned_personal_finance_data4[[#This Row],[date]])</f>
        <v>2025</v>
      </c>
      <c r="I672" t="s">
        <v>318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5375B-8EB1-4D1D-9EEC-263EAB50128E}">
  <dimension ref="A1:I139"/>
  <sheetViews>
    <sheetView workbookViewId="0">
      <selection activeCell="A2" sqref="A1:I139"/>
    </sheetView>
  </sheetViews>
  <sheetFormatPr defaultRowHeight="15" x14ac:dyDescent="0.25"/>
  <cols>
    <col min="1" max="1" width="10.28515625" customWidth="1"/>
    <col min="4" max="4" width="9.42578125" customWidth="1"/>
    <col min="5" max="5" width="12.5703125" customWidth="1"/>
    <col min="6" max="6" width="18" customWidth="1"/>
    <col min="9" max="9" width="15.42578125" customWidth="1"/>
  </cols>
  <sheetData>
    <row r="1" spans="1:9" x14ac:dyDescent="0.25">
      <c r="A1" s="11" t="s">
        <v>0</v>
      </c>
      <c r="B1" s="11" t="s">
        <v>1</v>
      </c>
      <c r="C1" s="11" t="s">
        <v>346</v>
      </c>
      <c r="D1" s="11" t="s">
        <v>3</v>
      </c>
      <c r="E1" s="11" t="s">
        <v>4</v>
      </c>
      <c r="F1" s="11" t="s">
        <v>5</v>
      </c>
      <c r="G1" s="11" t="s">
        <v>347</v>
      </c>
      <c r="H1" s="11" t="s">
        <v>293</v>
      </c>
      <c r="I1" s="11" t="s">
        <v>317</v>
      </c>
    </row>
    <row r="2" spans="1:9" x14ac:dyDescent="0.25">
      <c r="A2">
        <v>15</v>
      </c>
      <c r="B2">
        <v>45236</v>
      </c>
      <c r="C2" t="s">
        <v>24</v>
      </c>
      <c r="D2">
        <v>194</v>
      </c>
      <c r="E2" t="s">
        <v>15</v>
      </c>
      <c r="F2" t="s">
        <v>21</v>
      </c>
      <c r="G2">
        <v>11</v>
      </c>
      <c r="H2">
        <v>2023</v>
      </c>
      <c r="I2" t="s">
        <v>24</v>
      </c>
    </row>
    <row r="3" spans="1:9" x14ac:dyDescent="0.25">
      <c r="A3">
        <v>19</v>
      </c>
      <c r="B3">
        <v>45243</v>
      </c>
      <c r="C3" t="s">
        <v>28</v>
      </c>
      <c r="D3">
        <v>25</v>
      </c>
      <c r="E3" t="s">
        <v>15</v>
      </c>
      <c r="F3" t="s">
        <v>21</v>
      </c>
      <c r="G3">
        <v>11</v>
      </c>
      <c r="H3">
        <v>2023</v>
      </c>
      <c r="I3" t="s">
        <v>28</v>
      </c>
    </row>
    <row r="4" spans="1:9" x14ac:dyDescent="0.25">
      <c r="A4">
        <v>20</v>
      </c>
      <c r="B4">
        <v>45243</v>
      </c>
      <c r="C4" t="s">
        <v>28</v>
      </c>
      <c r="D4">
        <v>125</v>
      </c>
      <c r="E4" t="s">
        <v>15</v>
      </c>
      <c r="F4" t="s">
        <v>21</v>
      </c>
      <c r="G4">
        <v>11</v>
      </c>
      <c r="H4">
        <v>2023</v>
      </c>
      <c r="I4" t="s">
        <v>28</v>
      </c>
    </row>
    <row r="5" spans="1:9" x14ac:dyDescent="0.25">
      <c r="A5">
        <v>22</v>
      </c>
      <c r="B5">
        <v>45245</v>
      </c>
      <c r="C5" t="s">
        <v>28</v>
      </c>
      <c r="D5">
        <v>125</v>
      </c>
      <c r="E5" t="s">
        <v>15</v>
      </c>
      <c r="F5" t="s">
        <v>21</v>
      </c>
      <c r="G5">
        <v>11</v>
      </c>
      <c r="H5">
        <v>2023</v>
      </c>
      <c r="I5" t="s">
        <v>28</v>
      </c>
    </row>
    <row r="6" spans="1:9" x14ac:dyDescent="0.25">
      <c r="A6">
        <v>30</v>
      </c>
      <c r="B6">
        <v>45252</v>
      </c>
      <c r="C6" t="s">
        <v>34</v>
      </c>
      <c r="D6">
        <v>129</v>
      </c>
      <c r="E6" t="s">
        <v>15</v>
      </c>
      <c r="F6" t="s">
        <v>21</v>
      </c>
      <c r="G6">
        <v>11</v>
      </c>
      <c r="H6">
        <v>2023</v>
      </c>
      <c r="I6" t="s">
        <v>34</v>
      </c>
    </row>
    <row r="7" spans="1:9" x14ac:dyDescent="0.25">
      <c r="A7">
        <v>31</v>
      </c>
      <c r="B7">
        <v>45252</v>
      </c>
      <c r="C7" t="s">
        <v>35</v>
      </c>
      <c r="D7">
        <v>280</v>
      </c>
      <c r="E7" t="s">
        <v>15</v>
      </c>
      <c r="F7" t="s">
        <v>21</v>
      </c>
      <c r="G7">
        <v>11</v>
      </c>
      <c r="H7">
        <v>2023</v>
      </c>
      <c r="I7" t="s">
        <v>35</v>
      </c>
    </row>
    <row r="8" spans="1:9" x14ac:dyDescent="0.25">
      <c r="A8">
        <v>32</v>
      </c>
      <c r="B8">
        <v>45253</v>
      </c>
      <c r="C8" t="s">
        <v>28</v>
      </c>
      <c r="D8">
        <v>125</v>
      </c>
      <c r="E8" t="s">
        <v>15</v>
      </c>
      <c r="F8" t="s">
        <v>21</v>
      </c>
      <c r="G8">
        <v>11</v>
      </c>
      <c r="H8">
        <v>2023</v>
      </c>
      <c r="I8" t="s">
        <v>28</v>
      </c>
    </row>
    <row r="9" spans="1:9" x14ac:dyDescent="0.25">
      <c r="A9">
        <v>34</v>
      </c>
      <c r="B9">
        <v>45262</v>
      </c>
      <c r="C9" t="s">
        <v>28</v>
      </c>
      <c r="D9">
        <v>125</v>
      </c>
      <c r="E9" t="s">
        <v>15</v>
      </c>
      <c r="F9" t="s">
        <v>21</v>
      </c>
      <c r="G9">
        <v>12</v>
      </c>
      <c r="H9">
        <v>2023</v>
      </c>
      <c r="I9" t="s">
        <v>28</v>
      </c>
    </row>
    <row r="10" spans="1:9" x14ac:dyDescent="0.25">
      <c r="A10">
        <v>38</v>
      </c>
      <c r="B10">
        <v>45266</v>
      </c>
      <c r="C10" t="s">
        <v>24</v>
      </c>
      <c r="D10">
        <v>239</v>
      </c>
      <c r="E10" t="s">
        <v>15</v>
      </c>
      <c r="F10" t="s">
        <v>21</v>
      </c>
      <c r="G10">
        <v>12</v>
      </c>
      <c r="H10">
        <v>2023</v>
      </c>
      <c r="I10" t="s">
        <v>24</v>
      </c>
    </row>
    <row r="11" spans="1:9" x14ac:dyDescent="0.25">
      <c r="A11">
        <v>40</v>
      </c>
      <c r="B11">
        <v>45268</v>
      </c>
      <c r="C11" t="s">
        <v>28</v>
      </c>
      <c r="D11">
        <v>125</v>
      </c>
      <c r="E11" t="s">
        <v>15</v>
      </c>
      <c r="F11" t="s">
        <v>21</v>
      </c>
      <c r="G11">
        <v>12</v>
      </c>
      <c r="H11">
        <v>2023</v>
      </c>
      <c r="I11" t="s">
        <v>28</v>
      </c>
    </row>
    <row r="12" spans="1:9" x14ac:dyDescent="0.25">
      <c r="A12">
        <v>58</v>
      </c>
      <c r="B12">
        <v>45274</v>
      </c>
      <c r="C12" t="s">
        <v>50</v>
      </c>
      <c r="D12">
        <v>599</v>
      </c>
      <c r="E12" t="s">
        <v>15</v>
      </c>
      <c r="F12" t="s">
        <v>21</v>
      </c>
      <c r="G12">
        <v>12</v>
      </c>
      <c r="H12">
        <v>2023</v>
      </c>
      <c r="I12" t="s">
        <v>50</v>
      </c>
    </row>
    <row r="13" spans="1:9" x14ac:dyDescent="0.25">
      <c r="A13">
        <v>75</v>
      </c>
      <c r="B13">
        <v>45278</v>
      </c>
      <c r="C13" t="s">
        <v>35</v>
      </c>
      <c r="D13">
        <v>280</v>
      </c>
      <c r="E13" t="s">
        <v>15</v>
      </c>
      <c r="F13" t="s">
        <v>21</v>
      </c>
      <c r="G13">
        <v>12</v>
      </c>
      <c r="H13">
        <v>2023</v>
      </c>
      <c r="I13" t="s">
        <v>35</v>
      </c>
    </row>
    <row r="14" spans="1:9" x14ac:dyDescent="0.25">
      <c r="A14">
        <v>76</v>
      </c>
      <c r="B14">
        <v>45279</v>
      </c>
      <c r="C14" t="s">
        <v>64</v>
      </c>
      <c r="D14">
        <v>199</v>
      </c>
      <c r="E14" t="s">
        <v>15</v>
      </c>
      <c r="F14" t="s">
        <v>21</v>
      </c>
      <c r="G14">
        <v>12</v>
      </c>
      <c r="H14">
        <v>2023</v>
      </c>
      <c r="I14" t="s">
        <v>64</v>
      </c>
    </row>
    <row r="15" spans="1:9" x14ac:dyDescent="0.25">
      <c r="A15">
        <v>77</v>
      </c>
      <c r="B15">
        <v>45281</v>
      </c>
      <c r="C15" t="s">
        <v>65</v>
      </c>
      <c r="D15">
        <v>768</v>
      </c>
      <c r="E15" t="s">
        <v>15</v>
      </c>
      <c r="F15" t="s">
        <v>21</v>
      </c>
      <c r="G15">
        <v>12</v>
      </c>
      <c r="H15">
        <v>2023</v>
      </c>
      <c r="I15" t="s">
        <v>324</v>
      </c>
    </row>
    <row r="16" spans="1:9" x14ac:dyDescent="0.25">
      <c r="A16">
        <v>78</v>
      </c>
      <c r="B16">
        <v>45282</v>
      </c>
      <c r="C16" t="s">
        <v>34</v>
      </c>
      <c r="D16">
        <v>129</v>
      </c>
      <c r="E16" t="s">
        <v>15</v>
      </c>
      <c r="F16" t="s">
        <v>21</v>
      </c>
      <c r="G16">
        <v>12</v>
      </c>
      <c r="H16">
        <v>2023</v>
      </c>
      <c r="I16" t="s">
        <v>34</v>
      </c>
    </row>
    <row r="17" spans="1:9" x14ac:dyDescent="0.25">
      <c r="A17">
        <v>97</v>
      </c>
      <c r="B17">
        <v>45286</v>
      </c>
      <c r="C17" t="s">
        <v>64</v>
      </c>
      <c r="D17">
        <v>199</v>
      </c>
      <c r="E17" t="s">
        <v>15</v>
      </c>
      <c r="F17" t="s">
        <v>21</v>
      </c>
      <c r="G17">
        <v>12</v>
      </c>
      <c r="H17">
        <v>2023</v>
      </c>
      <c r="I17" t="s">
        <v>64</v>
      </c>
    </row>
    <row r="18" spans="1:9" x14ac:dyDescent="0.25">
      <c r="A18">
        <v>110</v>
      </c>
      <c r="B18">
        <v>45297</v>
      </c>
      <c r="C18" t="s">
        <v>24</v>
      </c>
      <c r="D18">
        <v>239</v>
      </c>
      <c r="E18" t="s">
        <v>15</v>
      </c>
      <c r="F18" t="s">
        <v>21</v>
      </c>
      <c r="G18">
        <v>1</v>
      </c>
      <c r="H18">
        <v>2024</v>
      </c>
      <c r="I18" t="s">
        <v>24</v>
      </c>
    </row>
    <row r="19" spans="1:9" x14ac:dyDescent="0.25">
      <c r="A19">
        <v>111</v>
      </c>
      <c r="B19">
        <v>45298</v>
      </c>
      <c r="C19" t="s">
        <v>28</v>
      </c>
      <c r="D19">
        <v>125</v>
      </c>
      <c r="E19" t="s">
        <v>15</v>
      </c>
      <c r="F19" t="s">
        <v>21</v>
      </c>
      <c r="G19">
        <v>1</v>
      </c>
      <c r="H19">
        <v>2024</v>
      </c>
      <c r="I19" t="s">
        <v>28</v>
      </c>
    </row>
    <row r="20" spans="1:9" x14ac:dyDescent="0.25">
      <c r="A20">
        <v>112</v>
      </c>
      <c r="B20">
        <v>45298</v>
      </c>
      <c r="C20" t="s">
        <v>28</v>
      </c>
      <c r="D20">
        <v>50</v>
      </c>
      <c r="E20" t="s">
        <v>15</v>
      </c>
      <c r="F20" t="s">
        <v>21</v>
      </c>
      <c r="G20">
        <v>1</v>
      </c>
      <c r="H20">
        <v>2024</v>
      </c>
      <c r="I20" t="s">
        <v>28</v>
      </c>
    </row>
    <row r="21" spans="1:9" x14ac:dyDescent="0.25">
      <c r="A21">
        <v>114</v>
      </c>
      <c r="B21">
        <v>45298</v>
      </c>
      <c r="C21" t="s">
        <v>90</v>
      </c>
      <c r="D21">
        <v>34</v>
      </c>
      <c r="E21" t="s">
        <v>15</v>
      </c>
      <c r="F21" t="s">
        <v>21</v>
      </c>
      <c r="G21">
        <v>1</v>
      </c>
      <c r="H21">
        <v>2024</v>
      </c>
      <c r="I21" t="s">
        <v>324</v>
      </c>
    </row>
    <row r="22" spans="1:9" x14ac:dyDescent="0.25">
      <c r="A22">
        <v>117</v>
      </c>
      <c r="B22">
        <v>45299</v>
      </c>
      <c r="C22" t="s">
        <v>28</v>
      </c>
      <c r="D22">
        <v>25</v>
      </c>
      <c r="E22" t="s">
        <v>15</v>
      </c>
      <c r="F22" t="s">
        <v>21</v>
      </c>
      <c r="G22">
        <v>1</v>
      </c>
      <c r="H22">
        <v>2024</v>
      </c>
      <c r="I22" t="s">
        <v>28</v>
      </c>
    </row>
    <row r="23" spans="1:9" x14ac:dyDescent="0.25">
      <c r="A23">
        <v>118</v>
      </c>
      <c r="B23">
        <v>45300</v>
      </c>
      <c r="C23" t="s">
        <v>28</v>
      </c>
      <c r="D23">
        <v>50</v>
      </c>
      <c r="E23" t="s">
        <v>15</v>
      </c>
      <c r="F23" t="s">
        <v>21</v>
      </c>
      <c r="G23">
        <v>1</v>
      </c>
      <c r="H23">
        <v>2024</v>
      </c>
      <c r="I23" t="s">
        <v>28</v>
      </c>
    </row>
    <row r="24" spans="1:9" x14ac:dyDescent="0.25">
      <c r="A24">
        <v>131</v>
      </c>
      <c r="B24">
        <v>45303</v>
      </c>
      <c r="C24" t="s">
        <v>35</v>
      </c>
      <c r="D24">
        <v>280</v>
      </c>
      <c r="E24" t="s">
        <v>15</v>
      </c>
      <c r="F24" t="s">
        <v>21</v>
      </c>
      <c r="G24">
        <v>1</v>
      </c>
      <c r="H24">
        <v>2024</v>
      </c>
      <c r="I24" t="s">
        <v>35</v>
      </c>
    </row>
    <row r="25" spans="1:9" x14ac:dyDescent="0.25">
      <c r="A25">
        <v>135</v>
      </c>
      <c r="B25">
        <v>45306</v>
      </c>
      <c r="C25" t="s">
        <v>28</v>
      </c>
      <c r="D25">
        <v>125</v>
      </c>
      <c r="E25" t="s">
        <v>15</v>
      </c>
      <c r="F25" t="s">
        <v>21</v>
      </c>
      <c r="G25">
        <v>1</v>
      </c>
      <c r="H25">
        <v>2024</v>
      </c>
      <c r="I25" t="s">
        <v>28</v>
      </c>
    </row>
    <row r="26" spans="1:9" x14ac:dyDescent="0.25">
      <c r="A26">
        <v>137</v>
      </c>
      <c r="B26">
        <v>45309</v>
      </c>
      <c r="C26" t="s">
        <v>28</v>
      </c>
      <c r="D26">
        <v>125</v>
      </c>
      <c r="E26" t="s">
        <v>15</v>
      </c>
      <c r="F26" t="s">
        <v>21</v>
      </c>
      <c r="G26">
        <v>1</v>
      </c>
      <c r="H26">
        <v>2024</v>
      </c>
      <c r="I26" t="s">
        <v>28</v>
      </c>
    </row>
    <row r="27" spans="1:9" x14ac:dyDescent="0.25">
      <c r="A27">
        <v>138</v>
      </c>
      <c r="B27">
        <v>45310</v>
      </c>
      <c r="C27" t="s">
        <v>28</v>
      </c>
      <c r="D27">
        <v>125</v>
      </c>
      <c r="E27" t="s">
        <v>15</v>
      </c>
      <c r="F27" t="s">
        <v>21</v>
      </c>
      <c r="G27">
        <v>1</v>
      </c>
      <c r="H27">
        <v>2024</v>
      </c>
      <c r="I27" t="s">
        <v>28</v>
      </c>
    </row>
    <row r="28" spans="1:9" x14ac:dyDescent="0.25">
      <c r="A28">
        <v>139</v>
      </c>
      <c r="B28">
        <v>45311</v>
      </c>
      <c r="C28" t="s">
        <v>28</v>
      </c>
      <c r="D28">
        <v>125</v>
      </c>
      <c r="E28" t="s">
        <v>15</v>
      </c>
      <c r="F28" t="s">
        <v>21</v>
      </c>
      <c r="G28">
        <v>1</v>
      </c>
      <c r="H28">
        <v>2024</v>
      </c>
      <c r="I28" t="s">
        <v>28</v>
      </c>
    </row>
    <row r="29" spans="1:9" x14ac:dyDescent="0.25">
      <c r="A29">
        <v>140</v>
      </c>
      <c r="B29">
        <v>45312</v>
      </c>
      <c r="C29" t="s">
        <v>28</v>
      </c>
      <c r="D29">
        <v>125</v>
      </c>
      <c r="E29" t="s">
        <v>15</v>
      </c>
      <c r="F29" t="s">
        <v>21</v>
      </c>
      <c r="G29">
        <v>1</v>
      </c>
      <c r="H29">
        <v>2024</v>
      </c>
      <c r="I29" t="s">
        <v>28</v>
      </c>
    </row>
    <row r="30" spans="1:9" x14ac:dyDescent="0.25">
      <c r="A30">
        <v>141</v>
      </c>
      <c r="B30">
        <v>45313</v>
      </c>
      <c r="C30" t="s">
        <v>34</v>
      </c>
      <c r="D30">
        <v>129</v>
      </c>
      <c r="E30" t="s">
        <v>15</v>
      </c>
      <c r="F30" t="s">
        <v>21</v>
      </c>
      <c r="G30">
        <v>1</v>
      </c>
      <c r="H30">
        <v>2024</v>
      </c>
      <c r="I30" t="s">
        <v>34</v>
      </c>
    </row>
    <row r="31" spans="1:9" x14ac:dyDescent="0.25">
      <c r="A31">
        <v>143</v>
      </c>
      <c r="B31">
        <v>45315</v>
      </c>
      <c r="C31" t="s">
        <v>28</v>
      </c>
      <c r="D31">
        <v>125</v>
      </c>
      <c r="E31" t="s">
        <v>15</v>
      </c>
      <c r="F31" t="s">
        <v>21</v>
      </c>
      <c r="G31">
        <v>1</v>
      </c>
      <c r="H31">
        <v>2024</v>
      </c>
      <c r="I31" t="s">
        <v>28</v>
      </c>
    </row>
    <row r="32" spans="1:9" x14ac:dyDescent="0.25">
      <c r="A32">
        <v>144</v>
      </c>
      <c r="B32">
        <v>45315</v>
      </c>
      <c r="C32" t="s">
        <v>28</v>
      </c>
      <c r="D32">
        <v>25</v>
      </c>
      <c r="E32" t="s">
        <v>15</v>
      </c>
      <c r="F32" t="s">
        <v>21</v>
      </c>
      <c r="G32">
        <v>1</v>
      </c>
      <c r="H32">
        <v>2024</v>
      </c>
      <c r="I32" t="s">
        <v>28</v>
      </c>
    </row>
    <row r="33" spans="1:9" x14ac:dyDescent="0.25">
      <c r="A33">
        <v>145</v>
      </c>
      <c r="B33">
        <v>45316</v>
      </c>
      <c r="C33" t="s">
        <v>28</v>
      </c>
      <c r="D33">
        <v>125</v>
      </c>
      <c r="E33" t="s">
        <v>15</v>
      </c>
      <c r="F33" t="s">
        <v>21</v>
      </c>
      <c r="G33">
        <v>1</v>
      </c>
      <c r="H33">
        <v>2024</v>
      </c>
      <c r="I33" t="s">
        <v>28</v>
      </c>
    </row>
    <row r="34" spans="1:9" x14ac:dyDescent="0.25">
      <c r="A34">
        <v>160</v>
      </c>
      <c r="B34">
        <v>45322</v>
      </c>
      <c r="C34" t="s">
        <v>28</v>
      </c>
      <c r="D34">
        <v>125</v>
      </c>
      <c r="E34" t="s">
        <v>15</v>
      </c>
      <c r="F34" t="s">
        <v>21</v>
      </c>
      <c r="G34">
        <v>1</v>
      </c>
      <c r="H34">
        <v>2024</v>
      </c>
      <c r="I34" t="s">
        <v>28</v>
      </c>
    </row>
    <row r="35" spans="1:9" x14ac:dyDescent="0.25">
      <c r="A35">
        <v>161</v>
      </c>
      <c r="B35">
        <v>45323</v>
      </c>
      <c r="C35" t="s">
        <v>28</v>
      </c>
      <c r="D35">
        <v>125</v>
      </c>
      <c r="E35" t="s">
        <v>15</v>
      </c>
      <c r="F35" t="s">
        <v>21</v>
      </c>
      <c r="G35">
        <v>2</v>
      </c>
      <c r="H35">
        <v>2024</v>
      </c>
      <c r="I35" t="s">
        <v>28</v>
      </c>
    </row>
    <row r="36" spans="1:9" x14ac:dyDescent="0.25">
      <c r="A36">
        <v>162</v>
      </c>
      <c r="B36">
        <v>45323</v>
      </c>
      <c r="C36" t="s">
        <v>50</v>
      </c>
      <c r="D36">
        <v>599</v>
      </c>
      <c r="E36" t="s">
        <v>15</v>
      </c>
      <c r="F36" t="s">
        <v>21</v>
      </c>
      <c r="G36">
        <v>2</v>
      </c>
      <c r="H36">
        <v>2024</v>
      </c>
      <c r="I36" t="s">
        <v>50</v>
      </c>
    </row>
    <row r="37" spans="1:9" x14ac:dyDescent="0.25">
      <c r="A37">
        <v>163</v>
      </c>
      <c r="B37">
        <v>45323</v>
      </c>
      <c r="C37" t="s">
        <v>28</v>
      </c>
      <c r="D37">
        <v>50</v>
      </c>
      <c r="E37" t="s">
        <v>15</v>
      </c>
      <c r="F37" t="s">
        <v>21</v>
      </c>
      <c r="G37">
        <v>2</v>
      </c>
      <c r="H37">
        <v>2024</v>
      </c>
      <c r="I37" t="s">
        <v>28</v>
      </c>
    </row>
    <row r="38" spans="1:9" x14ac:dyDescent="0.25">
      <c r="A38">
        <v>164</v>
      </c>
      <c r="B38">
        <v>45323</v>
      </c>
      <c r="C38" t="s">
        <v>28</v>
      </c>
      <c r="D38">
        <v>50</v>
      </c>
      <c r="E38" t="s">
        <v>15</v>
      </c>
      <c r="F38" t="s">
        <v>21</v>
      </c>
      <c r="G38">
        <v>2</v>
      </c>
      <c r="H38">
        <v>2024</v>
      </c>
      <c r="I38" t="s">
        <v>28</v>
      </c>
    </row>
    <row r="39" spans="1:9" x14ac:dyDescent="0.25">
      <c r="A39">
        <v>191</v>
      </c>
      <c r="B39">
        <v>45329</v>
      </c>
      <c r="C39" t="s">
        <v>24</v>
      </c>
      <c r="D39">
        <v>239</v>
      </c>
      <c r="E39" t="s">
        <v>15</v>
      </c>
      <c r="F39" t="s">
        <v>21</v>
      </c>
      <c r="G39">
        <v>2</v>
      </c>
      <c r="H39">
        <v>2024</v>
      </c>
      <c r="I39" t="s">
        <v>24</v>
      </c>
    </row>
    <row r="40" spans="1:9" x14ac:dyDescent="0.25">
      <c r="A40">
        <v>194</v>
      </c>
      <c r="B40">
        <v>45331</v>
      </c>
      <c r="C40" t="s">
        <v>64</v>
      </c>
      <c r="D40">
        <v>199</v>
      </c>
      <c r="E40" t="s">
        <v>15</v>
      </c>
      <c r="F40" t="s">
        <v>21</v>
      </c>
      <c r="G40">
        <v>2</v>
      </c>
      <c r="H40">
        <v>2024</v>
      </c>
      <c r="I40" t="s">
        <v>64</v>
      </c>
    </row>
    <row r="41" spans="1:9" x14ac:dyDescent="0.25">
      <c r="A41">
        <v>195</v>
      </c>
      <c r="B41">
        <v>45331</v>
      </c>
      <c r="C41" t="s">
        <v>122</v>
      </c>
      <c r="D41">
        <v>280</v>
      </c>
      <c r="E41" t="s">
        <v>15</v>
      </c>
      <c r="F41" t="s">
        <v>21</v>
      </c>
      <c r="G41">
        <v>2</v>
      </c>
      <c r="H41">
        <v>2024</v>
      </c>
      <c r="I41" t="s">
        <v>324</v>
      </c>
    </row>
    <row r="42" spans="1:9" x14ac:dyDescent="0.25">
      <c r="A42">
        <v>196</v>
      </c>
      <c r="B42">
        <v>45331</v>
      </c>
      <c r="C42" t="s">
        <v>64</v>
      </c>
      <c r="D42">
        <v>199</v>
      </c>
      <c r="E42" t="s">
        <v>15</v>
      </c>
      <c r="F42" t="s">
        <v>21</v>
      </c>
      <c r="G42">
        <v>2</v>
      </c>
      <c r="H42">
        <v>2024</v>
      </c>
      <c r="I42" t="s">
        <v>64</v>
      </c>
    </row>
    <row r="43" spans="1:9" x14ac:dyDescent="0.25">
      <c r="A43">
        <v>204</v>
      </c>
      <c r="B43">
        <v>45337</v>
      </c>
      <c r="C43" t="s">
        <v>125</v>
      </c>
      <c r="D43">
        <v>144</v>
      </c>
      <c r="E43" t="s">
        <v>15</v>
      </c>
      <c r="F43" t="s">
        <v>21</v>
      </c>
      <c r="G43">
        <v>2</v>
      </c>
      <c r="H43">
        <v>2024</v>
      </c>
      <c r="I43" t="s">
        <v>324</v>
      </c>
    </row>
    <row r="44" spans="1:9" x14ac:dyDescent="0.25">
      <c r="A44">
        <v>206</v>
      </c>
      <c r="B44">
        <v>45338</v>
      </c>
      <c r="C44" t="s">
        <v>64</v>
      </c>
      <c r="D44">
        <v>199</v>
      </c>
      <c r="E44" t="s">
        <v>15</v>
      </c>
      <c r="F44" t="s">
        <v>21</v>
      </c>
      <c r="G44">
        <v>2</v>
      </c>
      <c r="H44">
        <v>2024</v>
      </c>
      <c r="I44" t="s">
        <v>64</v>
      </c>
    </row>
    <row r="45" spans="1:9" x14ac:dyDescent="0.25">
      <c r="A45">
        <v>207</v>
      </c>
      <c r="B45">
        <v>45338</v>
      </c>
      <c r="C45" t="s">
        <v>126</v>
      </c>
      <c r="D45">
        <v>199</v>
      </c>
      <c r="E45" t="s">
        <v>15</v>
      </c>
      <c r="F45" t="s">
        <v>21</v>
      </c>
      <c r="G45">
        <v>2</v>
      </c>
      <c r="H45">
        <v>2024</v>
      </c>
      <c r="I45" t="s">
        <v>324</v>
      </c>
    </row>
    <row r="46" spans="1:9" x14ac:dyDescent="0.25">
      <c r="A46">
        <v>209</v>
      </c>
      <c r="B46">
        <v>45343</v>
      </c>
      <c r="C46" t="s">
        <v>35</v>
      </c>
      <c r="D46">
        <v>280</v>
      </c>
      <c r="E46" t="s">
        <v>15</v>
      </c>
      <c r="F46" t="s">
        <v>21</v>
      </c>
      <c r="G46">
        <v>2</v>
      </c>
      <c r="H46">
        <v>2024</v>
      </c>
      <c r="I46" t="s">
        <v>35</v>
      </c>
    </row>
    <row r="47" spans="1:9" x14ac:dyDescent="0.25">
      <c r="A47">
        <v>210</v>
      </c>
      <c r="B47">
        <v>45344</v>
      </c>
      <c r="C47" t="s">
        <v>28</v>
      </c>
      <c r="D47">
        <v>129</v>
      </c>
      <c r="E47" t="s">
        <v>15</v>
      </c>
      <c r="F47" t="s">
        <v>21</v>
      </c>
      <c r="G47">
        <v>2</v>
      </c>
      <c r="H47">
        <v>2024</v>
      </c>
      <c r="I47" t="s">
        <v>28</v>
      </c>
    </row>
    <row r="48" spans="1:9" x14ac:dyDescent="0.25">
      <c r="A48">
        <v>223</v>
      </c>
      <c r="B48">
        <v>45353</v>
      </c>
      <c r="C48" t="s">
        <v>28</v>
      </c>
      <c r="D48">
        <v>125</v>
      </c>
      <c r="E48" t="s">
        <v>15</v>
      </c>
      <c r="F48" t="s">
        <v>21</v>
      </c>
      <c r="G48">
        <v>3</v>
      </c>
      <c r="H48">
        <v>2024</v>
      </c>
      <c r="I48" t="s">
        <v>28</v>
      </c>
    </row>
    <row r="49" spans="1:9" x14ac:dyDescent="0.25">
      <c r="A49">
        <v>230</v>
      </c>
      <c r="B49">
        <v>45356</v>
      </c>
      <c r="C49" t="s">
        <v>28</v>
      </c>
      <c r="D49">
        <v>50</v>
      </c>
      <c r="E49" t="s">
        <v>15</v>
      </c>
      <c r="F49" t="s">
        <v>21</v>
      </c>
      <c r="G49">
        <v>3</v>
      </c>
      <c r="H49">
        <v>2024</v>
      </c>
      <c r="I49" t="s">
        <v>28</v>
      </c>
    </row>
    <row r="50" spans="1:9" x14ac:dyDescent="0.25">
      <c r="A50">
        <v>231</v>
      </c>
      <c r="B50">
        <v>45356</v>
      </c>
      <c r="C50" t="s">
        <v>28</v>
      </c>
      <c r="D50">
        <v>125</v>
      </c>
      <c r="E50" t="s">
        <v>15</v>
      </c>
      <c r="F50" t="s">
        <v>21</v>
      </c>
      <c r="G50">
        <v>3</v>
      </c>
      <c r="H50">
        <v>2024</v>
      </c>
      <c r="I50" t="s">
        <v>28</v>
      </c>
    </row>
    <row r="51" spans="1:9" x14ac:dyDescent="0.25">
      <c r="A51">
        <v>232</v>
      </c>
      <c r="B51">
        <v>45357</v>
      </c>
      <c r="C51" t="s">
        <v>24</v>
      </c>
      <c r="D51">
        <v>239</v>
      </c>
      <c r="E51" t="s">
        <v>15</v>
      </c>
      <c r="F51" t="s">
        <v>21</v>
      </c>
      <c r="G51">
        <v>3</v>
      </c>
      <c r="H51">
        <v>2024</v>
      </c>
      <c r="I51" t="s">
        <v>24</v>
      </c>
    </row>
    <row r="52" spans="1:9" x14ac:dyDescent="0.25">
      <c r="A52">
        <v>237</v>
      </c>
      <c r="B52">
        <v>45365</v>
      </c>
      <c r="C52" t="s">
        <v>50</v>
      </c>
      <c r="D52">
        <v>599</v>
      </c>
      <c r="E52" t="s">
        <v>15</v>
      </c>
      <c r="F52" t="s">
        <v>21</v>
      </c>
      <c r="G52">
        <v>3</v>
      </c>
      <c r="H52">
        <v>2024</v>
      </c>
      <c r="I52" t="s">
        <v>50</v>
      </c>
    </row>
    <row r="53" spans="1:9" x14ac:dyDescent="0.25">
      <c r="A53">
        <v>239</v>
      </c>
      <c r="B53">
        <v>45373</v>
      </c>
      <c r="C53" t="s">
        <v>34</v>
      </c>
      <c r="D53">
        <v>129</v>
      </c>
      <c r="E53" t="s">
        <v>15</v>
      </c>
      <c r="F53" t="s">
        <v>21</v>
      </c>
      <c r="G53">
        <v>3</v>
      </c>
      <c r="H53">
        <v>2024</v>
      </c>
      <c r="I53" t="s">
        <v>34</v>
      </c>
    </row>
    <row r="54" spans="1:9" x14ac:dyDescent="0.25">
      <c r="A54">
        <v>242</v>
      </c>
      <c r="B54">
        <v>45374</v>
      </c>
      <c r="C54" t="s">
        <v>35</v>
      </c>
      <c r="D54">
        <v>280</v>
      </c>
      <c r="E54" t="s">
        <v>15</v>
      </c>
      <c r="F54" t="s">
        <v>21</v>
      </c>
      <c r="G54">
        <v>3</v>
      </c>
      <c r="H54">
        <v>2024</v>
      </c>
      <c r="I54" t="s">
        <v>35</v>
      </c>
    </row>
    <row r="55" spans="1:9" x14ac:dyDescent="0.25">
      <c r="A55">
        <v>247</v>
      </c>
      <c r="B55">
        <v>45378</v>
      </c>
      <c r="C55" t="s">
        <v>64</v>
      </c>
      <c r="D55">
        <v>199</v>
      </c>
      <c r="E55" t="s">
        <v>15</v>
      </c>
      <c r="F55" t="s">
        <v>21</v>
      </c>
      <c r="G55">
        <v>3</v>
      </c>
      <c r="H55">
        <v>2024</v>
      </c>
      <c r="I55" t="s">
        <v>64</v>
      </c>
    </row>
    <row r="56" spans="1:9" x14ac:dyDescent="0.25">
      <c r="A56">
        <v>253</v>
      </c>
      <c r="B56">
        <v>45384</v>
      </c>
      <c r="C56" t="s">
        <v>28</v>
      </c>
      <c r="D56">
        <v>50</v>
      </c>
      <c r="E56" t="s">
        <v>15</v>
      </c>
      <c r="F56" t="s">
        <v>21</v>
      </c>
      <c r="G56">
        <v>4</v>
      </c>
      <c r="H56">
        <v>2024</v>
      </c>
      <c r="I56" t="s">
        <v>28</v>
      </c>
    </row>
    <row r="57" spans="1:9" x14ac:dyDescent="0.25">
      <c r="A57">
        <v>254</v>
      </c>
      <c r="B57">
        <v>45387</v>
      </c>
      <c r="C57" t="s">
        <v>28</v>
      </c>
      <c r="D57">
        <v>125</v>
      </c>
      <c r="E57" t="s">
        <v>15</v>
      </c>
      <c r="F57" t="s">
        <v>21</v>
      </c>
      <c r="G57">
        <v>4</v>
      </c>
      <c r="H57">
        <v>2024</v>
      </c>
      <c r="I57" t="s">
        <v>28</v>
      </c>
    </row>
    <row r="58" spans="1:9" x14ac:dyDescent="0.25">
      <c r="A58">
        <v>256</v>
      </c>
      <c r="B58">
        <v>45388</v>
      </c>
      <c r="C58" t="s">
        <v>24</v>
      </c>
      <c r="D58">
        <v>239</v>
      </c>
      <c r="E58" t="s">
        <v>15</v>
      </c>
      <c r="F58" t="s">
        <v>21</v>
      </c>
      <c r="G58">
        <v>4</v>
      </c>
      <c r="H58">
        <v>2024</v>
      </c>
      <c r="I58" t="s">
        <v>24</v>
      </c>
    </row>
    <row r="59" spans="1:9" x14ac:dyDescent="0.25">
      <c r="A59">
        <v>268</v>
      </c>
      <c r="B59">
        <v>45398</v>
      </c>
      <c r="C59" t="s">
        <v>28</v>
      </c>
      <c r="D59">
        <v>125</v>
      </c>
      <c r="E59" t="s">
        <v>15</v>
      </c>
      <c r="F59" t="s">
        <v>21</v>
      </c>
      <c r="G59">
        <v>4</v>
      </c>
      <c r="H59">
        <v>2024</v>
      </c>
      <c r="I59" t="s">
        <v>28</v>
      </c>
    </row>
    <row r="60" spans="1:9" x14ac:dyDescent="0.25">
      <c r="A60">
        <v>269</v>
      </c>
      <c r="B60">
        <v>45402</v>
      </c>
      <c r="C60" t="s">
        <v>50</v>
      </c>
      <c r="D60">
        <v>599</v>
      </c>
      <c r="E60" t="s">
        <v>15</v>
      </c>
      <c r="F60" t="s">
        <v>21</v>
      </c>
      <c r="G60">
        <v>4</v>
      </c>
      <c r="H60">
        <v>2024</v>
      </c>
      <c r="I60" t="s">
        <v>50</v>
      </c>
    </row>
    <row r="61" spans="1:9" x14ac:dyDescent="0.25">
      <c r="A61">
        <v>271</v>
      </c>
      <c r="B61">
        <v>45403</v>
      </c>
      <c r="C61" t="s">
        <v>35</v>
      </c>
      <c r="D61">
        <v>280</v>
      </c>
      <c r="E61" t="s">
        <v>15</v>
      </c>
      <c r="F61" t="s">
        <v>21</v>
      </c>
      <c r="G61">
        <v>4</v>
      </c>
      <c r="H61">
        <v>2024</v>
      </c>
      <c r="I61" t="s">
        <v>35</v>
      </c>
    </row>
    <row r="62" spans="1:9" x14ac:dyDescent="0.25">
      <c r="A62">
        <v>272</v>
      </c>
      <c r="B62">
        <v>45404</v>
      </c>
      <c r="C62" t="s">
        <v>34</v>
      </c>
      <c r="D62">
        <v>129</v>
      </c>
      <c r="E62" t="s">
        <v>15</v>
      </c>
      <c r="F62" t="s">
        <v>21</v>
      </c>
      <c r="G62">
        <v>4</v>
      </c>
      <c r="H62">
        <v>2024</v>
      </c>
      <c r="I62" t="s">
        <v>34</v>
      </c>
    </row>
    <row r="63" spans="1:9" x14ac:dyDescent="0.25">
      <c r="A63">
        <v>273</v>
      </c>
      <c r="B63">
        <v>45404</v>
      </c>
      <c r="C63" t="s">
        <v>64</v>
      </c>
      <c r="D63">
        <v>199</v>
      </c>
      <c r="E63" t="s">
        <v>15</v>
      </c>
      <c r="F63" t="s">
        <v>21</v>
      </c>
      <c r="G63">
        <v>4</v>
      </c>
      <c r="H63">
        <v>2024</v>
      </c>
      <c r="I63" t="s">
        <v>64</v>
      </c>
    </row>
    <row r="64" spans="1:9" x14ac:dyDescent="0.25">
      <c r="A64">
        <v>274</v>
      </c>
      <c r="B64">
        <v>45412</v>
      </c>
      <c r="C64" t="s">
        <v>149</v>
      </c>
      <c r="D64">
        <v>500</v>
      </c>
      <c r="E64" t="s">
        <v>15</v>
      </c>
      <c r="F64" t="s">
        <v>21</v>
      </c>
      <c r="G64">
        <v>4</v>
      </c>
      <c r="H64">
        <v>2024</v>
      </c>
      <c r="I64" t="s">
        <v>149</v>
      </c>
    </row>
    <row r="65" spans="1:9" x14ac:dyDescent="0.25">
      <c r="A65">
        <v>281</v>
      </c>
      <c r="B65">
        <v>45415</v>
      </c>
      <c r="C65" t="s">
        <v>28</v>
      </c>
      <c r="D65">
        <v>50</v>
      </c>
      <c r="E65" t="s">
        <v>15</v>
      </c>
      <c r="F65" t="s">
        <v>21</v>
      </c>
      <c r="G65">
        <v>5</v>
      </c>
      <c r="H65">
        <v>2024</v>
      </c>
      <c r="I65" t="s">
        <v>28</v>
      </c>
    </row>
    <row r="66" spans="1:9" x14ac:dyDescent="0.25">
      <c r="A66">
        <v>282</v>
      </c>
      <c r="B66">
        <v>45415</v>
      </c>
      <c r="C66" t="s">
        <v>28</v>
      </c>
      <c r="D66">
        <v>125</v>
      </c>
      <c r="E66" t="s">
        <v>15</v>
      </c>
      <c r="F66" t="s">
        <v>21</v>
      </c>
      <c r="G66">
        <v>5</v>
      </c>
      <c r="H66">
        <v>2024</v>
      </c>
      <c r="I66" t="s">
        <v>28</v>
      </c>
    </row>
    <row r="67" spans="1:9" x14ac:dyDescent="0.25">
      <c r="A67">
        <v>283</v>
      </c>
      <c r="B67">
        <v>45415</v>
      </c>
      <c r="C67" t="s">
        <v>64</v>
      </c>
      <c r="D67">
        <v>199</v>
      </c>
      <c r="E67" t="s">
        <v>15</v>
      </c>
      <c r="F67" t="s">
        <v>21</v>
      </c>
      <c r="G67">
        <v>5</v>
      </c>
      <c r="H67">
        <v>2024</v>
      </c>
      <c r="I67" t="s">
        <v>64</v>
      </c>
    </row>
    <row r="68" spans="1:9" x14ac:dyDescent="0.25">
      <c r="A68">
        <v>290</v>
      </c>
      <c r="B68">
        <v>45418</v>
      </c>
      <c r="C68" t="s">
        <v>28</v>
      </c>
      <c r="D68">
        <v>125</v>
      </c>
      <c r="E68" t="s">
        <v>15</v>
      </c>
      <c r="F68" t="s">
        <v>21</v>
      </c>
      <c r="G68">
        <v>5</v>
      </c>
      <c r="H68">
        <v>2024</v>
      </c>
      <c r="I68" t="s">
        <v>28</v>
      </c>
    </row>
    <row r="69" spans="1:9" x14ac:dyDescent="0.25">
      <c r="A69">
        <v>291</v>
      </c>
      <c r="B69">
        <v>45418</v>
      </c>
      <c r="C69" t="s">
        <v>28</v>
      </c>
      <c r="D69">
        <v>50</v>
      </c>
      <c r="E69" t="s">
        <v>15</v>
      </c>
      <c r="F69" t="s">
        <v>21</v>
      </c>
      <c r="G69">
        <v>5</v>
      </c>
      <c r="H69">
        <v>2024</v>
      </c>
      <c r="I69" t="s">
        <v>28</v>
      </c>
    </row>
    <row r="70" spans="1:9" x14ac:dyDescent="0.25">
      <c r="A70">
        <v>292</v>
      </c>
      <c r="B70">
        <v>45419</v>
      </c>
      <c r="C70" t="s">
        <v>24</v>
      </c>
      <c r="D70">
        <v>239</v>
      </c>
      <c r="E70" t="s">
        <v>15</v>
      </c>
      <c r="F70" t="s">
        <v>21</v>
      </c>
      <c r="G70">
        <v>5</v>
      </c>
      <c r="H70">
        <v>2024</v>
      </c>
      <c r="I70" t="s">
        <v>24</v>
      </c>
    </row>
    <row r="71" spans="1:9" x14ac:dyDescent="0.25">
      <c r="A71">
        <v>298</v>
      </c>
      <c r="B71">
        <v>45425</v>
      </c>
      <c r="C71" t="s">
        <v>154</v>
      </c>
      <c r="D71">
        <v>399</v>
      </c>
      <c r="E71" t="s">
        <v>15</v>
      </c>
      <c r="F71" t="s">
        <v>21</v>
      </c>
      <c r="G71">
        <v>5</v>
      </c>
      <c r="H71">
        <v>2024</v>
      </c>
      <c r="I71" t="s">
        <v>154</v>
      </c>
    </row>
    <row r="72" spans="1:9" x14ac:dyDescent="0.25">
      <c r="A72">
        <v>302</v>
      </c>
      <c r="B72">
        <v>45430</v>
      </c>
      <c r="C72" t="s">
        <v>28</v>
      </c>
      <c r="D72">
        <v>50</v>
      </c>
      <c r="E72" t="s">
        <v>15</v>
      </c>
      <c r="F72" t="s">
        <v>21</v>
      </c>
      <c r="G72">
        <v>5</v>
      </c>
      <c r="H72">
        <v>2024</v>
      </c>
      <c r="I72" t="s">
        <v>28</v>
      </c>
    </row>
    <row r="73" spans="1:9" x14ac:dyDescent="0.25">
      <c r="A73">
        <v>303</v>
      </c>
      <c r="B73">
        <v>45434</v>
      </c>
      <c r="C73" t="s">
        <v>34</v>
      </c>
      <c r="D73">
        <v>129</v>
      </c>
      <c r="E73" t="s">
        <v>15</v>
      </c>
      <c r="F73" t="s">
        <v>21</v>
      </c>
      <c r="G73">
        <v>5</v>
      </c>
      <c r="H73">
        <v>2024</v>
      </c>
      <c r="I73" t="s">
        <v>34</v>
      </c>
    </row>
    <row r="74" spans="1:9" x14ac:dyDescent="0.25">
      <c r="A74">
        <v>304</v>
      </c>
      <c r="B74">
        <v>45434</v>
      </c>
      <c r="C74" t="s">
        <v>35</v>
      </c>
      <c r="D74">
        <v>280</v>
      </c>
      <c r="E74" t="s">
        <v>15</v>
      </c>
      <c r="F74" t="s">
        <v>21</v>
      </c>
      <c r="G74">
        <v>5</v>
      </c>
      <c r="H74">
        <v>2024</v>
      </c>
      <c r="I74" t="s">
        <v>35</v>
      </c>
    </row>
    <row r="75" spans="1:9" x14ac:dyDescent="0.25">
      <c r="A75">
        <v>307</v>
      </c>
      <c r="B75">
        <v>45435</v>
      </c>
      <c r="C75" t="s">
        <v>64</v>
      </c>
      <c r="D75">
        <v>199</v>
      </c>
      <c r="E75" t="s">
        <v>15</v>
      </c>
      <c r="F75" t="s">
        <v>21</v>
      </c>
      <c r="G75">
        <v>5</v>
      </c>
      <c r="H75">
        <v>2024</v>
      </c>
      <c r="I75" t="s">
        <v>64</v>
      </c>
    </row>
    <row r="76" spans="1:9" x14ac:dyDescent="0.25">
      <c r="A76">
        <v>310</v>
      </c>
      <c r="B76">
        <v>45440</v>
      </c>
      <c r="C76" t="s">
        <v>28</v>
      </c>
      <c r="D76">
        <v>125</v>
      </c>
      <c r="E76" t="s">
        <v>15</v>
      </c>
      <c r="F76" t="s">
        <v>21</v>
      </c>
      <c r="G76">
        <v>5</v>
      </c>
      <c r="H76">
        <v>2024</v>
      </c>
      <c r="I76" t="s">
        <v>28</v>
      </c>
    </row>
    <row r="77" spans="1:9" x14ac:dyDescent="0.25">
      <c r="A77">
        <v>313</v>
      </c>
      <c r="B77">
        <v>45447</v>
      </c>
      <c r="C77" t="s">
        <v>28</v>
      </c>
      <c r="D77">
        <v>125</v>
      </c>
      <c r="E77" t="s">
        <v>15</v>
      </c>
      <c r="F77" t="s">
        <v>21</v>
      </c>
      <c r="G77">
        <v>6</v>
      </c>
      <c r="H77">
        <v>2024</v>
      </c>
      <c r="I77" t="s">
        <v>28</v>
      </c>
    </row>
    <row r="78" spans="1:9" x14ac:dyDescent="0.25">
      <c r="A78">
        <v>314</v>
      </c>
      <c r="B78">
        <v>45448</v>
      </c>
      <c r="C78" t="s">
        <v>50</v>
      </c>
      <c r="D78">
        <v>699</v>
      </c>
      <c r="E78" t="s">
        <v>15</v>
      </c>
      <c r="F78" t="s">
        <v>21</v>
      </c>
      <c r="G78">
        <v>6</v>
      </c>
      <c r="H78">
        <v>2024</v>
      </c>
      <c r="I78" t="s">
        <v>50</v>
      </c>
    </row>
    <row r="79" spans="1:9" x14ac:dyDescent="0.25">
      <c r="A79">
        <v>315</v>
      </c>
      <c r="B79">
        <v>45449</v>
      </c>
      <c r="C79" t="s">
        <v>28</v>
      </c>
      <c r="D79">
        <v>125</v>
      </c>
      <c r="E79" t="s">
        <v>15</v>
      </c>
      <c r="F79" t="s">
        <v>21</v>
      </c>
      <c r="G79">
        <v>6</v>
      </c>
      <c r="H79">
        <v>2024</v>
      </c>
      <c r="I79" t="s">
        <v>28</v>
      </c>
    </row>
    <row r="80" spans="1:9" x14ac:dyDescent="0.25">
      <c r="A80">
        <v>317</v>
      </c>
      <c r="B80">
        <v>45449</v>
      </c>
      <c r="C80" t="s">
        <v>24</v>
      </c>
      <c r="D80">
        <v>239</v>
      </c>
      <c r="E80" t="s">
        <v>15</v>
      </c>
      <c r="F80" t="s">
        <v>21</v>
      </c>
      <c r="G80">
        <v>6</v>
      </c>
      <c r="H80">
        <v>2024</v>
      </c>
      <c r="I80" t="s">
        <v>24</v>
      </c>
    </row>
    <row r="81" spans="1:9" x14ac:dyDescent="0.25">
      <c r="A81">
        <v>321</v>
      </c>
      <c r="B81">
        <v>45450</v>
      </c>
      <c r="C81" t="s">
        <v>28</v>
      </c>
      <c r="D81">
        <v>25</v>
      </c>
      <c r="E81" t="s">
        <v>15</v>
      </c>
      <c r="F81" t="s">
        <v>21</v>
      </c>
      <c r="G81">
        <v>6</v>
      </c>
      <c r="H81">
        <v>2024</v>
      </c>
      <c r="I81" t="s">
        <v>28</v>
      </c>
    </row>
    <row r="82" spans="1:9" x14ac:dyDescent="0.25">
      <c r="A82">
        <v>322</v>
      </c>
      <c r="B82">
        <v>45450</v>
      </c>
      <c r="C82" t="s">
        <v>28</v>
      </c>
      <c r="D82">
        <v>125</v>
      </c>
      <c r="E82" t="s">
        <v>15</v>
      </c>
      <c r="F82" t="s">
        <v>21</v>
      </c>
      <c r="G82">
        <v>6</v>
      </c>
      <c r="H82">
        <v>2024</v>
      </c>
      <c r="I82" t="s">
        <v>28</v>
      </c>
    </row>
    <row r="83" spans="1:9" x14ac:dyDescent="0.25">
      <c r="A83">
        <v>323</v>
      </c>
      <c r="B83">
        <v>45450</v>
      </c>
      <c r="C83" t="s">
        <v>28</v>
      </c>
      <c r="D83">
        <v>50</v>
      </c>
      <c r="E83" t="s">
        <v>15</v>
      </c>
      <c r="F83" t="s">
        <v>21</v>
      </c>
      <c r="G83">
        <v>6</v>
      </c>
      <c r="H83">
        <v>2024</v>
      </c>
      <c r="I83" t="s">
        <v>28</v>
      </c>
    </row>
    <row r="84" spans="1:9" x14ac:dyDescent="0.25">
      <c r="A84">
        <v>338</v>
      </c>
      <c r="B84">
        <v>45453</v>
      </c>
      <c r="C84" t="s">
        <v>64</v>
      </c>
      <c r="D84">
        <v>199</v>
      </c>
      <c r="E84" t="s">
        <v>15</v>
      </c>
      <c r="F84" t="s">
        <v>21</v>
      </c>
      <c r="G84">
        <v>6</v>
      </c>
      <c r="H84">
        <v>2024</v>
      </c>
      <c r="I84" t="s">
        <v>64</v>
      </c>
    </row>
    <row r="85" spans="1:9" x14ac:dyDescent="0.25">
      <c r="A85">
        <v>342</v>
      </c>
      <c r="B85">
        <v>45456</v>
      </c>
      <c r="C85" t="s">
        <v>28</v>
      </c>
      <c r="D85">
        <v>125</v>
      </c>
      <c r="E85" t="s">
        <v>15</v>
      </c>
      <c r="F85" t="s">
        <v>21</v>
      </c>
      <c r="G85">
        <v>6</v>
      </c>
      <c r="H85">
        <v>2024</v>
      </c>
      <c r="I85" t="s">
        <v>28</v>
      </c>
    </row>
    <row r="86" spans="1:9" x14ac:dyDescent="0.25">
      <c r="A86">
        <v>343</v>
      </c>
      <c r="B86">
        <v>45457</v>
      </c>
      <c r="C86" t="s">
        <v>28</v>
      </c>
      <c r="D86">
        <v>50</v>
      </c>
      <c r="E86" t="s">
        <v>15</v>
      </c>
      <c r="F86" t="s">
        <v>21</v>
      </c>
      <c r="G86">
        <v>6</v>
      </c>
      <c r="H86">
        <v>2024</v>
      </c>
      <c r="I86" t="s">
        <v>28</v>
      </c>
    </row>
    <row r="87" spans="1:9" x14ac:dyDescent="0.25">
      <c r="A87">
        <v>349</v>
      </c>
      <c r="B87">
        <v>45463</v>
      </c>
      <c r="C87" t="s">
        <v>64</v>
      </c>
      <c r="D87">
        <v>199</v>
      </c>
      <c r="E87" t="s">
        <v>15</v>
      </c>
      <c r="F87" t="s">
        <v>21</v>
      </c>
      <c r="G87">
        <v>6</v>
      </c>
      <c r="H87">
        <v>2024</v>
      </c>
      <c r="I87" t="s">
        <v>64</v>
      </c>
    </row>
    <row r="88" spans="1:9" x14ac:dyDescent="0.25">
      <c r="A88">
        <v>350</v>
      </c>
      <c r="B88">
        <v>45463</v>
      </c>
      <c r="C88" t="s">
        <v>28</v>
      </c>
      <c r="D88">
        <v>50</v>
      </c>
      <c r="E88" t="s">
        <v>15</v>
      </c>
      <c r="F88" t="s">
        <v>21</v>
      </c>
      <c r="G88">
        <v>6</v>
      </c>
      <c r="H88">
        <v>2024</v>
      </c>
      <c r="I88" t="s">
        <v>28</v>
      </c>
    </row>
    <row r="89" spans="1:9" x14ac:dyDescent="0.25">
      <c r="A89">
        <v>351</v>
      </c>
      <c r="B89">
        <v>45464</v>
      </c>
      <c r="C89" t="s">
        <v>34</v>
      </c>
      <c r="D89">
        <v>129</v>
      </c>
      <c r="E89" t="s">
        <v>15</v>
      </c>
      <c r="F89" t="s">
        <v>21</v>
      </c>
      <c r="G89">
        <v>6</v>
      </c>
      <c r="H89">
        <v>2024</v>
      </c>
      <c r="I89" t="s">
        <v>34</v>
      </c>
    </row>
    <row r="90" spans="1:9" x14ac:dyDescent="0.25">
      <c r="A90">
        <v>352</v>
      </c>
      <c r="B90">
        <v>45465</v>
      </c>
      <c r="C90" t="s">
        <v>176</v>
      </c>
      <c r="D90">
        <v>129</v>
      </c>
      <c r="E90" t="s">
        <v>15</v>
      </c>
      <c r="F90" t="s">
        <v>21</v>
      </c>
      <c r="G90">
        <v>6</v>
      </c>
      <c r="H90">
        <v>2024</v>
      </c>
      <c r="I90" t="s">
        <v>176</v>
      </c>
    </row>
    <row r="91" spans="1:9" x14ac:dyDescent="0.25">
      <c r="A91">
        <v>353</v>
      </c>
      <c r="B91">
        <v>45466</v>
      </c>
      <c r="C91" t="s">
        <v>28</v>
      </c>
      <c r="D91">
        <v>50</v>
      </c>
      <c r="E91" t="s">
        <v>15</v>
      </c>
      <c r="F91" t="s">
        <v>21</v>
      </c>
      <c r="G91">
        <v>6</v>
      </c>
      <c r="H91">
        <v>2024</v>
      </c>
      <c r="I91" t="s">
        <v>28</v>
      </c>
    </row>
    <row r="92" spans="1:9" x14ac:dyDescent="0.25">
      <c r="A92">
        <v>354</v>
      </c>
      <c r="B92">
        <v>45466</v>
      </c>
      <c r="C92" t="s">
        <v>28</v>
      </c>
      <c r="D92">
        <v>50</v>
      </c>
      <c r="E92" t="s">
        <v>15</v>
      </c>
      <c r="F92" t="s">
        <v>21</v>
      </c>
      <c r="G92">
        <v>6</v>
      </c>
      <c r="H92">
        <v>2024</v>
      </c>
      <c r="I92" t="s">
        <v>28</v>
      </c>
    </row>
    <row r="93" spans="1:9" x14ac:dyDescent="0.25">
      <c r="A93">
        <v>355</v>
      </c>
      <c r="B93">
        <v>45466</v>
      </c>
      <c r="C93" t="s">
        <v>28</v>
      </c>
      <c r="D93">
        <v>125</v>
      </c>
      <c r="E93" t="s">
        <v>15</v>
      </c>
      <c r="F93" t="s">
        <v>21</v>
      </c>
      <c r="G93">
        <v>6</v>
      </c>
      <c r="H93">
        <v>2024</v>
      </c>
      <c r="I93" t="s">
        <v>28</v>
      </c>
    </row>
    <row r="94" spans="1:9" x14ac:dyDescent="0.25">
      <c r="A94">
        <v>358</v>
      </c>
      <c r="B94">
        <v>45470</v>
      </c>
      <c r="C94" t="s">
        <v>28</v>
      </c>
      <c r="D94">
        <v>50</v>
      </c>
      <c r="E94" t="s">
        <v>15</v>
      </c>
      <c r="F94" t="s">
        <v>21</v>
      </c>
      <c r="G94">
        <v>6</v>
      </c>
      <c r="H94">
        <v>2024</v>
      </c>
      <c r="I94" t="s">
        <v>28</v>
      </c>
    </row>
    <row r="95" spans="1:9" x14ac:dyDescent="0.25">
      <c r="A95">
        <v>359</v>
      </c>
      <c r="B95">
        <v>45470</v>
      </c>
      <c r="C95" t="s">
        <v>28</v>
      </c>
      <c r="D95">
        <v>50</v>
      </c>
      <c r="E95" t="s">
        <v>15</v>
      </c>
      <c r="F95" t="s">
        <v>21</v>
      </c>
      <c r="G95">
        <v>6</v>
      </c>
      <c r="H95">
        <v>2024</v>
      </c>
      <c r="I95" t="s">
        <v>28</v>
      </c>
    </row>
    <row r="96" spans="1:9" x14ac:dyDescent="0.25">
      <c r="A96">
        <v>360</v>
      </c>
      <c r="B96">
        <v>45471</v>
      </c>
      <c r="C96" t="s">
        <v>176</v>
      </c>
      <c r="D96">
        <v>129</v>
      </c>
      <c r="E96" t="s">
        <v>15</v>
      </c>
      <c r="F96" t="s">
        <v>21</v>
      </c>
      <c r="G96">
        <v>6</v>
      </c>
      <c r="H96">
        <v>2024</v>
      </c>
      <c r="I96" t="s">
        <v>176</v>
      </c>
    </row>
    <row r="97" spans="1:9" x14ac:dyDescent="0.25">
      <c r="A97">
        <v>361</v>
      </c>
      <c r="B97">
        <v>45471</v>
      </c>
      <c r="C97" t="s">
        <v>28</v>
      </c>
      <c r="D97">
        <v>125</v>
      </c>
      <c r="E97" t="s">
        <v>15</v>
      </c>
      <c r="F97" t="s">
        <v>21</v>
      </c>
      <c r="G97">
        <v>6</v>
      </c>
      <c r="H97">
        <v>2024</v>
      </c>
      <c r="I97" t="s">
        <v>28</v>
      </c>
    </row>
    <row r="98" spans="1:9" x14ac:dyDescent="0.25">
      <c r="A98">
        <v>362</v>
      </c>
      <c r="B98">
        <v>45471</v>
      </c>
      <c r="C98" t="s">
        <v>177</v>
      </c>
      <c r="D98">
        <v>150</v>
      </c>
      <c r="E98" t="s">
        <v>15</v>
      </c>
      <c r="F98" t="s">
        <v>21</v>
      </c>
      <c r="G98">
        <v>6</v>
      </c>
      <c r="H98">
        <v>2024</v>
      </c>
      <c r="I98" t="s">
        <v>323</v>
      </c>
    </row>
    <row r="99" spans="1:9" x14ac:dyDescent="0.25">
      <c r="A99">
        <v>372</v>
      </c>
      <c r="B99">
        <v>45474</v>
      </c>
      <c r="C99" t="s">
        <v>64</v>
      </c>
      <c r="D99">
        <v>199</v>
      </c>
      <c r="E99" t="s">
        <v>15</v>
      </c>
      <c r="F99" t="s">
        <v>21</v>
      </c>
      <c r="G99">
        <v>7</v>
      </c>
      <c r="H99">
        <v>2024</v>
      </c>
      <c r="I99" t="s">
        <v>64</v>
      </c>
    </row>
    <row r="100" spans="1:9" x14ac:dyDescent="0.25">
      <c r="A100">
        <v>375</v>
      </c>
      <c r="B100">
        <v>45479</v>
      </c>
      <c r="C100" t="s">
        <v>24</v>
      </c>
      <c r="D100">
        <v>239</v>
      </c>
      <c r="E100" t="s">
        <v>15</v>
      </c>
      <c r="F100" t="s">
        <v>21</v>
      </c>
      <c r="G100">
        <v>7</v>
      </c>
      <c r="H100">
        <v>2024</v>
      </c>
      <c r="I100" t="s">
        <v>24</v>
      </c>
    </row>
    <row r="101" spans="1:9" x14ac:dyDescent="0.25">
      <c r="A101">
        <v>377</v>
      </c>
      <c r="B101">
        <v>45483</v>
      </c>
      <c r="C101" t="s">
        <v>183</v>
      </c>
      <c r="D101">
        <v>188</v>
      </c>
      <c r="E101" t="s">
        <v>15</v>
      </c>
      <c r="F101" t="s">
        <v>21</v>
      </c>
      <c r="G101">
        <v>7</v>
      </c>
      <c r="H101">
        <v>2024</v>
      </c>
      <c r="I101" t="s">
        <v>324</v>
      </c>
    </row>
    <row r="102" spans="1:9" x14ac:dyDescent="0.25">
      <c r="A102">
        <v>378</v>
      </c>
      <c r="B102">
        <v>45483</v>
      </c>
      <c r="C102" t="s">
        <v>184</v>
      </c>
      <c r="D102">
        <v>50</v>
      </c>
      <c r="E102" t="s">
        <v>15</v>
      </c>
      <c r="F102" t="s">
        <v>21</v>
      </c>
      <c r="G102">
        <v>7</v>
      </c>
      <c r="H102">
        <v>2024</v>
      </c>
      <c r="I102" t="s">
        <v>28</v>
      </c>
    </row>
    <row r="103" spans="1:9" x14ac:dyDescent="0.25">
      <c r="A103">
        <v>379</v>
      </c>
      <c r="B103">
        <v>45483</v>
      </c>
      <c r="C103" t="s">
        <v>184</v>
      </c>
      <c r="D103">
        <v>125</v>
      </c>
      <c r="E103" t="s">
        <v>15</v>
      </c>
      <c r="F103" t="s">
        <v>21</v>
      </c>
      <c r="G103">
        <v>7</v>
      </c>
      <c r="H103">
        <v>2024</v>
      </c>
      <c r="I103" t="s">
        <v>28</v>
      </c>
    </row>
    <row r="104" spans="1:9" x14ac:dyDescent="0.25">
      <c r="A104">
        <v>381</v>
      </c>
      <c r="B104">
        <v>45485</v>
      </c>
      <c r="C104" t="s">
        <v>28</v>
      </c>
      <c r="D104">
        <v>50</v>
      </c>
      <c r="E104" t="s">
        <v>15</v>
      </c>
      <c r="F104" t="s">
        <v>21</v>
      </c>
      <c r="G104">
        <v>7</v>
      </c>
      <c r="H104">
        <v>2024</v>
      </c>
      <c r="I104" t="s">
        <v>28</v>
      </c>
    </row>
    <row r="105" spans="1:9" x14ac:dyDescent="0.25">
      <c r="A105">
        <v>391</v>
      </c>
      <c r="B105">
        <v>45490</v>
      </c>
      <c r="C105" t="s">
        <v>64</v>
      </c>
      <c r="D105">
        <v>199</v>
      </c>
      <c r="E105" t="s">
        <v>15</v>
      </c>
      <c r="F105" t="s">
        <v>21</v>
      </c>
      <c r="G105">
        <v>7</v>
      </c>
      <c r="H105">
        <v>2024</v>
      </c>
      <c r="I105" t="s">
        <v>64</v>
      </c>
    </row>
    <row r="106" spans="1:9" x14ac:dyDescent="0.25">
      <c r="A106">
        <v>392</v>
      </c>
      <c r="B106">
        <v>45490</v>
      </c>
      <c r="C106" t="s">
        <v>50</v>
      </c>
      <c r="D106">
        <v>699</v>
      </c>
      <c r="E106" t="s">
        <v>15</v>
      </c>
      <c r="F106" t="s">
        <v>21</v>
      </c>
      <c r="G106">
        <v>7</v>
      </c>
      <c r="H106">
        <v>2024</v>
      </c>
      <c r="I106" t="s">
        <v>50</v>
      </c>
    </row>
    <row r="107" spans="1:9" x14ac:dyDescent="0.25">
      <c r="A107">
        <v>399</v>
      </c>
      <c r="B107">
        <v>45495</v>
      </c>
      <c r="C107" t="s">
        <v>34</v>
      </c>
      <c r="D107">
        <v>129</v>
      </c>
      <c r="E107" t="s">
        <v>15</v>
      </c>
      <c r="F107" t="s">
        <v>21</v>
      </c>
      <c r="G107">
        <v>7</v>
      </c>
      <c r="H107">
        <v>2024</v>
      </c>
      <c r="I107" t="s">
        <v>34</v>
      </c>
    </row>
    <row r="108" spans="1:9" x14ac:dyDescent="0.25">
      <c r="A108">
        <v>400</v>
      </c>
      <c r="B108">
        <v>45495</v>
      </c>
      <c r="C108" t="s">
        <v>195</v>
      </c>
      <c r="D108">
        <v>650</v>
      </c>
      <c r="E108" t="s">
        <v>15</v>
      </c>
      <c r="F108" t="s">
        <v>21</v>
      </c>
      <c r="G108">
        <v>7</v>
      </c>
      <c r="H108">
        <v>2024</v>
      </c>
      <c r="I108" t="s">
        <v>195</v>
      </c>
    </row>
    <row r="109" spans="1:9" x14ac:dyDescent="0.25">
      <c r="A109">
        <v>407</v>
      </c>
      <c r="B109">
        <v>45498</v>
      </c>
      <c r="C109" t="s">
        <v>198</v>
      </c>
      <c r="D109">
        <v>125</v>
      </c>
      <c r="E109" t="s">
        <v>15</v>
      </c>
      <c r="F109" t="s">
        <v>21</v>
      </c>
      <c r="G109">
        <v>7</v>
      </c>
      <c r="H109">
        <v>2024</v>
      </c>
      <c r="I109" t="s">
        <v>198</v>
      </c>
    </row>
    <row r="110" spans="1:9" x14ac:dyDescent="0.25">
      <c r="A110">
        <v>419</v>
      </c>
      <c r="B110">
        <v>45503</v>
      </c>
      <c r="C110" t="s">
        <v>184</v>
      </c>
      <c r="D110">
        <v>125</v>
      </c>
      <c r="E110" t="s">
        <v>15</v>
      </c>
      <c r="F110" t="s">
        <v>21</v>
      </c>
      <c r="G110">
        <v>7</v>
      </c>
      <c r="H110">
        <v>2024</v>
      </c>
      <c r="I110" t="s">
        <v>28</v>
      </c>
    </row>
    <row r="111" spans="1:9" x14ac:dyDescent="0.25">
      <c r="A111">
        <v>420</v>
      </c>
      <c r="B111">
        <v>45503</v>
      </c>
      <c r="C111" t="s">
        <v>28</v>
      </c>
      <c r="D111">
        <v>125</v>
      </c>
      <c r="E111" t="s">
        <v>15</v>
      </c>
      <c r="F111" t="s">
        <v>21</v>
      </c>
      <c r="G111">
        <v>7</v>
      </c>
      <c r="H111">
        <v>2024</v>
      </c>
      <c r="I111" t="s">
        <v>28</v>
      </c>
    </row>
    <row r="112" spans="1:9" x14ac:dyDescent="0.25">
      <c r="A112">
        <v>424</v>
      </c>
      <c r="B112">
        <v>45506</v>
      </c>
      <c r="C112" t="s">
        <v>64</v>
      </c>
      <c r="D112">
        <v>199</v>
      </c>
      <c r="E112" t="s">
        <v>15</v>
      </c>
      <c r="F112" t="s">
        <v>21</v>
      </c>
      <c r="G112">
        <v>8</v>
      </c>
      <c r="H112">
        <v>2024</v>
      </c>
      <c r="I112" t="s">
        <v>64</v>
      </c>
    </row>
    <row r="113" spans="1:9" x14ac:dyDescent="0.25">
      <c r="A113">
        <v>434</v>
      </c>
      <c r="B113">
        <v>45510</v>
      </c>
      <c r="C113" t="s">
        <v>24</v>
      </c>
      <c r="D113">
        <v>239</v>
      </c>
      <c r="E113" t="s">
        <v>15</v>
      </c>
      <c r="F113" t="s">
        <v>21</v>
      </c>
      <c r="G113">
        <v>8</v>
      </c>
      <c r="H113">
        <v>2024</v>
      </c>
      <c r="I113" t="s">
        <v>24</v>
      </c>
    </row>
    <row r="114" spans="1:9" x14ac:dyDescent="0.25">
      <c r="A114">
        <v>439</v>
      </c>
      <c r="B114">
        <v>45513</v>
      </c>
      <c r="C114" t="s">
        <v>64</v>
      </c>
      <c r="D114">
        <v>199</v>
      </c>
      <c r="E114" t="s">
        <v>15</v>
      </c>
      <c r="F114" t="s">
        <v>21</v>
      </c>
      <c r="G114">
        <v>8</v>
      </c>
      <c r="H114">
        <v>2024</v>
      </c>
      <c r="I114" t="s">
        <v>64</v>
      </c>
    </row>
    <row r="115" spans="1:9" x14ac:dyDescent="0.25">
      <c r="A115">
        <v>447</v>
      </c>
      <c r="B115">
        <v>45519</v>
      </c>
      <c r="C115" t="s">
        <v>28</v>
      </c>
      <c r="D115">
        <v>125</v>
      </c>
      <c r="E115" t="s">
        <v>15</v>
      </c>
      <c r="F115" t="s">
        <v>21</v>
      </c>
      <c r="G115">
        <v>8</v>
      </c>
      <c r="H115">
        <v>2024</v>
      </c>
      <c r="I115" t="s">
        <v>28</v>
      </c>
    </row>
    <row r="116" spans="1:9" x14ac:dyDescent="0.25">
      <c r="A116">
        <v>457</v>
      </c>
      <c r="B116">
        <v>45533</v>
      </c>
      <c r="C116" t="s">
        <v>216</v>
      </c>
      <c r="D116">
        <v>1000</v>
      </c>
      <c r="E116" t="s">
        <v>15</v>
      </c>
      <c r="F116" t="s">
        <v>21</v>
      </c>
      <c r="G116">
        <v>8</v>
      </c>
      <c r="H116">
        <v>2024</v>
      </c>
      <c r="I116" t="s">
        <v>216</v>
      </c>
    </row>
    <row r="117" spans="1:9" x14ac:dyDescent="0.25">
      <c r="A117">
        <v>462</v>
      </c>
      <c r="B117">
        <v>45539</v>
      </c>
      <c r="C117" t="s">
        <v>184</v>
      </c>
      <c r="D117">
        <v>125</v>
      </c>
      <c r="E117" t="s">
        <v>15</v>
      </c>
      <c r="F117" t="s">
        <v>21</v>
      </c>
      <c r="G117">
        <v>9</v>
      </c>
      <c r="H117">
        <v>2024</v>
      </c>
      <c r="I117" t="s">
        <v>28</v>
      </c>
    </row>
    <row r="118" spans="1:9" x14ac:dyDescent="0.25">
      <c r="A118">
        <v>463</v>
      </c>
      <c r="B118">
        <v>45540</v>
      </c>
      <c r="C118" t="s">
        <v>184</v>
      </c>
      <c r="D118">
        <v>50</v>
      </c>
      <c r="E118" t="s">
        <v>15</v>
      </c>
      <c r="F118" t="s">
        <v>21</v>
      </c>
      <c r="G118">
        <v>9</v>
      </c>
      <c r="H118">
        <v>2024</v>
      </c>
      <c r="I118" t="s">
        <v>28</v>
      </c>
    </row>
    <row r="119" spans="1:9" x14ac:dyDescent="0.25">
      <c r="A119">
        <v>464</v>
      </c>
      <c r="B119">
        <v>45540</v>
      </c>
      <c r="C119" t="s">
        <v>219</v>
      </c>
      <c r="D119">
        <v>15</v>
      </c>
      <c r="E119" t="s">
        <v>15</v>
      </c>
      <c r="F119" t="s">
        <v>21</v>
      </c>
      <c r="G119">
        <v>9</v>
      </c>
      <c r="H119">
        <v>2024</v>
      </c>
      <c r="I119" t="s">
        <v>219</v>
      </c>
    </row>
    <row r="120" spans="1:9" x14ac:dyDescent="0.25">
      <c r="A120">
        <v>465</v>
      </c>
      <c r="B120">
        <v>45540</v>
      </c>
      <c r="C120" t="s">
        <v>184</v>
      </c>
      <c r="D120">
        <v>25</v>
      </c>
      <c r="E120" t="s">
        <v>15</v>
      </c>
      <c r="F120" t="s">
        <v>21</v>
      </c>
      <c r="G120">
        <v>9</v>
      </c>
      <c r="H120">
        <v>2024</v>
      </c>
      <c r="I120" t="s">
        <v>28</v>
      </c>
    </row>
    <row r="121" spans="1:9" x14ac:dyDescent="0.25">
      <c r="A121">
        <v>467</v>
      </c>
      <c r="B121">
        <v>45541</v>
      </c>
      <c r="C121" t="s">
        <v>24</v>
      </c>
      <c r="D121">
        <v>239</v>
      </c>
      <c r="E121" t="s">
        <v>15</v>
      </c>
      <c r="F121" t="s">
        <v>21</v>
      </c>
      <c r="G121">
        <v>9</v>
      </c>
      <c r="H121">
        <v>2024</v>
      </c>
      <c r="I121" t="s">
        <v>24</v>
      </c>
    </row>
    <row r="122" spans="1:9" x14ac:dyDescent="0.25">
      <c r="A122">
        <v>471</v>
      </c>
      <c r="B122">
        <v>45547</v>
      </c>
      <c r="C122" t="s">
        <v>184</v>
      </c>
      <c r="D122">
        <v>125</v>
      </c>
      <c r="E122" t="s">
        <v>15</v>
      </c>
      <c r="F122" t="s">
        <v>21</v>
      </c>
      <c r="G122">
        <v>9</v>
      </c>
      <c r="H122">
        <v>2024</v>
      </c>
      <c r="I122" t="s">
        <v>28</v>
      </c>
    </row>
    <row r="123" spans="1:9" x14ac:dyDescent="0.25">
      <c r="A123">
        <v>485</v>
      </c>
      <c r="B123">
        <v>45555</v>
      </c>
      <c r="C123" t="s">
        <v>50</v>
      </c>
      <c r="D123">
        <v>700</v>
      </c>
      <c r="E123" t="s">
        <v>15</v>
      </c>
      <c r="F123" t="s">
        <v>21</v>
      </c>
      <c r="G123">
        <v>9</v>
      </c>
      <c r="H123">
        <v>2024</v>
      </c>
      <c r="I123" t="s">
        <v>50</v>
      </c>
    </row>
    <row r="124" spans="1:9" x14ac:dyDescent="0.25">
      <c r="A124">
        <v>486</v>
      </c>
      <c r="B124">
        <v>45555</v>
      </c>
      <c r="C124" t="s">
        <v>64</v>
      </c>
      <c r="D124">
        <v>200</v>
      </c>
      <c r="E124" t="s">
        <v>15</v>
      </c>
      <c r="F124" t="s">
        <v>21</v>
      </c>
      <c r="G124">
        <v>9</v>
      </c>
      <c r="H124">
        <v>2024</v>
      </c>
      <c r="I124" t="s">
        <v>64</v>
      </c>
    </row>
    <row r="125" spans="1:9" x14ac:dyDescent="0.25">
      <c r="A125">
        <v>491</v>
      </c>
      <c r="B125">
        <v>45557</v>
      </c>
      <c r="C125" t="s">
        <v>34</v>
      </c>
      <c r="D125">
        <v>129</v>
      </c>
      <c r="E125" t="s">
        <v>15</v>
      </c>
      <c r="F125" t="s">
        <v>21</v>
      </c>
      <c r="G125">
        <v>9</v>
      </c>
      <c r="H125">
        <v>2024</v>
      </c>
      <c r="I125" t="s">
        <v>34</v>
      </c>
    </row>
    <row r="126" spans="1:9" x14ac:dyDescent="0.25">
      <c r="A126">
        <v>510</v>
      </c>
      <c r="B126">
        <v>45570</v>
      </c>
      <c r="C126" t="s">
        <v>184</v>
      </c>
      <c r="D126">
        <v>125</v>
      </c>
      <c r="E126" t="s">
        <v>15</v>
      </c>
      <c r="F126" t="s">
        <v>21</v>
      </c>
      <c r="G126">
        <v>10</v>
      </c>
      <c r="H126">
        <v>2024</v>
      </c>
      <c r="I126" t="s">
        <v>28</v>
      </c>
    </row>
    <row r="127" spans="1:9" x14ac:dyDescent="0.25">
      <c r="A127">
        <v>511</v>
      </c>
      <c r="B127">
        <v>45570</v>
      </c>
      <c r="C127" t="s">
        <v>28</v>
      </c>
      <c r="D127">
        <v>50</v>
      </c>
      <c r="E127" t="s">
        <v>15</v>
      </c>
      <c r="F127" t="s">
        <v>21</v>
      </c>
      <c r="G127">
        <v>10</v>
      </c>
      <c r="H127">
        <v>2024</v>
      </c>
      <c r="I127" t="s">
        <v>28</v>
      </c>
    </row>
    <row r="128" spans="1:9" x14ac:dyDescent="0.25">
      <c r="A128">
        <v>512</v>
      </c>
      <c r="B128">
        <v>45571</v>
      </c>
      <c r="C128" t="s">
        <v>24</v>
      </c>
      <c r="D128">
        <v>239</v>
      </c>
      <c r="E128" t="s">
        <v>15</v>
      </c>
      <c r="F128" t="s">
        <v>21</v>
      </c>
      <c r="G128">
        <v>10</v>
      </c>
      <c r="H128">
        <v>2024</v>
      </c>
      <c r="I128" t="s">
        <v>24</v>
      </c>
    </row>
    <row r="129" spans="1:9" x14ac:dyDescent="0.25">
      <c r="A129">
        <v>515</v>
      </c>
      <c r="B129">
        <v>45575</v>
      </c>
      <c r="C129" t="s">
        <v>64</v>
      </c>
      <c r="D129">
        <v>199</v>
      </c>
      <c r="E129" t="s">
        <v>15</v>
      </c>
      <c r="F129" t="s">
        <v>21</v>
      </c>
      <c r="G129">
        <v>10</v>
      </c>
      <c r="H129">
        <v>2024</v>
      </c>
      <c r="I129" t="s">
        <v>64</v>
      </c>
    </row>
    <row r="130" spans="1:9" x14ac:dyDescent="0.25">
      <c r="A130">
        <v>525</v>
      </c>
      <c r="B130">
        <v>45581</v>
      </c>
      <c r="C130" t="s">
        <v>184</v>
      </c>
      <c r="D130">
        <v>125</v>
      </c>
      <c r="E130" t="s">
        <v>15</v>
      </c>
      <c r="F130" t="s">
        <v>21</v>
      </c>
      <c r="G130">
        <v>10</v>
      </c>
      <c r="H130">
        <v>2024</v>
      </c>
      <c r="I130" t="s">
        <v>28</v>
      </c>
    </row>
    <row r="131" spans="1:9" x14ac:dyDescent="0.25">
      <c r="A131">
        <v>526</v>
      </c>
      <c r="B131">
        <v>45583</v>
      </c>
      <c r="C131" t="s">
        <v>64</v>
      </c>
      <c r="D131">
        <v>199</v>
      </c>
      <c r="E131" t="s">
        <v>15</v>
      </c>
      <c r="F131" t="s">
        <v>21</v>
      </c>
      <c r="G131">
        <v>10</v>
      </c>
      <c r="H131">
        <v>2024</v>
      </c>
      <c r="I131" t="s">
        <v>64</v>
      </c>
    </row>
    <row r="132" spans="1:9" x14ac:dyDescent="0.25">
      <c r="A132">
        <v>527</v>
      </c>
      <c r="B132">
        <v>45584</v>
      </c>
      <c r="C132" t="s">
        <v>28</v>
      </c>
      <c r="D132">
        <v>125</v>
      </c>
      <c r="E132" t="s">
        <v>15</v>
      </c>
      <c r="F132" t="s">
        <v>21</v>
      </c>
      <c r="G132">
        <v>10</v>
      </c>
      <c r="H132">
        <v>2024</v>
      </c>
      <c r="I132" t="s">
        <v>28</v>
      </c>
    </row>
    <row r="133" spans="1:9" x14ac:dyDescent="0.25">
      <c r="A133">
        <v>529</v>
      </c>
      <c r="B133">
        <v>45587</v>
      </c>
      <c r="C133" t="s">
        <v>34</v>
      </c>
      <c r="D133">
        <v>129</v>
      </c>
      <c r="E133" t="s">
        <v>15</v>
      </c>
      <c r="F133" t="s">
        <v>21</v>
      </c>
      <c r="G133">
        <v>10</v>
      </c>
      <c r="H133">
        <v>2024</v>
      </c>
      <c r="I133" t="s">
        <v>34</v>
      </c>
    </row>
    <row r="134" spans="1:9" x14ac:dyDescent="0.25">
      <c r="A134">
        <v>531</v>
      </c>
      <c r="B134">
        <v>45588</v>
      </c>
      <c r="C134" t="s">
        <v>28</v>
      </c>
      <c r="D134">
        <v>125</v>
      </c>
      <c r="E134" t="s">
        <v>15</v>
      </c>
      <c r="F134" t="s">
        <v>21</v>
      </c>
      <c r="G134">
        <v>10</v>
      </c>
      <c r="H134">
        <v>2024</v>
      </c>
      <c r="I134" t="s">
        <v>28</v>
      </c>
    </row>
    <row r="135" spans="1:9" x14ac:dyDescent="0.25">
      <c r="A135">
        <v>532</v>
      </c>
      <c r="B135">
        <v>45589</v>
      </c>
      <c r="C135" t="s">
        <v>28</v>
      </c>
      <c r="D135">
        <v>125</v>
      </c>
      <c r="E135" t="s">
        <v>15</v>
      </c>
      <c r="F135" t="s">
        <v>21</v>
      </c>
      <c r="G135">
        <v>10</v>
      </c>
      <c r="H135">
        <v>2024</v>
      </c>
      <c r="I135" t="s">
        <v>28</v>
      </c>
    </row>
    <row r="136" spans="1:9" x14ac:dyDescent="0.25">
      <c r="A136">
        <v>534</v>
      </c>
      <c r="B136">
        <v>45590</v>
      </c>
      <c r="C136" t="s">
        <v>28</v>
      </c>
      <c r="D136">
        <v>25</v>
      </c>
      <c r="E136" t="s">
        <v>15</v>
      </c>
      <c r="F136" t="s">
        <v>21</v>
      </c>
      <c r="G136">
        <v>10</v>
      </c>
      <c r="H136">
        <v>2024</v>
      </c>
      <c r="I136" t="s">
        <v>28</v>
      </c>
    </row>
    <row r="137" spans="1:9" x14ac:dyDescent="0.25">
      <c r="A137">
        <v>536</v>
      </c>
      <c r="B137">
        <v>45591</v>
      </c>
      <c r="C137" t="s">
        <v>64</v>
      </c>
      <c r="D137">
        <v>199</v>
      </c>
      <c r="E137" t="s">
        <v>15</v>
      </c>
      <c r="F137" t="s">
        <v>21</v>
      </c>
      <c r="G137">
        <v>10</v>
      </c>
      <c r="H137">
        <v>2024</v>
      </c>
      <c r="I137" t="s">
        <v>64</v>
      </c>
    </row>
    <row r="138" spans="1:9" x14ac:dyDescent="0.25">
      <c r="A138">
        <v>538</v>
      </c>
      <c r="B138">
        <v>45595</v>
      </c>
      <c r="C138" t="s">
        <v>239</v>
      </c>
      <c r="D138">
        <v>92</v>
      </c>
      <c r="E138" t="s">
        <v>15</v>
      </c>
      <c r="F138" t="s">
        <v>21</v>
      </c>
      <c r="G138">
        <v>10</v>
      </c>
      <c r="H138">
        <v>2024</v>
      </c>
      <c r="I138" t="s">
        <v>324</v>
      </c>
    </row>
    <row r="139" spans="1:9" x14ac:dyDescent="0.25">
      <c r="A139">
        <v>542</v>
      </c>
      <c r="B139">
        <v>45599</v>
      </c>
      <c r="C139" t="s">
        <v>64</v>
      </c>
      <c r="D139">
        <v>199</v>
      </c>
      <c r="E139" t="s">
        <v>15</v>
      </c>
      <c r="F139" t="s">
        <v>21</v>
      </c>
      <c r="G139">
        <v>11</v>
      </c>
      <c r="H139">
        <v>2024</v>
      </c>
      <c r="I139" t="s">
        <v>64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E2506-73E2-43DE-B9C5-E0803842DACA}">
  <dimension ref="A1:N67"/>
  <sheetViews>
    <sheetView topLeftCell="A31" workbookViewId="0">
      <selection activeCell="N1" sqref="N1:N67"/>
    </sheetView>
  </sheetViews>
  <sheetFormatPr defaultRowHeight="15" x14ac:dyDescent="0.25"/>
  <cols>
    <col min="1" max="1" width="10.42578125" customWidth="1"/>
    <col min="4" max="4" width="9.5703125" customWidth="1"/>
    <col min="5" max="5" width="12.7109375" customWidth="1"/>
    <col min="6" max="6" width="18.7109375" customWidth="1"/>
    <col min="9" max="9" width="15.7109375" customWidth="1"/>
    <col min="14" max="14" width="10" customWidth="1"/>
  </cols>
  <sheetData>
    <row r="1" spans="1:14" x14ac:dyDescent="0.25">
      <c r="A1" t="s">
        <v>0</v>
      </c>
      <c r="B1" t="s">
        <v>1</v>
      </c>
      <c r="C1" t="s">
        <v>2</v>
      </c>
      <c r="D1" t="s">
        <v>3</v>
      </c>
      <c r="E1" t="s">
        <v>4</v>
      </c>
      <c r="F1" t="s">
        <v>5</v>
      </c>
      <c r="G1" t="s">
        <v>292</v>
      </c>
      <c r="H1" t="s">
        <v>293</v>
      </c>
      <c r="I1" t="s">
        <v>317</v>
      </c>
      <c r="N1" t="s">
        <v>3</v>
      </c>
    </row>
    <row r="2" spans="1:14" x14ac:dyDescent="0.25">
      <c r="A2">
        <v>19</v>
      </c>
      <c r="B2">
        <v>45243</v>
      </c>
      <c r="C2" t="s">
        <v>28</v>
      </c>
      <c r="D2">
        <v>25</v>
      </c>
      <c r="E2" t="s">
        <v>15</v>
      </c>
      <c r="F2" t="s">
        <v>21</v>
      </c>
      <c r="G2">
        <v>11</v>
      </c>
      <c r="H2">
        <v>2023</v>
      </c>
      <c r="I2" t="s">
        <v>28</v>
      </c>
      <c r="N2">
        <v>25</v>
      </c>
    </row>
    <row r="3" spans="1:14" x14ac:dyDescent="0.25">
      <c r="A3">
        <v>20</v>
      </c>
      <c r="B3">
        <v>45243</v>
      </c>
      <c r="C3" t="s">
        <v>28</v>
      </c>
      <c r="D3">
        <v>125</v>
      </c>
      <c r="E3" t="s">
        <v>15</v>
      </c>
      <c r="F3" t="s">
        <v>21</v>
      </c>
      <c r="G3">
        <v>11</v>
      </c>
      <c r="H3">
        <v>2023</v>
      </c>
      <c r="I3" t="s">
        <v>28</v>
      </c>
      <c r="N3">
        <v>125</v>
      </c>
    </row>
    <row r="4" spans="1:14" x14ac:dyDescent="0.25">
      <c r="A4">
        <v>22</v>
      </c>
      <c r="B4">
        <v>45245</v>
      </c>
      <c r="C4" t="s">
        <v>28</v>
      </c>
      <c r="D4">
        <v>125</v>
      </c>
      <c r="E4" t="s">
        <v>15</v>
      </c>
      <c r="F4" t="s">
        <v>21</v>
      </c>
      <c r="G4">
        <v>11</v>
      </c>
      <c r="H4">
        <v>2023</v>
      </c>
      <c r="I4" t="s">
        <v>28</v>
      </c>
      <c r="N4">
        <v>125</v>
      </c>
    </row>
    <row r="5" spans="1:14" x14ac:dyDescent="0.25">
      <c r="A5">
        <v>32</v>
      </c>
      <c r="B5">
        <v>45253</v>
      </c>
      <c r="C5" t="s">
        <v>28</v>
      </c>
      <c r="D5">
        <v>125</v>
      </c>
      <c r="E5" t="s">
        <v>15</v>
      </c>
      <c r="F5" t="s">
        <v>21</v>
      </c>
      <c r="G5">
        <v>11</v>
      </c>
      <c r="H5">
        <v>2023</v>
      </c>
      <c r="I5" t="s">
        <v>28</v>
      </c>
      <c r="N5">
        <v>125</v>
      </c>
    </row>
    <row r="6" spans="1:14" x14ac:dyDescent="0.25">
      <c r="A6">
        <v>34</v>
      </c>
      <c r="B6">
        <v>45262</v>
      </c>
      <c r="C6" t="s">
        <v>28</v>
      </c>
      <c r="D6">
        <v>125</v>
      </c>
      <c r="E6" t="s">
        <v>15</v>
      </c>
      <c r="F6" t="s">
        <v>21</v>
      </c>
      <c r="G6">
        <v>12</v>
      </c>
      <c r="H6">
        <v>2023</v>
      </c>
      <c r="I6" t="s">
        <v>28</v>
      </c>
      <c r="N6">
        <v>125</v>
      </c>
    </row>
    <row r="7" spans="1:14" x14ac:dyDescent="0.25">
      <c r="A7">
        <v>40</v>
      </c>
      <c r="B7">
        <v>45268</v>
      </c>
      <c r="C7" t="s">
        <v>28</v>
      </c>
      <c r="D7">
        <v>125</v>
      </c>
      <c r="E7" t="s">
        <v>15</v>
      </c>
      <c r="F7" t="s">
        <v>21</v>
      </c>
      <c r="G7">
        <v>12</v>
      </c>
      <c r="H7">
        <v>2023</v>
      </c>
      <c r="I7" t="s">
        <v>28</v>
      </c>
      <c r="N7">
        <v>125</v>
      </c>
    </row>
    <row r="8" spans="1:14" x14ac:dyDescent="0.25">
      <c r="A8">
        <v>111</v>
      </c>
      <c r="B8">
        <v>45298</v>
      </c>
      <c r="C8" t="s">
        <v>28</v>
      </c>
      <c r="D8">
        <v>125</v>
      </c>
      <c r="E8" t="s">
        <v>15</v>
      </c>
      <c r="F8" t="s">
        <v>21</v>
      </c>
      <c r="G8">
        <v>1</v>
      </c>
      <c r="H8">
        <v>2024</v>
      </c>
      <c r="I8" t="s">
        <v>28</v>
      </c>
      <c r="N8">
        <v>125</v>
      </c>
    </row>
    <row r="9" spans="1:14" x14ac:dyDescent="0.25">
      <c r="A9">
        <v>112</v>
      </c>
      <c r="B9">
        <v>45298</v>
      </c>
      <c r="C9" t="s">
        <v>28</v>
      </c>
      <c r="D9">
        <v>50</v>
      </c>
      <c r="E9" t="s">
        <v>15</v>
      </c>
      <c r="F9" t="s">
        <v>21</v>
      </c>
      <c r="G9">
        <v>1</v>
      </c>
      <c r="H9">
        <v>2024</v>
      </c>
      <c r="I9" t="s">
        <v>28</v>
      </c>
      <c r="N9">
        <v>50</v>
      </c>
    </row>
    <row r="10" spans="1:14" x14ac:dyDescent="0.25">
      <c r="A10">
        <v>117</v>
      </c>
      <c r="B10">
        <v>45299</v>
      </c>
      <c r="C10" t="s">
        <v>28</v>
      </c>
      <c r="D10">
        <v>25</v>
      </c>
      <c r="E10" t="s">
        <v>15</v>
      </c>
      <c r="F10" t="s">
        <v>21</v>
      </c>
      <c r="G10">
        <v>1</v>
      </c>
      <c r="H10">
        <v>2024</v>
      </c>
      <c r="I10" t="s">
        <v>28</v>
      </c>
      <c r="N10">
        <v>25</v>
      </c>
    </row>
    <row r="11" spans="1:14" x14ac:dyDescent="0.25">
      <c r="A11">
        <v>118</v>
      </c>
      <c r="B11">
        <v>45300</v>
      </c>
      <c r="C11" t="s">
        <v>28</v>
      </c>
      <c r="D11">
        <v>50</v>
      </c>
      <c r="E11" t="s">
        <v>15</v>
      </c>
      <c r="F11" t="s">
        <v>21</v>
      </c>
      <c r="G11">
        <v>1</v>
      </c>
      <c r="H11">
        <v>2024</v>
      </c>
      <c r="I11" t="s">
        <v>28</v>
      </c>
      <c r="N11">
        <v>50</v>
      </c>
    </row>
    <row r="12" spans="1:14" x14ac:dyDescent="0.25">
      <c r="A12">
        <v>135</v>
      </c>
      <c r="B12">
        <v>45306</v>
      </c>
      <c r="C12" t="s">
        <v>28</v>
      </c>
      <c r="D12">
        <v>125</v>
      </c>
      <c r="E12" t="s">
        <v>15</v>
      </c>
      <c r="F12" t="s">
        <v>21</v>
      </c>
      <c r="G12">
        <v>1</v>
      </c>
      <c r="H12">
        <v>2024</v>
      </c>
      <c r="I12" t="s">
        <v>28</v>
      </c>
      <c r="N12">
        <v>125</v>
      </c>
    </row>
    <row r="13" spans="1:14" x14ac:dyDescent="0.25">
      <c r="A13">
        <v>137</v>
      </c>
      <c r="B13">
        <v>45309</v>
      </c>
      <c r="C13" t="s">
        <v>28</v>
      </c>
      <c r="D13">
        <v>125</v>
      </c>
      <c r="E13" t="s">
        <v>15</v>
      </c>
      <c r="F13" t="s">
        <v>21</v>
      </c>
      <c r="G13">
        <v>1</v>
      </c>
      <c r="H13">
        <v>2024</v>
      </c>
      <c r="I13" t="s">
        <v>28</v>
      </c>
      <c r="N13">
        <v>125</v>
      </c>
    </row>
    <row r="14" spans="1:14" x14ac:dyDescent="0.25">
      <c r="A14">
        <v>138</v>
      </c>
      <c r="B14">
        <v>45310</v>
      </c>
      <c r="C14" t="s">
        <v>28</v>
      </c>
      <c r="D14">
        <v>125</v>
      </c>
      <c r="E14" t="s">
        <v>15</v>
      </c>
      <c r="F14" t="s">
        <v>21</v>
      </c>
      <c r="G14">
        <v>1</v>
      </c>
      <c r="H14">
        <v>2024</v>
      </c>
      <c r="I14" t="s">
        <v>28</v>
      </c>
      <c r="N14">
        <v>125</v>
      </c>
    </row>
    <row r="15" spans="1:14" x14ac:dyDescent="0.25">
      <c r="A15">
        <v>139</v>
      </c>
      <c r="B15">
        <v>45311</v>
      </c>
      <c r="C15" t="s">
        <v>28</v>
      </c>
      <c r="D15">
        <v>125</v>
      </c>
      <c r="E15" t="s">
        <v>15</v>
      </c>
      <c r="F15" t="s">
        <v>21</v>
      </c>
      <c r="G15">
        <v>1</v>
      </c>
      <c r="H15">
        <v>2024</v>
      </c>
      <c r="I15" t="s">
        <v>28</v>
      </c>
      <c r="N15">
        <v>125</v>
      </c>
    </row>
    <row r="16" spans="1:14" x14ac:dyDescent="0.25">
      <c r="A16">
        <v>140</v>
      </c>
      <c r="B16">
        <v>45312</v>
      </c>
      <c r="C16" t="s">
        <v>28</v>
      </c>
      <c r="D16">
        <v>125</v>
      </c>
      <c r="E16" t="s">
        <v>15</v>
      </c>
      <c r="F16" t="s">
        <v>21</v>
      </c>
      <c r="G16">
        <v>1</v>
      </c>
      <c r="H16">
        <v>2024</v>
      </c>
      <c r="I16" t="s">
        <v>28</v>
      </c>
      <c r="N16">
        <v>125</v>
      </c>
    </row>
    <row r="17" spans="1:14" x14ac:dyDescent="0.25">
      <c r="A17">
        <v>143</v>
      </c>
      <c r="B17">
        <v>45315</v>
      </c>
      <c r="C17" t="s">
        <v>28</v>
      </c>
      <c r="D17">
        <v>125</v>
      </c>
      <c r="E17" t="s">
        <v>15</v>
      </c>
      <c r="F17" t="s">
        <v>21</v>
      </c>
      <c r="G17">
        <v>1</v>
      </c>
      <c r="H17">
        <v>2024</v>
      </c>
      <c r="I17" t="s">
        <v>28</v>
      </c>
      <c r="N17">
        <v>125</v>
      </c>
    </row>
    <row r="18" spans="1:14" x14ac:dyDescent="0.25">
      <c r="A18">
        <v>144</v>
      </c>
      <c r="B18">
        <v>45315</v>
      </c>
      <c r="C18" t="s">
        <v>28</v>
      </c>
      <c r="D18">
        <v>25</v>
      </c>
      <c r="E18" t="s">
        <v>15</v>
      </c>
      <c r="F18" t="s">
        <v>21</v>
      </c>
      <c r="G18">
        <v>1</v>
      </c>
      <c r="H18">
        <v>2024</v>
      </c>
      <c r="I18" t="s">
        <v>28</v>
      </c>
      <c r="N18">
        <v>25</v>
      </c>
    </row>
    <row r="19" spans="1:14" x14ac:dyDescent="0.25">
      <c r="A19">
        <v>145</v>
      </c>
      <c r="B19">
        <v>45316</v>
      </c>
      <c r="C19" t="s">
        <v>28</v>
      </c>
      <c r="D19">
        <v>125</v>
      </c>
      <c r="E19" t="s">
        <v>15</v>
      </c>
      <c r="F19" t="s">
        <v>21</v>
      </c>
      <c r="G19">
        <v>1</v>
      </c>
      <c r="H19">
        <v>2024</v>
      </c>
      <c r="I19" t="s">
        <v>28</v>
      </c>
      <c r="N19">
        <v>125</v>
      </c>
    </row>
    <row r="20" spans="1:14" x14ac:dyDescent="0.25">
      <c r="A20">
        <v>160</v>
      </c>
      <c r="B20">
        <v>45322</v>
      </c>
      <c r="C20" t="s">
        <v>28</v>
      </c>
      <c r="D20">
        <v>125</v>
      </c>
      <c r="E20" t="s">
        <v>15</v>
      </c>
      <c r="F20" t="s">
        <v>21</v>
      </c>
      <c r="G20">
        <v>1</v>
      </c>
      <c r="H20">
        <v>2024</v>
      </c>
      <c r="I20" t="s">
        <v>28</v>
      </c>
      <c r="N20">
        <v>125</v>
      </c>
    </row>
    <row r="21" spans="1:14" x14ac:dyDescent="0.25">
      <c r="A21">
        <v>161</v>
      </c>
      <c r="B21">
        <v>45323</v>
      </c>
      <c r="C21" t="s">
        <v>28</v>
      </c>
      <c r="D21">
        <v>125</v>
      </c>
      <c r="E21" t="s">
        <v>15</v>
      </c>
      <c r="F21" t="s">
        <v>21</v>
      </c>
      <c r="G21">
        <v>2</v>
      </c>
      <c r="H21">
        <v>2024</v>
      </c>
      <c r="I21" t="s">
        <v>28</v>
      </c>
      <c r="N21">
        <v>125</v>
      </c>
    </row>
    <row r="22" spans="1:14" x14ac:dyDescent="0.25">
      <c r="A22">
        <v>163</v>
      </c>
      <c r="B22">
        <v>45323</v>
      </c>
      <c r="C22" t="s">
        <v>28</v>
      </c>
      <c r="D22">
        <v>50</v>
      </c>
      <c r="E22" t="s">
        <v>15</v>
      </c>
      <c r="F22" t="s">
        <v>21</v>
      </c>
      <c r="G22">
        <v>2</v>
      </c>
      <c r="H22">
        <v>2024</v>
      </c>
      <c r="I22" t="s">
        <v>28</v>
      </c>
      <c r="N22">
        <v>50</v>
      </c>
    </row>
    <row r="23" spans="1:14" x14ac:dyDescent="0.25">
      <c r="A23">
        <v>164</v>
      </c>
      <c r="B23">
        <v>45323</v>
      </c>
      <c r="C23" t="s">
        <v>28</v>
      </c>
      <c r="D23">
        <v>50</v>
      </c>
      <c r="E23" t="s">
        <v>15</v>
      </c>
      <c r="F23" t="s">
        <v>21</v>
      </c>
      <c r="G23">
        <v>2</v>
      </c>
      <c r="H23">
        <v>2024</v>
      </c>
      <c r="I23" t="s">
        <v>28</v>
      </c>
      <c r="N23">
        <v>50</v>
      </c>
    </row>
    <row r="24" spans="1:14" x14ac:dyDescent="0.25">
      <c r="A24">
        <v>210</v>
      </c>
      <c r="B24">
        <v>45344</v>
      </c>
      <c r="C24" t="s">
        <v>28</v>
      </c>
      <c r="D24">
        <v>129</v>
      </c>
      <c r="E24" t="s">
        <v>15</v>
      </c>
      <c r="F24" t="s">
        <v>21</v>
      </c>
      <c r="G24">
        <v>2</v>
      </c>
      <c r="H24">
        <v>2024</v>
      </c>
      <c r="I24" t="s">
        <v>28</v>
      </c>
      <c r="N24">
        <v>129</v>
      </c>
    </row>
    <row r="25" spans="1:14" x14ac:dyDescent="0.25">
      <c r="A25">
        <v>223</v>
      </c>
      <c r="B25">
        <v>45353</v>
      </c>
      <c r="C25" t="s">
        <v>28</v>
      </c>
      <c r="D25">
        <v>125</v>
      </c>
      <c r="E25" t="s">
        <v>15</v>
      </c>
      <c r="F25" t="s">
        <v>21</v>
      </c>
      <c r="G25">
        <v>3</v>
      </c>
      <c r="H25">
        <v>2024</v>
      </c>
      <c r="I25" t="s">
        <v>28</v>
      </c>
      <c r="N25">
        <v>125</v>
      </c>
    </row>
    <row r="26" spans="1:14" x14ac:dyDescent="0.25">
      <c r="A26">
        <v>230</v>
      </c>
      <c r="B26">
        <v>45356</v>
      </c>
      <c r="C26" t="s">
        <v>28</v>
      </c>
      <c r="D26">
        <v>50</v>
      </c>
      <c r="E26" t="s">
        <v>15</v>
      </c>
      <c r="F26" t="s">
        <v>21</v>
      </c>
      <c r="G26">
        <v>3</v>
      </c>
      <c r="H26">
        <v>2024</v>
      </c>
      <c r="I26" t="s">
        <v>28</v>
      </c>
      <c r="N26">
        <v>50</v>
      </c>
    </row>
    <row r="27" spans="1:14" x14ac:dyDescent="0.25">
      <c r="A27">
        <v>231</v>
      </c>
      <c r="B27">
        <v>45356</v>
      </c>
      <c r="C27" t="s">
        <v>28</v>
      </c>
      <c r="D27">
        <v>125</v>
      </c>
      <c r="E27" t="s">
        <v>15</v>
      </c>
      <c r="F27" t="s">
        <v>21</v>
      </c>
      <c r="G27">
        <v>3</v>
      </c>
      <c r="H27">
        <v>2024</v>
      </c>
      <c r="I27" t="s">
        <v>28</v>
      </c>
      <c r="N27">
        <v>125</v>
      </c>
    </row>
    <row r="28" spans="1:14" x14ac:dyDescent="0.25">
      <c r="A28">
        <v>253</v>
      </c>
      <c r="B28">
        <v>45384</v>
      </c>
      <c r="C28" t="s">
        <v>28</v>
      </c>
      <c r="D28">
        <v>50</v>
      </c>
      <c r="E28" t="s">
        <v>15</v>
      </c>
      <c r="F28" t="s">
        <v>21</v>
      </c>
      <c r="G28">
        <v>4</v>
      </c>
      <c r="H28">
        <v>2024</v>
      </c>
      <c r="I28" t="s">
        <v>28</v>
      </c>
      <c r="N28">
        <v>50</v>
      </c>
    </row>
    <row r="29" spans="1:14" x14ac:dyDescent="0.25">
      <c r="A29">
        <v>254</v>
      </c>
      <c r="B29">
        <v>45387</v>
      </c>
      <c r="C29" t="s">
        <v>28</v>
      </c>
      <c r="D29">
        <v>125</v>
      </c>
      <c r="E29" t="s">
        <v>15</v>
      </c>
      <c r="F29" t="s">
        <v>21</v>
      </c>
      <c r="G29">
        <v>4</v>
      </c>
      <c r="H29">
        <v>2024</v>
      </c>
      <c r="I29" t="s">
        <v>28</v>
      </c>
      <c r="N29">
        <v>125</v>
      </c>
    </row>
    <row r="30" spans="1:14" x14ac:dyDescent="0.25">
      <c r="A30">
        <v>268</v>
      </c>
      <c r="B30">
        <v>45398</v>
      </c>
      <c r="C30" t="s">
        <v>28</v>
      </c>
      <c r="D30">
        <v>125</v>
      </c>
      <c r="E30" t="s">
        <v>15</v>
      </c>
      <c r="F30" t="s">
        <v>21</v>
      </c>
      <c r="G30">
        <v>4</v>
      </c>
      <c r="H30">
        <v>2024</v>
      </c>
      <c r="I30" t="s">
        <v>28</v>
      </c>
      <c r="N30">
        <v>125</v>
      </c>
    </row>
    <row r="31" spans="1:14" x14ac:dyDescent="0.25">
      <c r="A31">
        <v>281</v>
      </c>
      <c r="B31">
        <v>45415</v>
      </c>
      <c r="C31" t="s">
        <v>28</v>
      </c>
      <c r="D31">
        <v>50</v>
      </c>
      <c r="E31" t="s">
        <v>15</v>
      </c>
      <c r="F31" t="s">
        <v>21</v>
      </c>
      <c r="G31">
        <v>5</v>
      </c>
      <c r="H31">
        <v>2024</v>
      </c>
      <c r="I31" t="s">
        <v>28</v>
      </c>
      <c r="N31">
        <v>50</v>
      </c>
    </row>
    <row r="32" spans="1:14" x14ac:dyDescent="0.25">
      <c r="A32">
        <v>282</v>
      </c>
      <c r="B32">
        <v>45415</v>
      </c>
      <c r="C32" t="s">
        <v>28</v>
      </c>
      <c r="D32">
        <v>125</v>
      </c>
      <c r="E32" t="s">
        <v>15</v>
      </c>
      <c r="F32" t="s">
        <v>21</v>
      </c>
      <c r="G32">
        <v>5</v>
      </c>
      <c r="H32">
        <v>2024</v>
      </c>
      <c r="I32" t="s">
        <v>28</v>
      </c>
      <c r="N32">
        <v>125</v>
      </c>
    </row>
    <row r="33" spans="1:14" x14ac:dyDescent="0.25">
      <c r="A33">
        <v>290</v>
      </c>
      <c r="B33">
        <v>45418</v>
      </c>
      <c r="C33" t="s">
        <v>28</v>
      </c>
      <c r="D33">
        <v>125</v>
      </c>
      <c r="E33" t="s">
        <v>15</v>
      </c>
      <c r="F33" t="s">
        <v>21</v>
      </c>
      <c r="G33">
        <v>5</v>
      </c>
      <c r="H33">
        <v>2024</v>
      </c>
      <c r="I33" t="s">
        <v>28</v>
      </c>
      <c r="N33">
        <v>125</v>
      </c>
    </row>
    <row r="34" spans="1:14" x14ac:dyDescent="0.25">
      <c r="A34">
        <v>291</v>
      </c>
      <c r="B34">
        <v>45418</v>
      </c>
      <c r="C34" t="s">
        <v>28</v>
      </c>
      <c r="D34">
        <v>50</v>
      </c>
      <c r="E34" t="s">
        <v>15</v>
      </c>
      <c r="F34" t="s">
        <v>21</v>
      </c>
      <c r="G34">
        <v>5</v>
      </c>
      <c r="H34">
        <v>2024</v>
      </c>
      <c r="I34" t="s">
        <v>28</v>
      </c>
      <c r="N34">
        <v>50</v>
      </c>
    </row>
    <row r="35" spans="1:14" x14ac:dyDescent="0.25">
      <c r="A35">
        <v>302</v>
      </c>
      <c r="B35">
        <v>45430</v>
      </c>
      <c r="C35" t="s">
        <v>28</v>
      </c>
      <c r="D35">
        <v>50</v>
      </c>
      <c r="E35" t="s">
        <v>15</v>
      </c>
      <c r="F35" t="s">
        <v>21</v>
      </c>
      <c r="G35">
        <v>5</v>
      </c>
      <c r="H35">
        <v>2024</v>
      </c>
      <c r="I35" t="s">
        <v>28</v>
      </c>
      <c r="N35">
        <v>50</v>
      </c>
    </row>
    <row r="36" spans="1:14" x14ac:dyDescent="0.25">
      <c r="A36">
        <v>310</v>
      </c>
      <c r="B36">
        <v>45440</v>
      </c>
      <c r="C36" t="s">
        <v>28</v>
      </c>
      <c r="D36">
        <v>125</v>
      </c>
      <c r="E36" t="s">
        <v>15</v>
      </c>
      <c r="F36" t="s">
        <v>21</v>
      </c>
      <c r="G36">
        <v>5</v>
      </c>
      <c r="H36">
        <v>2024</v>
      </c>
      <c r="I36" t="s">
        <v>28</v>
      </c>
      <c r="N36">
        <v>125</v>
      </c>
    </row>
    <row r="37" spans="1:14" x14ac:dyDescent="0.25">
      <c r="A37">
        <v>313</v>
      </c>
      <c r="B37">
        <v>45447</v>
      </c>
      <c r="C37" t="s">
        <v>28</v>
      </c>
      <c r="D37">
        <v>125</v>
      </c>
      <c r="E37" t="s">
        <v>15</v>
      </c>
      <c r="F37" t="s">
        <v>21</v>
      </c>
      <c r="G37">
        <v>6</v>
      </c>
      <c r="H37">
        <v>2024</v>
      </c>
      <c r="I37" t="s">
        <v>28</v>
      </c>
      <c r="N37">
        <v>125</v>
      </c>
    </row>
    <row r="38" spans="1:14" x14ac:dyDescent="0.25">
      <c r="A38">
        <v>315</v>
      </c>
      <c r="B38">
        <v>45449</v>
      </c>
      <c r="C38" t="s">
        <v>28</v>
      </c>
      <c r="D38">
        <v>125</v>
      </c>
      <c r="E38" t="s">
        <v>15</v>
      </c>
      <c r="F38" t="s">
        <v>21</v>
      </c>
      <c r="G38">
        <v>6</v>
      </c>
      <c r="H38">
        <v>2024</v>
      </c>
      <c r="I38" t="s">
        <v>28</v>
      </c>
      <c r="N38">
        <v>125</v>
      </c>
    </row>
    <row r="39" spans="1:14" x14ac:dyDescent="0.25">
      <c r="A39">
        <v>321</v>
      </c>
      <c r="B39">
        <v>45450</v>
      </c>
      <c r="C39" t="s">
        <v>28</v>
      </c>
      <c r="D39">
        <v>25</v>
      </c>
      <c r="E39" t="s">
        <v>15</v>
      </c>
      <c r="F39" t="s">
        <v>21</v>
      </c>
      <c r="G39">
        <v>6</v>
      </c>
      <c r="H39">
        <v>2024</v>
      </c>
      <c r="I39" t="s">
        <v>28</v>
      </c>
      <c r="N39">
        <v>25</v>
      </c>
    </row>
    <row r="40" spans="1:14" x14ac:dyDescent="0.25">
      <c r="A40">
        <v>322</v>
      </c>
      <c r="B40">
        <v>45450</v>
      </c>
      <c r="C40" t="s">
        <v>28</v>
      </c>
      <c r="D40">
        <v>125</v>
      </c>
      <c r="E40" t="s">
        <v>15</v>
      </c>
      <c r="F40" t="s">
        <v>21</v>
      </c>
      <c r="G40">
        <v>6</v>
      </c>
      <c r="H40">
        <v>2024</v>
      </c>
      <c r="I40" t="s">
        <v>28</v>
      </c>
      <c r="N40">
        <v>125</v>
      </c>
    </row>
    <row r="41" spans="1:14" x14ac:dyDescent="0.25">
      <c r="A41">
        <v>323</v>
      </c>
      <c r="B41">
        <v>45450</v>
      </c>
      <c r="C41" t="s">
        <v>28</v>
      </c>
      <c r="D41">
        <v>50</v>
      </c>
      <c r="E41" t="s">
        <v>15</v>
      </c>
      <c r="F41" t="s">
        <v>21</v>
      </c>
      <c r="G41">
        <v>6</v>
      </c>
      <c r="H41">
        <v>2024</v>
      </c>
      <c r="I41" t="s">
        <v>28</v>
      </c>
      <c r="N41">
        <v>50</v>
      </c>
    </row>
    <row r="42" spans="1:14" x14ac:dyDescent="0.25">
      <c r="A42">
        <v>342</v>
      </c>
      <c r="B42">
        <v>45456</v>
      </c>
      <c r="C42" t="s">
        <v>28</v>
      </c>
      <c r="D42">
        <v>125</v>
      </c>
      <c r="E42" t="s">
        <v>15</v>
      </c>
      <c r="F42" t="s">
        <v>21</v>
      </c>
      <c r="G42">
        <v>6</v>
      </c>
      <c r="H42">
        <v>2024</v>
      </c>
      <c r="I42" t="s">
        <v>28</v>
      </c>
      <c r="N42">
        <v>125</v>
      </c>
    </row>
    <row r="43" spans="1:14" x14ac:dyDescent="0.25">
      <c r="A43">
        <v>343</v>
      </c>
      <c r="B43">
        <v>45457</v>
      </c>
      <c r="C43" t="s">
        <v>28</v>
      </c>
      <c r="D43">
        <v>50</v>
      </c>
      <c r="E43" t="s">
        <v>15</v>
      </c>
      <c r="F43" t="s">
        <v>21</v>
      </c>
      <c r="G43">
        <v>6</v>
      </c>
      <c r="H43">
        <v>2024</v>
      </c>
      <c r="I43" t="s">
        <v>28</v>
      </c>
      <c r="N43">
        <v>50</v>
      </c>
    </row>
    <row r="44" spans="1:14" x14ac:dyDescent="0.25">
      <c r="A44">
        <v>350</v>
      </c>
      <c r="B44">
        <v>45463</v>
      </c>
      <c r="C44" t="s">
        <v>28</v>
      </c>
      <c r="D44">
        <v>50</v>
      </c>
      <c r="E44" t="s">
        <v>15</v>
      </c>
      <c r="F44" t="s">
        <v>21</v>
      </c>
      <c r="G44">
        <v>6</v>
      </c>
      <c r="H44">
        <v>2024</v>
      </c>
      <c r="I44" t="s">
        <v>28</v>
      </c>
      <c r="N44">
        <v>50</v>
      </c>
    </row>
    <row r="45" spans="1:14" x14ac:dyDescent="0.25">
      <c r="A45">
        <v>353</v>
      </c>
      <c r="B45">
        <v>45466</v>
      </c>
      <c r="C45" t="s">
        <v>28</v>
      </c>
      <c r="D45">
        <v>50</v>
      </c>
      <c r="E45" t="s">
        <v>15</v>
      </c>
      <c r="F45" t="s">
        <v>21</v>
      </c>
      <c r="G45">
        <v>6</v>
      </c>
      <c r="H45">
        <v>2024</v>
      </c>
      <c r="I45" t="s">
        <v>28</v>
      </c>
      <c r="N45">
        <v>50</v>
      </c>
    </row>
    <row r="46" spans="1:14" x14ac:dyDescent="0.25">
      <c r="A46">
        <v>354</v>
      </c>
      <c r="B46">
        <v>45466</v>
      </c>
      <c r="C46" t="s">
        <v>28</v>
      </c>
      <c r="D46">
        <v>50</v>
      </c>
      <c r="E46" t="s">
        <v>15</v>
      </c>
      <c r="F46" t="s">
        <v>21</v>
      </c>
      <c r="G46">
        <v>6</v>
      </c>
      <c r="H46">
        <v>2024</v>
      </c>
      <c r="I46" t="s">
        <v>28</v>
      </c>
      <c r="N46">
        <v>50</v>
      </c>
    </row>
    <row r="47" spans="1:14" x14ac:dyDescent="0.25">
      <c r="A47">
        <v>355</v>
      </c>
      <c r="B47">
        <v>45466</v>
      </c>
      <c r="C47" t="s">
        <v>28</v>
      </c>
      <c r="D47">
        <v>125</v>
      </c>
      <c r="E47" t="s">
        <v>15</v>
      </c>
      <c r="F47" t="s">
        <v>21</v>
      </c>
      <c r="G47">
        <v>6</v>
      </c>
      <c r="H47">
        <v>2024</v>
      </c>
      <c r="I47" t="s">
        <v>28</v>
      </c>
      <c r="N47">
        <v>125</v>
      </c>
    </row>
    <row r="48" spans="1:14" x14ac:dyDescent="0.25">
      <c r="A48">
        <v>358</v>
      </c>
      <c r="B48">
        <v>45470</v>
      </c>
      <c r="C48" t="s">
        <v>28</v>
      </c>
      <c r="D48">
        <v>50</v>
      </c>
      <c r="E48" t="s">
        <v>15</v>
      </c>
      <c r="F48" t="s">
        <v>21</v>
      </c>
      <c r="G48">
        <v>6</v>
      </c>
      <c r="H48">
        <v>2024</v>
      </c>
      <c r="I48" t="s">
        <v>28</v>
      </c>
      <c r="N48">
        <v>50</v>
      </c>
    </row>
    <row r="49" spans="1:14" x14ac:dyDescent="0.25">
      <c r="A49">
        <v>359</v>
      </c>
      <c r="B49">
        <v>45470</v>
      </c>
      <c r="C49" t="s">
        <v>28</v>
      </c>
      <c r="D49">
        <v>50</v>
      </c>
      <c r="E49" t="s">
        <v>15</v>
      </c>
      <c r="F49" t="s">
        <v>21</v>
      </c>
      <c r="G49">
        <v>6</v>
      </c>
      <c r="H49">
        <v>2024</v>
      </c>
      <c r="I49" t="s">
        <v>28</v>
      </c>
      <c r="N49">
        <v>50</v>
      </c>
    </row>
    <row r="50" spans="1:14" x14ac:dyDescent="0.25">
      <c r="A50">
        <v>361</v>
      </c>
      <c r="B50">
        <v>45471</v>
      </c>
      <c r="C50" t="s">
        <v>28</v>
      </c>
      <c r="D50">
        <v>125</v>
      </c>
      <c r="E50" t="s">
        <v>15</v>
      </c>
      <c r="F50" t="s">
        <v>21</v>
      </c>
      <c r="G50">
        <v>6</v>
      </c>
      <c r="H50">
        <v>2024</v>
      </c>
      <c r="I50" t="s">
        <v>28</v>
      </c>
      <c r="N50">
        <v>125</v>
      </c>
    </row>
    <row r="51" spans="1:14" x14ac:dyDescent="0.25">
      <c r="A51">
        <v>378</v>
      </c>
      <c r="B51">
        <v>45483</v>
      </c>
      <c r="C51" t="s">
        <v>184</v>
      </c>
      <c r="D51">
        <v>50</v>
      </c>
      <c r="E51" t="s">
        <v>15</v>
      </c>
      <c r="F51" t="s">
        <v>21</v>
      </c>
      <c r="G51">
        <v>7</v>
      </c>
      <c r="H51">
        <v>2024</v>
      </c>
      <c r="I51" t="s">
        <v>28</v>
      </c>
      <c r="N51">
        <v>50</v>
      </c>
    </row>
    <row r="52" spans="1:14" x14ac:dyDescent="0.25">
      <c r="A52">
        <v>379</v>
      </c>
      <c r="B52">
        <v>45483</v>
      </c>
      <c r="C52" t="s">
        <v>184</v>
      </c>
      <c r="D52">
        <v>125</v>
      </c>
      <c r="E52" t="s">
        <v>15</v>
      </c>
      <c r="F52" t="s">
        <v>21</v>
      </c>
      <c r="G52">
        <v>7</v>
      </c>
      <c r="H52">
        <v>2024</v>
      </c>
      <c r="I52" t="s">
        <v>28</v>
      </c>
      <c r="N52">
        <v>125</v>
      </c>
    </row>
    <row r="53" spans="1:14" x14ac:dyDescent="0.25">
      <c r="A53">
        <v>381</v>
      </c>
      <c r="B53">
        <v>45485</v>
      </c>
      <c r="C53" t="s">
        <v>28</v>
      </c>
      <c r="D53">
        <v>50</v>
      </c>
      <c r="E53" t="s">
        <v>15</v>
      </c>
      <c r="F53" t="s">
        <v>21</v>
      </c>
      <c r="G53">
        <v>7</v>
      </c>
      <c r="H53">
        <v>2024</v>
      </c>
      <c r="I53" t="s">
        <v>28</v>
      </c>
      <c r="N53">
        <v>50</v>
      </c>
    </row>
    <row r="54" spans="1:14" x14ac:dyDescent="0.25">
      <c r="A54">
        <v>419</v>
      </c>
      <c r="B54">
        <v>45503</v>
      </c>
      <c r="C54" t="s">
        <v>184</v>
      </c>
      <c r="D54">
        <v>125</v>
      </c>
      <c r="E54" t="s">
        <v>15</v>
      </c>
      <c r="F54" t="s">
        <v>21</v>
      </c>
      <c r="G54">
        <v>7</v>
      </c>
      <c r="H54">
        <v>2024</v>
      </c>
      <c r="I54" t="s">
        <v>28</v>
      </c>
      <c r="N54">
        <v>125</v>
      </c>
    </row>
    <row r="55" spans="1:14" x14ac:dyDescent="0.25">
      <c r="A55">
        <v>420</v>
      </c>
      <c r="B55">
        <v>45503</v>
      </c>
      <c r="C55" t="s">
        <v>28</v>
      </c>
      <c r="D55">
        <v>125</v>
      </c>
      <c r="E55" t="s">
        <v>15</v>
      </c>
      <c r="F55" t="s">
        <v>21</v>
      </c>
      <c r="G55">
        <v>7</v>
      </c>
      <c r="H55">
        <v>2024</v>
      </c>
      <c r="I55" t="s">
        <v>28</v>
      </c>
      <c r="N55">
        <v>125</v>
      </c>
    </row>
    <row r="56" spans="1:14" x14ac:dyDescent="0.25">
      <c r="A56">
        <v>447</v>
      </c>
      <c r="B56">
        <v>45519</v>
      </c>
      <c r="C56" t="s">
        <v>28</v>
      </c>
      <c r="D56">
        <v>125</v>
      </c>
      <c r="E56" t="s">
        <v>15</v>
      </c>
      <c r="F56" t="s">
        <v>21</v>
      </c>
      <c r="G56">
        <v>8</v>
      </c>
      <c r="H56">
        <v>2024</v>
      </c>
      <c r="I56" t="s">
        <v>28</v>
      </c>
      <c r="N56">
        <v>125</v>
      </c>
    </row>
    <row r="57" spans="1:14" x14ac:dyDescent="0.25">
      <c r="A57">
        <v>462</v>
      </c>
      <c r="B57">
        <v>45539</v>
      </c>
      <c r="C57" t="s">
        <v>184</v>
      </c>
      <c r="D57">
        <v>125</v>
      </c>
      <c r="E57" t="s">
        <v>15</v>
      </c>
      <c r="F57" t="s">
        <v>21</v>
      </c>
      <c r="G57">
        <v>9</v>
      </c>
      <c r="H57">
        <v>2024</v>
      </c>
      <c r="I57" t="s">
        <v>28</v>
      </c>
      <c r="N57">
        <v>125</v>
      </c>
    </row>
    <row r="58" spans="1:14" x14ac:dyDescent="0.25">
      <c r="A58">
        <v>463</v>
      </c>
      <c r="B58">
        <v>45540</v>
      </c>
      <c r="C58" t="s">
        <v>184</v>
      </c>
      <c r="D58">
        <v>50</v>
      </c>
      <c r="E58" t="s">
        <v>15</v>
      </c>
      <c r="F58" t="s">
        <v>21</v>
      </c>
      <c r="G58">
        <v>9</v>
      </c>
      <c r="H58">
        <v>2024</v>
      </c>
      <c r="I58" t="s">
        <v>28</v>
      </c>
      <c r="N58">
        <v>50</v>
      </c>
    </row>
    <row r="59" spans="1:14" x14ac:dyDescent="0.25">
      <c r="A59">
        <v>465</v>
      </c>
      <c r="B59">
        <v>45540</v>
      </c>
      <c r="C59" t="s">
        <v>184</v>
      </c>
      <c r="D59">
        <v>25</v>
      </c>
      <c r="E59" t="s">
        <v>15</v>
      </c>
      <c r="F59" t="s">
        <v>21</v>
      </c>
      <c r="G59">
        <v>9</v>
      </c>
      <c r="H59">
        <v>2024</v>
      </c>
      <c r="I59" t="s">
        <v>28</v>
      </c>
      <c r="N59">
        <v>25</v>
      </c>
    </row>
    <row r="60" spans="1:14" x14ac:dyDescent="0.25">
      <c r="A60">
        <v>471</v>
      </c>
      <c r="B60">
        <v>45547</v>
      </c>
      <c r="C60" t="s">
        <v>184</v>
      </c>
      <c r="D60">
        <v>125</v>
      </c>
      <c r="E60" t="s">
        <v>15</v>
      </c>
      <c r="F60" t="s">
        <v>21</v>
      </c>
      <c r="G60">
        <v>9</v>
      </c>
      <c r="H60">
        <v>2024</v>
      </c>
      <c r="I60" t="s">
        <v>28</v>
      </c>
      <c r="N60">
        <v>125</v>
      </c>
    </row>
    <row r="61" spans="1:14" x14ac:dyDescent="0.25">
      <c r="A61">
        <v>510</v>
      </c>
      <c r="B61">
        <v>45570</v>
      </c>
      <c r="C61" t="s">
        <v>184</v>
      </c>
      <c r="D61">
        <v>125</v>
      </c>
      <c r="E61" t="s">
        <v>15</v>
      </c>
      <c r="F61" t="s">
        <v>21</v>
      </c>
      <c r="G61">
        <v>10</v>
      </c>
      <c r="H61">
        <v>2024</v>
      </c>
      <c r="I61" t="s">
        <v>28</v>
      </c>
      <c r="N61">
        <v>125</v>
      </c>
    </row>
    <row r="62" spans="1:14" x14ac:dyDescent="0.25">
      <c r="A62">
        <v>511</v>
      </c>
      <c r="B62">
        <v>45570</v>
      </c>
      <c r="C62" t="s">
        <v>28</v>
      </c>
      <c r="D62">
        <v>50</v>
      </c>
      <c r="E62" t="s">
        <v>15</v>
      </c>
      <c r="F62" t="s">
        <v>21</v>
      </c>
      <c r="G62">
        <v>10</v>
      </c>
      <c r="H62">
        <v>2024</v>
      </c>
      <c r="I62" t="s">
        <v>28</v>
      </c>
      <c r="N62">
        <v>50</v>
      </c>
    </row>
    <row r="63" spans="1:14" x14ac:dyDescent="0.25">
      <c r="A63">
        <v>525</v>
      </c>
      <c r="B63">
        <v>45581</v>
      </c>
      <c r="C63" t="s">
        <v>184</v>
      </c>
      <c r="D63">
        <v>125</v>
      </c>
      <c r="E63" t="s">
        <v>15</v>
      </c>
      <c r="F63" t="s">
        <v>21</v>
      </c>
      <c r="G63">
        <v>10</v>
      </c>
      <c r="H63">
        <v>2024</v>
      </c>
      <c r="I63" t="s">
        <v>28</v>
      </c>
      <c r="N63">
        <v>125</v>
      </c>
    </row>
    <row r="64" spans="1:14" x14ac:dyDescent="0.25">
      <c r="A64">
        <v>527</v>
      </c>
      <c r="B64">
        <v>45584</v>
      </c>
      <c r="C64" t="s">
        <v>28</v>
      </c>
      <c r="D64">
        <v>125</v>
      </c>
      <c r="E64" t="s">
        <v>15</v>
      </c>
      <c r="F64" t="s">
        <v>21</v>
      </c>
      <c r="G64">
        <v>10</v>
      </c>
      <c r="H64">
        <v>2024</v>
      </c>
      <c r="I64" t="s">
        <v>28</v>
      </c>
      <c r="N64">
        <v>125</v>
      </c>
    </row>
    <row r="65" spans="1:14" x14ac:dyDescent="0.25">
      <c r="A65">
        <v>531</v>
      </c>
      <c r="B65">
        <v>45588</v>
      </c>
      <c r="C65" t="s">
        <v>28</v>
      </c>
      <c r="D65">
        <v>125</v>
      </c>
      <c r="E65" t="s">
        <v>15</v>
      </c>
      <c r="F65" t="s">
        <v>21</v>
      </c>
      <c r="G65">
        <v>10</v>
      </c>
      <c r="H65">
        <v>2024</v>
      </c>
      <c r="I65" t="s">
        <v>28</v>
      </c>
      <c r="N65">
        <v>125</v>
      </c>
    </row>
    <row r="66" spans="1:14" x14ac:dyDescent="0.25">
      <c r="A66">
        <v>532</v>
      </c>
      <c r="B66">
        <v>45589</v>
      </c>
      <c r="C66" t="s">
        <v>28</v>
      </c>
      <c r="D66">
        <v>125</v>
      </c>
      <c r="E66" t="s">
        <v>15</v>
      </c>
      <c r="F66" t="s">
        <v>21</v>
      </c>
      <c r="G66">
        <v>10</v>
      </c>
      <c r="H66">
        <v>2024</v>
      </c>
      <c r="I66" t="s">
        <v>28</v>
      </c>
      <c r="N66">
        <v>125</v>
      </c>
    </row>
    <row r="67" spans="1:14" x14ac:dyDescent="0.25">
      <c r="A67">
        <v>534</v>
      </c>
      <c r="B67">
        <v>45590</v>
      </c>
      <c r="C67" t="s">
        <v>28</v>
      </c>
      <c r="D67">
        <v>25</v>
      </c>
      <c r="E67" t="s">
        <v>15</v>
      </c>
      <c r="F67" t="s">
        <v>21</v>
      </c>
      <c r="G67">
        <v>10</v>
      </c>
      <c r="H67">
        <v>2024</v>
      </c>
      <c r="I67" t="s">
        <v>28</v>
      </c>
      <c r="N67">
        <v>25</v>
      </c>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048C1-299C-44C8-AEB7-B862DF7DC6C6}">
  <dimension ref="A1:BE158"/>
  <sheetViews>
    <sheetView topLeftCell="AP1" workbookViewId="0">
      <selection activeCell="AW3" sqref="AW3"/>
    </sheetView>
  </sheetViews>
  <sheetFormatPr defaultRowHeight="15" x14ac:dyDescent="0.25"/>
  <cols>
    <col min="9" max="9" width="18.140625" bestFit="1" customWidth="1"/>
    <col min="15" max="15" width="30.42578125" customWidth="1"/>
    <col min="21" max="21" width="10.5703125" customWidth="1"/>
  </cols>
  <sheetData>
    <row r="1" spans="1:57" ht="21" x14ac:dyDescent="0.35">
      <c r="A1" s="6" t="s">
        <v>344</v>
      </c>
      <c r="M1" s="6" t="s">
        <v>345</v>
      </c>
      <c r="Y1" s="6" t="s">
        <v>349</v>
      </c>
      <c r="AK1" s="6" t="s">
        <v>353</v>
      </c>
    </row>
    <row r="2" spans="1:57" x14ac:dyDescent="0.25">
      <c r="A2" s="11" t="s">
        <v>0</v>
      </c>
      <c r="B2" s="11" t="s">
        <v>1</v>
      </c>
      <c r="C2" s="11" t="s">
        <v>346</v>
      </c>
      <c r="D2" s="11" t="s">
        <v>3</v>
      </c>
      <c r="E2" s="11" t="s">
        <v>4</v>
      </c>
      <c r="F2" s="11" t="s">
        <v>5</v>
      </c>
      <c r="G2" s="11" t="s">
        <v>347</v>
      </c>
      <c r="H2" s="11" t="s">
        <v>293</v>
      </c>
      <c r="I2" s="11" t="s">
        <v>317</v>
      </c>
      <c r="M2" s="11" t="s">
        <v>0</v>
      </c>
      <c r="N2" s="11" t="s">
        <v>1</v>
      </c>
      <c r="O2" s="11" t="s">
        <v>346</v>
      </c>
      <c r="P2" s="11" t="s">
        <v>3</v>
      </c>
      <c r="Q2" s="11" t="s">
        <v>4</v>
      </c>
      <c r="R2" s="11" t="s">
        <v>5</v>
      </c>
      <c r="S2" s="11" t="s">
        <v>347</v>
      </c>
      <c r="T2" s="11" t="s">
        <v>293</v>
      </c>
      <c r="U2" s="11" t="s">
        <v>317</v>
      </c>
      <c r="Y2" s="11" t="s">
        <v>0</v>
      </c>
      <c r="Z2" s="11" t="s">
        <v>1</v>
      </c>
      <c r="AA2" s="11" t="s">
        <v>346</v>
      </c>
      <c r="AB2" s="11" t="s">
        <v>3</v>
      </c>
      <c r="AC2" s="11" t="s">
        <v>4</v>
      </c>
      <c r="AD2" s="11" t="s">
        <v>5</v>
      </c>
      <c r="AE2" s="11" t="s">
        <v>347</v>
      </c>
      <c r="AF2" s="11" t="s">
        <v>293</v>
      </c>
      <c r="AG2" s="11" t="s">
        <v>317</v>
      </c>
      <c r="AK2" s="11" t="s">
        <v>0</v>
      </c>
      <c r="AL2" s="11" t="s">
        <v>1</v>
      </c>
      <c r="AM2" s="11" t="s">
        <v>346</v>
      </c>
      <c r="AN2" s="11" t="s">
        <v>3</v>
      </c>
      <c r="AO2" s="11" t="s">
        <v>4</v>
      </c>
      <c r="AP2" s="11" t="s">
        <v>5</v>
      </c>
      <c r="AQ2" s="11" t="s">
        <v>347</v>
      </c>
      <c r="AR2" s="11" t="s">
        <v>293</v>
      </c>
      <c r="AS2" s="11" t="s">
        <v>317</v>
      </c>
    </row>
    <row r="3" spans="1:57" x14ac:dyDescent="0.25">
      <c r="A3" cm="1">
        <f t="array" ref="A3:I46">_xlfn._xlws.FILTER(cleaned_personal_finance_data[], cleaned_personal_finance_data[transaction]="Income", "")</f>
        <v>1</v>
      </c>
      <c r="B3">
        <v>45183</v>
      </c>
      <c r="C3" t="str">
        <v>サラリー</v>
      </c>
      <c r="D3">
        <v>17732</v>
      </c>
      <c r="E3" t="str">
        <v>Income</v>
      </c>
      <c r="F3" t="str">
        <v>Bank</v>
      </c>
      <c r="G3">
        <v>9</v>
      </c>
      <c r="H3">
        <v>2023</v>
      </c>
      <c r="I3" t="str">
        <v>salary</v>
      </c>
      <c r="M3" cm="1">
        <f t="array" ref="M3:U158">_xlfn._xlws.FILTER(cleaned_personal_finance_data[], cleaned_personal_finance_data[transaction_mode]="G-cash", "")</f>
        <v>12</v>
      </c>
      <c r="N3">
        <v>45235</v>
      </c>
      <c r="O3" t="str">
        <v>Gcash cash-in</v>
      </c>
      <c r="P3">
        <v>2010</v>
      </c>
      <c r="Q3" t="str">
        <v>Deposit</v>
      </c>
      <c r="R3" t="str">
        <v>G-cash</v>
      </c>
      <c r="S3">
        <v>11</v>
      </c>
      <c r="T3">
        <v>2023</v>
      </c>
      <c r="U3" t="str">
        <v>Gcash cash-in</v>
      </c>
      <c r="Y3" cm="1">
        <f t="array" ref="Y3:AG140">_xlfn._xlws.FILTER(cleaned_personal_finance_data[], (cleaned_personal_finance_data[transaction_mode]="G-cash") * (cleaned_personal_finance_data[transaction]="Expenses"), "")</f>
        <v>15</v>
      </c>
      <c r="Z3">
        <v>45236</v>
      </c>
      <c r="AA3" t="str">
        <v>Spotify</v>
      </c>
      <c r="AB3">
        <v>194</v>
      </c>
      <c r="AC3" t="str">
        <v>Expenses</v>
      </c>
      <c r="AD3" t="str">
        <v>G-cash</v>
      </c>
      <c r="AE3">
        <v>11</v>
      </c>
      <c r="AF3">
        <v>2023</v>
      </c>
      <c r="AG3" t="str">
        <v>Spotify</v>
      </c>
      <c r="AK3" cm="1">
        <f t="array" ref="AK3:AS68">_xlfn._xlws.FILTER(cleaned_personal_finance_data[], (cleaned_personal_finance_data[transaction_mode]="G-cash") * (cleaned_personal_finance_data[transaction]="Expenses") * (cleaned_personal_finance_data[cleaned_detail]="Supa"), "")</f>
        <v>19</v>
      </c>
      <c r="AL3">
        <v>45243</v>
      </c>
      <c r="AM3" t="str">
        <v>Supa</v>
      </c>
      <c r="AN3">
        <v>25</v>
      </c>
      <c r="AO3" t="str">
        <v>Expenses</v>
      </c>
      <c r="AP3" t="str">
        <v>G-cash</v>
      </c>
      <c r="AQ3">
        <v>11</v>
      </c>
      <c r="AR3">
        <v>2023</v>
      </c>
      <c r="AS3" t="str">
        <v>Supa</v>
      </c>
      <c r="AW3" cm="1">
        <f t="array" ref="AW3:BE68">_xlfn._xlws.FILTER(cleaned_personal_finance_data[], (cleaned_personal_finance_data[transaction_mode]="G-cash") * (cleaned_personal_finance_data[transaction]="Expenses") * (cleaned_personal_finance_data[cleaned_detail]="Supa"), "")</f>
        <v>19</v>
      </c>
      <c r="AX3">
        <v>45243</v>
      </c>
      <c r="AY3" t="str">
        <v>Supa</v>
      </c>
      <c r="AZ3">
        <v>25</v>
      </c>
      <c r="BA3" t="str">
        <v>Expenses</v>
      </c>
      <c r="BB3" t="str">
        <v>G-cash</v>
      </c>
      <c r="BC3">
        <v>11</v>
      </c>
      <c r="BD3">
        <v>2023</v>
      </c>
      <c r="BE3" t="str">
        <v>Supa</v>
      </c>
    </row>
    <row r="4" spans="1:57" x14ac:dyDescent="0.25">
      <c r="A4">
        <v>2</v>
      </c>
      <c r="B4">
        <v>45208</v>
      </c>
      <c r="C4" t="str">
        <v>サラリー</v>
      </c>
      <c r="D4">
        <v>12754</v>
      </c>
      <c r="E4" t="str">
        <v>Income</v>
      </c>
      <c r="F4" t="str">
        <v>Bank</v>
      </c>
      <c r="G4">
        <v>10</v>
      </c>
      <c r="H4">
        <v>2023</v>
      </c>
      <c r="I4" t="str">
        <v>salary</v>
      </c>
      <c r="M4">
        <v>15</v>
      </c>
      <c r="N4">
        <v>45236</v>
      </c>
      <c r="O4" t="str">
        <v>Spotify</v>
      </c>
      <c r="P4">
        <v>194</v>
      </c>
      <c r="Q4" t="str">
        <v>Expenses</v>
      </c>
      <c r="R4" t="str">
        <v>G-cash</v>
      </c>
      <c r="S4">
        <v>11</v>
      </c>
      <c r="T4">
        <v>2023</v>
      </c>
      <c r="U4" t="str">
        <v>Spotify</v>
      </c>
      <c r="Y4">
        <v>19</v>
      </c>
      <c r="Z4">
        <v>45243</v>
      </c>
      <c r="AA4" t="str">
        <v>Supa</v>
      </c>
      <c r="AB4">
        <v>25</v>
      </c>
      <c r="AC4" t="str">
        <v>Expenses</v>
      </c>
      <c r="AD4" t="str">
        <v>G-cash</v>
      </c>
      <c r="AE4">
        <v>11</v>
      </c>
      <c r="AF4">
        <v>2023</v>
      </c>
      <c r="AG4" t="str">
        <v>Supa</v>
      </c>
      <c r="AK4">
        <v>20</v>
      </c>
      <c r="AL4">
        <v>45243</v>
      </c>
      <c r="AM4" t="str">
        <v>Supa</v>
      </c>
      <c r="AN4">
        <v>125</v>
      </c>
      <c r="AO4" t="str">
        <v>Expenses</v>
      </c>
      <c r="AP4" t="str">
        <v>G-cash</v>
      </c>
      <c r="AQ4">
        <v>11</v>
      </c>
      <c r="AR4">
        <v>2023</v>
      </c>
      <c r="AS4" t="str">
        <v>Supa</v>
      </c>
      <c r="AW4">
        <v>20</v>
      </c>
      <c r="AX4">
        <v>45243</v>
      </c>
      <c r="AY4" t="str">
        <v>Supa</v>
      </c>
      <c r="AZ4">
        <v>125</v>
      </c>
      <c r="BA4" t="str">
        <v>Expenses</v>
      </c>
      <c r="BB4" t="str">
        <v>G-cash</v>
      </c>
      <c r="BC4">
        <v>11</v>
      </c>
      <c r="BD4">
        <v>2023</v>
      </c>
      <c r="BE4" t="str">
        <v>Supa</v>
      </c>
    </row>
    <row r="5" spans="1:57" x14ac:dyDescent="0.25">
      <c r="A5">
        <v>5</v>
      </c>
      <c r="B5">
        <v>45230</v>
      </c>
      <c r="C5" t="str">
        <v>サラリー</v>
      </c>
      <c r="D5">
        <v>12834</v>
      </c>
      <c r="E5" t="str">
        <v>Income</v>
      </c>
      <c r="F5" t="str">
        <v>Bank</v>
      </c>
      <c r="G5">
        <v>10</v>
      </c>
      <c r="H5">
        <v>2023</v>
      </c>
      <c r="I5" t="str">
        <v>salary</v>
      </c>
      <c r="M5">
        <v>19</v>
      </c>
      <c r="N5">
        <v>45243</v>
      </c>
      <c r="O5" t="str">
        <v>Supa</v>
      </c>
      <c r="P5">
        <v>25</v>
      </c>
      <c r="Q5" t="str">
        <v>Expenses</v>
      </c>
      <c r="R5" t="str">
        <v>G-cash</v>
      </c>
      <c r="S5">
        <v>11</v>
      </c>
      <c r="T5">
        <v>2023</v>
      </c>
      <c r="U5" t="str">
        <v>Supa</v>
      </c>
      <c r="Y5">
        <v>20</v>
      </c>
      <c r="Z5">
        <v>45243</v>
      </c>
      <c r="AA5" t="str">
        <v>Supa</v>
      </c>
      <c r="AB5">
        <v>125</v>
      </c>
      <c r="AC5" t="str">
        <v>Expenses</v>
      </c>
      <c r="AD5" t="str">
        <v>G-cash</v>
      </c>
      <c r="AE5">
        <v>11</v>
      </c>
      <c r="AF5">
        <v>2023</v>
      </c>
      <c r="AG5" t="str">
        <v>Supa</v>
      </c>
      <c r="AK5">
        <v>22</v>
      </c>
      <c r="AL5">
        <v>45245</v>
      </c>
      <c r="AM5" t="str">
        <v>Supa</v>
      </c>
      <c r="AN5">
        <v>125</v>
      </c>
      <c r="AO5" t="str">
        <v>Expenses</v>
      </c>
      <c r="AP5" t="str">
        <v>G-cash</v>
      </c>
      <c r="AQ5">
        <v>11</v>
      </c>
      <c r="AR5">
        <v>2023</v>
      </c>
      <c r="AS5" t="str">
        <v>Supa</v>
      </c>
      <c r="AW5">
        <v>22</v>
      </c>
      <c r="AX5">
        <v>45245</v>
      </c>
      <c r="AY5" t="str">
        <v>Supa</v>
      </c>
      <c r="AZ5">
        <v>125</v>
      </c>
      <c r="BA5" t="str">
        <v>Expenses</v>
      </c>
      <c r="BB5" t="str">
        <v>G-cash</v>
      </c>
      <c r="BC5">
        <v>11</v>
      </c>
      <c r="BD5">
        <v>2023</v>
      </c>
      <c r="BE5" t="str">
        <v>Supa</v>
      </c>
    </row>
    <row r="6" spans="1:57" x14ac:dyDescent="0.25">
      <c r="A6">
        <v>8</v>
      </c>
      <c r="B6">
        <v>45235</v>
      </c>
      <c r="C6" t="str">
        <v>Tahong harvest</v>
      </c>
      <c r="D6">
        <v>12560</v>
      </c>
      <c r="E6" t="str">
        <v>Income</v>
      </c>
      <c r="F6" t="str">
        <v>Stash</v>
      </c>
      <c r="G6">
        <v>11</v>
      </c>
      <c r="H6">
        <v>2023</v>
      </c>
      <c r="I6" t="str">
        <v>Tahong harvest</v>
      </c>
      <c r="M6">
        <v>20</v>
      </c>
      <c r="N6">
        <v>45243</v>
      </c>
      <c r="O6" t="str">
        <v>Supa</v>
      </c>
      <c r="P6">
        <v>125</v>
      </c>
      <c r="Q6" t="str">
        <v>Expenses</v>
      </c>
      <c r="R6" t="str">
        <v>G-cash</v>
      </c>
      <c r="S6">
        <v>11</v>
      </c>
      <c r="T6">
        <v>2023</v>
      </c>
      <c r="U6" t="str">
        <v>Supa</v>
      </c>
      <c r="Y6">
        <v>22</v>
      </c>
      <c r="Z6">
        <v>45245</v>
      </c>
      <c r="AA6" t="str">
        <v>Supa</v>
      </c>
      <c r="AB6">
        <v>125</v>
      </c>
      <c r="AC6" t="str">
        <v>Expenses</v>
      </c>
      <c r="AD6" t="str">
        <v>G-cash</v>
      </c>
      <c r="AE6">
        <v>11</v>
      </c>
      <c r="AF6">
        <v>2023</v>
      </c>
      <c r="AG6" t="str">
        <v>Supa</v>
      </c>
      <c r="AK6">
        <v>32</v>
      </c>
      <c r="AL6">
        <v>45253</v>
      </c>
      <c r="AM6" t="str">
        <v>Supa</v>
      </c>
      <c r="AN6">
        <v>125</v>
      </c>
      <c r="AO6" t="str">
        <v>Expenses</v>
      </c>
      <c r="AP6" t="str">
        <v>G-cash</v>
      </c>
      <c r="AQ6">
        <v>11</v>
      </c>
      <c r="AR6">
        <v>2023</v>
      </c>
      <c r="AS6" t="str">
        <v>Supa</v>
      </c>
      <c r="AW6">
        <v>32</v>
      </c>
      <c r="AX6">
        <v>45253</v>
      </c>
      <c r="AY6" t="str">
        <v>Supa</v>
      </c>
      <c r="AZ6">
        <v>125</v>
      </c>
      <c r="BA6" t="str">
        <v>Expenses</v>
      </c>
      <c r="BB6" t="str">
        <v>G-cash</v>
      </c>
      <c r="BC6">
        <v>11</v>
      </c>
      <c r="BD6">
        <v>2023</v>
      </c>
      <c r="BE6" t="str">
        <v>Supa</v>
      </c>
    </row>
    <row r="7" spans="1:57" x14ac:dyDescent="0.25">
      <c r="A7">
        <v>28</v>
      </c>
      <c r="B7">
        <v>45248</v>
      </c>
      <c r="C7" t="str">
        <v>Income (with bonus?)</v>
      </c>
      <c r="D7">
        <v>44732</v>
      </c>
      <c r="E7" t="str">
        <v>Income</v>
      </c>
      <c r="F7" t="str">
        <v>Bank</v>
      </c>
      <c r="G7">
        <v>11</v>
      </c>
      <c r="H7">
        <v>2023</v>
      </c>
      <c r="I7" t="str">
        <v>Income (with bonus?)</v>
      </c>
      <c r="M7">
        <v>22</v>
      </c>
      <c r="N7">
        <v>45245</v>
      </c>
      <c r="O7" t="str">
        <v>Supa</v>
      </c>
      <c r="P7">
        <v>125</v>
      </c>
      <c r="Q7" t="str">
        <v>Expenses</v>
      </c>
      <c r="R7" t="str">
        <v>G-cash</v>
      </c>
      <c r="S7">
        <v>11</v>
      </c>
      <c r="T7">
        <v>2023</v>
      </c>
      <c r="U7" t="str">
        <v>Supa</v>
      </c>
      <c r="Y7">
        <v>30</v>
      </c>
      <c r="Z7">
        <v>45252</v>
      </c>
      <c r="AA7" t="str">
        <v>YT Membership</v>
      </c>
      <c r="AB7">
        <v>129</v>
      </c>
      <c r="AC7" t="str">
        <v>Expenses</v>
      </c>
      <c r="AD7" t="str">
        <v>G-cash</v>
      </c>
      <c r="AE7">
        <v>11</v>
      </c>
      <c r="AF7">
        <v>2023</v>
      </c>
      <c r="AG7" t="str">
        <v>YT Membership</v>
      </c>
      <c r="AK7">
        <v>34</v>
      </c>
      <c r="AL7">
        <v>45262</v>
      </c>
      <c r="AM7" t="str">
        <v>Supa</v>
      </c>
      <c r="AN7">
        <v>125</v>
      </c>
      <c r="AO7" t="str">
        <v>Expenses</v>
      </c>
      <c r="AP7" t="str">
        <v>G-cash</v>
      </c>
      <c r="AQ7">
        <v>12</v>
      </c>
      <c r="AR7">
        <v>2023</v>
      </c>
      <c r="AS7" t="str">
        <v>Supa</v>
      </c>
      <c r="AW7">
        <v>34</v>
      </c>
      <c r="AX7">
        <v>45262</v>
      </c>
      <c r="AY7" t="str">
        <v>Supa</v>
      </c>
      <c r="AZ7">
        <v>125</v>
      </c>
      <c r="BA7" t="str">
        <v>Expenses</v>
      </c>
      <c r="BB7" t="str">
        <v>G-cash</v>
      </c>
      <c r="BC7">
        <v>12</v>
      </c>
      <c r="BD7">
        <v>2023</v>
      </c>
      <c r="BE7" t="str">
        <v>Supa</v>
      </c>
    </row>
    <row r="8" spans="1:57" x14ac:dyDescent="0.25">
      <c r="A8">
        <v>33</v>
      </c>
      <c r="B8">
        <v>45260</v>
      </c>
      <c r="C8" t="str">
        <v>サラリー</v>
      </c>
      <c r="D8">
        <v>12734</v>
      </c>
      <c r="E8" t="str">
        <v>Income</v>
      </c>
      <c r="F8" t="str">
        <v>Bank</v>
      </c>
      <c r="G8">
        <v>11</v>
      </c>
      <c r="H8">
        <v>2023</v>
      </c>
      <c r="I8" t="str">
        <v>salary</v>
      </c>
      <c r="M8">
        <v>30</v>
      </c>
      <c r="N8">
        <v>45252</v>
      </c>
      <c r="O8" t="str">
        <v>YT Membership</v>
      </c>
      <c r="P8">
        <v>129</v>
      </c>
      <c r="Q8" t="str">
        <v>Expenses</v>
      </c>
      <c r="R8" t="str">
        <v>G-cash</v>
      </c>
      <c r="S8">
        <v>11</v>
      </c>
      <c r="T8">
        <v>2023</v>
      </c>
      <c r="U8" t="str">
        <v>YT Membership</v>
      </c>
      <c r="Y8">
        <v>31</v>
      </c>
      <c r="Z8">
        <v>45252</v>
      </c>
      <c r="AA8" t="str">
        <v>Genshin Welkin</v>
      </c>
      <c r="AB8">
        <v>280</v>
      </c>
      <c r="AC8" t="str">
        <v>Expenses</v>
      </c>
      <c r="AD8" t="str">
        <v>G-cash</v>
      </c>
      <c r="AE8">
        <v>11</v>
      </c>
      <c r="AF8">
        <v>2023</v>
      </c>
      <c r="AG8" t="str">
        <v>Genshin Welkin</v>
      </c>
      <c r="AK8">
        <v>40</v>
      </c>
      <c r="AL8">
        <v>45268</v>
      </c>
      <c r="AM8" t="str">
        <v>Supa</v>
      </c>
      <c r="AN8">
        <v>125</v>
      </c>
      <c r="AO8" t="str">
        <v>Expenses</v>
      </c>
      <c r="AP8" t="str">
        <v>G-cash</v>
      </c>
      <c r="AQ8">
        <v>12</v>
      </c>
      <c r="AR8">
        <v>2023</v>
      </c>
      <c r="AS8" t="str">
        <v>Supa</v>
      </c>
      <c r="AW8">
        <v>40</v>
      </c>
      <c r="AX8">
        <v>45268</v>
      </c>
      <c r="AY8" t="str">
        <v>Supa</v>
      </c>
      <c r="AZ8">
        <v>125</v>
      </c>
      <c r="BA8" t="str">
        <v>Expenses</v>
      </c>
      <c r="BB8" t="str">
        <v>G-cash</v>
      </c>
      <c r="BC8">
        <v>12</v>
      </c>
      <c r="BD8">
        <v>2023</v>
      </c>
      <c r="BE8" t="str">
        <v>Supa</v>
      </c>
    </row>
    <row r="9" spans="1:57" x14ac:dyDescent="0.25">
      <c r="A9">
        <v>55</v>
      </c>
      <c r="B9">
        <v>45274</v>
      </c>
      <c r="C9" t="str">
        <v>サラリー</v>
      </c>
      <c r="D9">
        <v>12732</v>
      </c>
      <c r="E9" t="str">
        <v>Income</v>
      </c>
      <c r="F9" t="str">
        <v>Bank</v>
      </c>
      <c r="G9">
        <v>12</v>
      </c>
      <c r="H9">
        <v>2023</v>
      </c>
      <c r="I9" t="str">
        <v>salary</v>
      </c>
      <c r="M9">
        <v>31</v>
      </c>
      <c r="N9">
        <v>45252</v>
      </c>
      <c r="O9" t="str">
        <v>Genshin Welkin</v>
      </c>
      <c r="P9">
        <v>280</v>
      </c>
      <c r="Q9" t="str">
        <v>Expenses</v>
      </c>
      <c r="R9" t="str">
        <v>G-cash</v>
      </c>
      <c r="S9">
        <v>11</v>
      </c>
      <c r="T9">
        <v>2023</v>
      </c>
      <c r="U9" t="str">
        <v>Genshin Welkin</v>
      </c>
      <c r="Y9">
        <v>32</v>
      </c>
      <c r="Z9">
        <v>45253</v>
      </c>
      <c r="AA9" t="str">
        <v>Supa</v>
      </c>
      <c r="AB9">
        <v>125</v>
      </c>
      <c r="AC9" t="str">
        <v>Expenses</v>
      </c>
      <c r="AD9" t="str">
        <v>G-cash</v>
      </c>
      <c r="AE9">
        <v>11</v>
      </c>
      <c r="AF9">
        <v>2023</v>
      </c>
      <c r="AG9" t="str">
        <v>Supa</v>
      </c>
      <c r="AK9">
        <v>111</v>
      </c>
      <c r="AL9">
        <v>45298</v>
      </c>
      <c r="AM9" t="str">
        <v>Supa</v>
      </c>
      <c r="AN9">
        <v>125</v>
      </c>
      <c r="AO9" t="str">
        <v>Expenses</v>
      </c>
      <c r="AP9" t="str">
        <v>G-cash</v>
      </c>
      <c r="AQ9">
        <v>1</v>
      </c>
      <c r="AR9">
        <v>2024</v>
      </c>
      <c r="AS9" t="str">
        <v>Supa</v>
      </c>
      <c r="AW9">
        <v>111</v>
      </c>
      <c r="AX9">
        <v>45298</v>
      </c>
      <c r="AY9" t="str">
        <v>Supa</v>
      </c>
      <c r="AZ9">
        <v>125</v>
      </c>
      <c r="BA9" t="str">
        <v>Expenses</v>
      </c>
      <c r="BB9" t="str">
        <v>G-cash</v>
      </c>
      <c r="BC9">
        <v>1</v>
      </c>
      <c r="BD9">
        <v>2024</v>
      </c>
      <c r="BE9" t="str">
        <v>Supa</v>
      </c>
    </row>
    <row r="10" spans="1:57" x14ac:dyDescent="0.25">
      <c r="A10">
        <v>86</v>
      </c>
      <c r="B10">
        <v>45283</v>
      </c>
      <c r="C10" t="str">
        <v>SRI</v>
      </c>
      <c r="D10">
        <v>18000</v>
      </c>
      <c r="E10" t="str">
        <v>Income</v>
      </c>
      <c r="F10" t="str">
        <v>Stash</v>
      </c>
      <c r="G10">
        <v>12</v>
      </c>
      <c r="H10">
        <v>2023</v>
      </c>
      <c r="I10" t="str">
        <v>SRI</v>
      </c>
      <c r="M10">
        <v>32</v>
      </c>
      <c r="N10">
        <v>45253</v>
      </c>
      <c r="O10" t="str">
        <v>Supa</v>
      </c>
      <c r="P10">
        <v>125</v>
      </c>
      <c r="Q10" t="str">
        <v>Expenses</v>
      </c>
      <c r="R10" t="str">
        <v>G-cash</v>
      </c>
      <c r="S10">
        <v>11</v>
      </c>
      <c r="T10">
        <v>2023</v>
      </c>
      <c r="U10" t="str">
        <v>Supa</v>
      </c>
      <c r="Y10">
        <v>34</v>
      </c>
      <c r="Z10">
        <v>45262</v>
      </c>
      <c r="AA10" t="str">
        <v>Supa</v>
      </c>
      <c r="AB10">
        <v>125</v>
      </c>
      <c r="AC10" t="str">
        <v>Expenses</v>
      </c>
      <c r="AD10" t="str">
        <v>G-cash</v>
      </c>
      <c r="AE10">
        <v>12</v>
      </c>
      <c r="AF10">
        <v>2023</v>
      </c>
      <c r="AG10" t="str">
        <v>Supa</v>
      </c>
      <c r="AK10">
        <v>112</v>
      </c>
      <c r="AL10">
        <v>45298</v>
      </c>
      <c r="AM10" t="str">
        <v>Supa</v>
      </c>
      <c r="AN10">
        <v>50</v>
      </c>
      <c r="AO10" t="str">
        <v>Expenses</v>
      </c>
      <c r="AP10" t="str">
        <v>G-cash</v>
      </c>
      <c r="AQ10">
        <v>1</v>
      </c>
      <c r="AR10">
        <v>2024</v>
      </c>
      <c r="AS10" t="str">
        <v>Supa</v>
      </c>
      <c r="AW10">
        <v>112</v>
      </c>
      <c r="AX10">
        <v>45298</v>
      </c>
      <c r="AY10" t="str">
        <v>Supa</v>
      </c>
      <c r="AZ10">
        <v>50</v>
      </c>
      <c r="BA10" t="str">
        <v>Expenses</v>
      </c>
      <c r="BB10" t="str">
        <v>G-cash</v>
      </c>
      <c r="BC10">
        <v>1</v>
      </c>
      <c r="BD10">
        <v>2024</v>
      </c>
      <c r="BE10" t="str">
        <v>Supa</v>
      </c>
    </row>
    <row r="11" spans="1:57" x14ac:dyDescent="0.25">
      <c r="A11">
        <v>106</v>
      </c>
      <c r="B11">
        <v>45288</v>
      </c>
      <c r="C11" t="str">
        <v>サラリー</v>
      </c>
      <c r="D11">
        <v>12733</v>
      </c>
      <c r="E11" t="str">
        <v>Income</v>
      </c>
      <c r="F11" t="str">
        <v>Bank</v>
      </c>
      <c r="G11">
        <v>12</v>
      </c>
      <c r="H11">
        <v>2023</v>
      </c>
      <c r="I11" t="str">
        <v>salary</v>
      </c>
      <c r="M11">
        <v>34</v>
      </c>
      <c r="N11">
        <v>45262</v>
      </c>
      <c r="O11" t="str">
        <v>Supa</v>
      </c>
      <c r="P11">
        <v>125</v>
      </c>
      <c r="Q11" t="str">
        <v>Expenses</v>
      </c>
      <c r="R11" t="str">
        <v>G-cash</v>
      </c>
      <c r="S11">
        <v>12</v>
      </c>
      <c r="T11">
        <v>2023</v>
      </c>
      <c r="U11" t="str">
        <v>Supa</v>
      </c>
      <c r="Y11">
        <v>38</v>
      </c>
      <c r="Z11">
        <v>45266</v>
      </c>
      <c r="AA11" t="str">
        <v>Spotify</v>
      </c>
      <c r="AB11">
        <v>239</v>
      </c>
      <c r="AC11" t="str">
        <v>Expenses</v>
      </c>
      <c r="AD11" t="str">
        <v>G-cash</v>
      </c>
      <c r="AE11">
        <v>12</v>
      </c>
      <c r="AF11">
        <v>2023</v>
      </c>
      <c r="AG11" t="str">
        <v>Spotify</v>
      </c>
      <c r="AK11">
        <v>117</v>
      </c>
      <c r="AL11">
        <v>45299</v>
      </c>
      <c r="AM11" t="str">
        <v>Supa</v>
      </c>
      <c r="AN11">
        <v>25</v>
      </c>
      <c r="AO11" t="str">
        <v>Expenses</v>
      </c>
      <c r="AP11" t="str">
        <v>G-cash</v>
      </c>
      <c r="AQ11">
        <v>1</v>
      </c>
      <c r="AR11">
        <v>2024</v>
      </c>
      <c r="AS11" t="str">
        <v>Supa</v>
      </c>
      <c r="AW11">
        <v>117</v>
      </c>
      <c r="AX11">
        <v>45299</v>
      </c>
      <c r="AY11" t="str">
        <v>Supa</v>
      </c>
      <c r="AZ11">
        <v>25</v>
      </c>
      <c r="BA11" t="str">
        <v>Expenses</v>
      </c>
      <c r="BB11" t="str">
        <v>G-cash</v>
      </c>
      <c r="BC11">
        <v>1</v>
      </c>
      <c r="BD11">
        <v>2024</v>
      </c>
      <c r="BE11" t="str">
        <v>Supa</v>
      </c>
    </row>
    <row r="12" spans="1:57" x14ac:dyDescent="0.25">
      <c r="A12">
        <v>133</v>
      </c>
      <c r="B12">
        <v>45305</v>
      </c>
      <c r="C12" t="str">
        <v>サラリー</v>
      </c>
      <c r="D12">
        <v>12732</v>
      </c>
      <c r="E12" t="str">
        <v>Income</v>
      </c>
      <c r="F12" t="str">
        <v>Bank</v>
      </c>
      <c r="G12">
        <v>1</v>
      </c>
      <c r="H12">
        <v>2024</v>
      </c>
      <c r="I12" t="str">
        <v>salary</v>
      </c>
      <c r="M12">
        <v>38</v>
      </c>
      <c r="N12">
        <v>45266</v>
      </c>
      <c r="O12" t="str">
        <v>Spotify</v>
      </c>
      <c r="P12">
        <v>239</v>
      </c>
      <c r="Q12" t="str">
        <v>Expenses</v>
      </c>
      <c r="R12" t="str">
        <v>G-cash</v>
      </c>
      <c r="S12">
        <v>12</v>
      </c>
      <c r="T12">
        <v>2023</v>
      </c>
      <c r="U12" t="str">
        <v>Spotify</v>
      </c>
      <c r="Y12">
        <v>40</v>
      </c>
      <c r="Z12">
        <v>45268</v>
      </c>
      <c r="AA12" t="str">
        <v>Supa</v>
      </c>
      <c r="AB12">
        <v>125</v>
      </c>
      <c r="AC12" t="str">
        <v>Expenses</v>
      </c>
      <c r="AD12" t="str">
        <v>G-cash</v>
      </c>
      <c r="AE12">
        <v>12</v>
      </c>
      <c r="AF12">
        <v>2023</v>
      </c>
      <c r="AG12" t="str">
        <v>Supa</v>
      </c>
      <c r="AK12">
        <v>118</v>
      </c>
      <c r="AL12">
        <v>45300</v>
      </c>
      <c r="AM12" t="str">
        <v>Supa</v>
      </c>
      <c r="AN12">
        <v>50</v>
      </c>
      <c r="AO12" t="str">
        <v>Expenses</v>
      </c>
      <c r="AP12" t="str">
        <v>G-cash</v>
      </c>
      <c r="AQ12">
        <v>1</v>
      </c>
      <c r="AR12">
        <v>2024</v>
      </c>
      <c r="AS12" t="str">
        <v>Supa</v>
      </c>
      <c r="AW12">
        <v>118</v>
      </c>
      <c r="AX12">
        <v>45300</v>
      </c>
      <c r="AY12" t="str">
        <v>Supa</v>
      </c>
      <c r="AZ12">
        <v>50</v>
      </c>
      <c r="BA12" t="str">
        <v>Expenses</v>
      </c>
      <c r="BB12" t="str">
        <v>G-cash</v>
      </c>
      <c r="BC12">
        <v>1</v>
      </c>
      <c r="BD12">
        <v>2024</v>
      </c>
      <c r="BE12" t="str">
        <v>Supa</v>
      </c>
    </row>
    <row r="13" spans="1:57" x14ac:dyDescent="0.25">
      <c r="A13">
        <v>146</v>
      </c>
      <c r="B13">
        <v>45319</v>
      </c>
      <c r="C13" t="str">
        <v>サラリー</v>
      </c>
      <c r="D13">
        <v>12734</v>
      </c>
      <c r="E13" t="str">
        <v>Income</v>
      </c>
      <c r="F13" t="str">
        <v>Bank</v>
      </c>
      <c r="G13">
        <v>1</v>
      </c>
      <c r="H13">
        <v>2024</v>
      </c>
      <c r="I13" t="str">
        <v>salary</v>
      </c>
      <c r="M13">
        <v>40</v>
      </c>
      <c r="N13">
        <v>45268</v>
      </c>
      <c r="O13" t="str">
        <v>Supa</v>
      </c>
      <c r="P13">
        <v>125</v>
      </c>
      <c r="Q13" t="str">
        <v>Expenses</v>
      </c>
      <c r="R13" t="str">
        <v>G-cash</v>
      </c>
      <c r="S13">
        <v>12</v>
      </c>
      <c r="T13">
        <v>2023</v>
      </c>
      <c r="U13" t="str">
        <v>Supa</v>
      </c>
      <c r="Y13">
        <v>58</v>
      </c>
      <c r="Z13">
        <v>45274</v>
      </c>
      <c r="AA13" t="str">
        <v>wifi load (magic data)</v>
      </c>
      <c r="AB13">
        <v>599</v>
      </c>
      <c r="AC13" t="str">
        <v>Expenses</v>
      </c>
      <c r="AD13" t="str">
        <v>G-cash</v>
      </c>
      <c r="AE13">
        <v>12</v>
      </c>
      <c r="AF13">
        <v>2023</v>
      </c>
      <c r="AG13" t="str">
        <v>wifi load (magic data)</v>
      </c>
      <c r="AK13">
        <v>135</v>
      </c>
      <c r="AL13">
        <v>45306</v>
      </c>
      <c r="AM13" t="str">
        <v>Supa</v>
      </c>
      <c r="AN13">
        <v>125</v>
      </c>
      <c r="AO13" t="str">
        <v>Expenses</v>
      </c>
      <c r="AP13" t="str">
        <v>G-cash</v>
      </c>
      <c r="AQ13">
        <v>1</v>
      </c>
      <c r="AR13">
        <v>2024</v>
      </c>
      <c r="AS13" t="str">
        <v>Supa</v>
      </c>
      <c r="AW13">
        <v>135</v>
      </c>
      <c r="AX13">
        <v>45306</v>
      </c>
      <c r="AY13" t="str">
        <v>Supa</v>
      </c>
      <c r="AZ13">
        <v>125</v>
      </c>
      <c r="BA13" t="str">
        <v>Expenses</v>
      </c>
      <c r="BB13" t="str">
        <v>G-cash</v>
      </c>
      <c r="BC13">
        <v>1</v>
      </c>
      <c r="BD13">
        <v>2024</v>
      </c>
      <c r="BE13" t="str">
        <v>Supa</v>
      </c>
    </row>
    <row r="14" spans="1:57" x14ac:dyDescent="0.25">
      <c r="A14">
        <v>202</v>
      </c>
      <c r="B14">
        <v>45337</v>
      </c>
      <c r="C14" t="str">
        <v>サラリー</v>
      </c>
      <c r="D14">
        <v>12597</v>
      </c>
      <c r="E14" t="str">
        <v>Income</v>
      </c>
      <c r="F14" t="str">
        <v>Bank</v>
      </c>
      <c r="G14">
        <v>2</v>
      </c>
      <c r="H14">
        <v>2024</v>
      </c>
      <c r="I14" t="str">
        <v>salary</v>
      </c>
      <c r="M14">
        <v>56</v>
      </c>
      <c r="N14">
        <v>45274</v>
      </c>
      <c r="O14" t="str">
        <v>Gcash cash-in</v>
      </c>
      <c r="P14">
        <v>3000</v>
      </c>
      <c r="Q14" t="str">
        <v>Withdraw</v>
      </c>
      <c r="R14" t="str">
        <v>G-cash</v>
      </c>
      <c r="S14">
        <v>12</v>
      </c>
      <c r="T14">
        <v>2023</v>
      </c>
      <c r="U14" t="str">
        <v>Gcash cash-in</v>
      </c>
      <c r="Y14">
        <v>75</v>
      </c>
      <c r="Z14">
        <v>45278</v>
      </c>
      <c r="AA14" t="str">
        <v>Genshin Welkin</v>
      </c>
      <c r="AB14">
        <v>280</v>
      </c>
      <c r="AC14" t="str">
        <v>Expenses</v>
      </c>
      <c r="AD14" t="str">
        <v>G-cash</v>
      </c>
      <c r="AE14">
        <v>12</v>
      </c>
      <c r="AF14">
        <v>2023</v>
      </c>
      <c r="AG14" t="str">
        <v>Genshin Welkin</v>
      </c>
      <c r="AK14">
        <v>137</v>
      </c>
      <c r="AL14">
        <v>45309</v>
      </c>
      <c r="AM14" t="str">
        <v>Supa</v>
      </c>
      <c r="AN14">
        <v>125</v>
      </c>
      <c r="AO14" t="str">
        <v>Expenses</v>
      </c>
      <c r="AP14" t="str">
        <v>G-cash</v>
      </c>
      <c r="AQ14">
        <v>1</v>
      </c>
      <c r="AR14">
        <v>2024</v>
      </c>
      <c r="AS14" t="str">
        <v>Supa</v>
      </c>
      <c r="AW14">
        <v>137</v>
      </c>
      <c r="AX14">
        <v>45309</v>
      </c>
      <c r="AY14" t="str">
        <v>Supa</v>
      </c>
      <c r="AZ14">
        <v>125</v>
      </c>
      <c r="BA14" t="str">
        <v>Expenses</v>
      </c>
      <c r="BB14" t="str">
        <v>G-cash</v>
      </c>
      <c r="BC14">
        <v>1</v>
      </c>
      <c r="BD14">
        <v>2024</v>
      </c>
      <c r="BE14" t="str">
        <v>Supa</v>
      </c>
    </row>
    <row r="15" spans="1:57" x14ac:dyDescent="0.25">
      <c r="A15">
        <v>221</v>
      </c>
      <c r="B15">
        <v>45351</v>
      </c>
      <c r="C15" t="str">
        <v>さラリー</v>
      </c>
      <c r="D15">
        <v>12598</v>
      </c>
      <c r="E15" t="str">
        <v>Income</v>
      </c>
      <c r="F15" t="str">
        <v>Bank</v>
      </c>
      <c r="G15">
        <v>2</v>
      </c>
      <c r="H15">
        <v>2024</v>
      </c>
      <c r="I15" t="str">
        <v>salary</v>
      </c>
      <c r="M15">
        <v>57</v>
      </c>
      <c r="N15">
        <v>45274</v>
      </c>
      <c r="O15" t="str">
        <v>Gcash cash-in</v>
      </c>
      <c r="P15">
        <v>3000</v>
      </c>
      <c r="Q15" t="str">
        <v>Deposit</v>
      </c>
      <c r="R15" t="str">
        <v>G-cash</v>
      </c>
      <c r="S15">
        <v>12</v>
      </c>
      <c r="T15">
        <v>2023</v>
      </c>
      <c r="U15" t="str">
        <v>Gcash cash-in</v>
      </c>
      <c r="Y15">
        <v>76</v>
      </c>
      <c r="Z15">
        <v>45279</v>
      </c>
      <c r="AA15" t="str">
        <v>wifi load (family access)</v>
      </c>
      <c r="AB15">
        <v>199</v>
      </c>
      <c r="AC15" t="str">
        <v>Expenses</v>
      </c>
      <c r="AD15" t="str">
        <v>G-cash</v>
      </c>
      <c r="AE15">
        <v>12</v>
      </c>
      <c r="AF15">
        <v>2023</v>
      </c>
      <c r="AG15" t="str">
        <v>wifi load (family access)</v>
      </c>
      <c r="AK15">
        <v>138</v>
      </c>
      <c r="AL15">
        <v>45310</v>
      </c>
      <c r="AM15" t="str">
        <v>Supa</v>
      </c>
      <c r="AN15">
        <v>125</v>
      </c>
      <c r="AO15" t="str">
        <v>Expenses</v>
      </c>
      <c r="AP15" t="str">
        <v>G-cash</v>
      </c>
      <c r="AQ15">
        <v>1</v>
      </c>
      <c r="AR15">
        <v>2024</v>
      </c>
      <c r="AS15" t="str">
        <v>Supa</v>
      </c>
      <c r="AW15">
        <v>138</v>
      </c>
      <c r="AX15">
        <v>45310</v>
      </c>
      <c r="AY15" t="str">
        <v>Supa</v>
      </c>
      <c r="AZ15">
        <v>125</v>
      </c>
      <c r="BA15" t="str">
        <v>Expenses</v>
      </c>
      <c r="BB15" t="str">
        <v>G-cash</v>
      </c>
      <c r="BC15">
        <v>1</v>
      </c>
      <c r="BD15">
        <v>2024</v>
      </c>
      <c r="BE15" t="str">
        <v>Supa</v>
      </c>
    </row>
    <row r="16" spans="1:57" x14ac:dyDescent="0.25">
      <c r="A16">
        <v>236</v>
      </c>
      <c r="B16">
        <v>45365</v>
      </c>
      <c r="C16" t="str">
        <v>さラリー</v>
      </c>
      <c r="D16">
        <v>12579</v>
      </c>
      <c r="E16" t="str">
        <v>Income</v>
      </c>
      <c r="F16" t="str">
        <v>Bank</v>
      </c>
      <c r="G16">
        <v>3</v>
      </c>
      <c r="H16">
        <v>2024</v>
      </c>
      <c r="I16" t="str">
        <v>salary</v>
      </c>
      <c r="M16">
        <v>58</v>
      </c>
      <c r="N16">
        <v>45274</v>
      </c>
      <c r="O16" t="str">
        <v>wifi load (magic data)</v>
      </c>
      <c r="P16">
        <v>599</v>
      </c>
      <c r="Q16" t="str">
        <v>Expenses</v>
      </c>
      <c r="R16" t="str">
        <v>G-cash</v>
      </c>
      <c r="S16">
        <v>12</v>
      </c>
      <c r="T16">
        <v>2023</v>
      </c>
      <c r="U16" t="str">
        <v>wifi load (magic data)</v>
      </c>
      <c r="Y16">
        <v>77</v>
      </c>
      <c r="Z16">
        <v>45281</v>
      </c>
      <c r="AA16" t="str">
        <v>Steam (nirvanA Initiative)</v>
      </c>
      <c r="AB16">
        <v>768</v>
      </c>
      <c r="AC16" t="str">
        <v>Expenses</v>
      </c>
      <c r="AD16" t="str">
        <v>G-cash</v>
      </c>
      <c r="AE16">
        <v>12</v>
      </c>
      <c r="AF16">
        <v>2023</v>
      </c>
      <c r="AG16" t="str">
        <v>steam</v>
      </c>
      <c r="AK16">
        <v>139</v>
      </c>
      <c r="AL16">
        <v>45311</v>
      </c>
      <c r="AM16" t="str">
        <v>Supa</v>
      </c>
      <c r="AN16">
        <v>125</v>
      </c>
      <c r="AO16" t="str">
        <v>Expenses</v>
      </c>
      <c r="AP16" t="str">
        <v>G-cash</v>
      </c>
      <c r="AQ16">
        <v>1</v>
      </c>
      <c r="AR16">
        <v>2024</v>
      </c>
      <c r="AS16" t="str">
        <v>Supa</v>
      </c>
      <c r="AW16">
        <v>139</v>
      </c>
      <c r="AX16">
        <v>45311</v>
      </c>
      <c r="AY16" t="str">
        <v>Supa</v>
      </c>
      <c r="AZ16">
        <v>125</v>
      </c>
      <c r="BA16" t="str">
        <v>Expenses</v>
      </c>
      <c r="BB16" t="str">
        <v>G-cash</v>
      </c>
      <c r="BC16">
        <v>1</v>
      </c>
      <c r="BD16">
        <v>2024</v>
      </c>
      <c r="BE16" t="str">
        <v>Supa</v>
      </c>
    </row>
    <row r="17" spans="1:57" x14ac:dyDescent="0.25">
      <c r="A17">
        <v>246</v>
      </c>
      <c r="B17">
        <v>45378</v>
      </c>
      <c r="C17" t="str">
        <v>さラリー</v>
      </c>
      <c r="D17">
        <v>12616</v>
      </c>
      <c r="E17" t="str">
        <v>Income</v>
      </c>
      <c r="F17" t="str">
        <v>Bank</v>
      </c>
      <c r="G17">
        <v>3</v>
      </c>
      <c r="H17">
        <v>2024</v>
      </c>
      <c r="I17" t="str">
        <v>salary</v>
      </c>
      <c r="M17">
        <v>75</v>
      </c>
      <c r="N17">
        <v>45278</v>
      </c>
      <c r="O17" t="str">
        <v>Genshin Welkin</v>
      </c>
      <c r="P17">
        <v>280</v>
      </c>
      <c r="Q17" t="str">
        <v>Expenses</v>
      </c>
      <c r="R17" t="str">
        <v>G-cash</v>
      </c>
      <c r="S17">
        <v>12</v>
      </c>
      <c r="T17">
        <v>2023</v>
      </c>
      <c r="U17" t="str">
        <v>Genshin Welkin</v>
      </c>
      <c r="Y17">
        <v>78</v>
      </c>
      <c r="Z17">
        <v>45282</v>
      </c>
      <c r="AA17" t="str">
        <v>YT Membership</v>
      </c>
      <c r="AB17">
        <v>129</v>
      </c>
      <c r="AC17" t="str">
        <v>Expenses</v>
      </c>
      <c r="AD17" t="str">
        <v>G-cash</v>
      </c>
      <c r="AE17">
        <v>12</v>
      </c>
      <c r="AF17">
        <v>2023</v>
      </c>
      <c r="AG17" t="str">
        <v>YT Membership</v>
      </c>
      <c r="AK17">
        <v>140</v>
      </c>
      <c r="AL17">
        <v>45312</v>
      </c>
      <c r="AM17" t="str">
        <v>Supa</v>
      </c>
      <c r="AN17">
        <v>125</v>
      </c>
      <c r="AO17" t="str">
        <v>Expenses</v>
      </c>
      <c r="AP17" t="str">
        <v>G-cash</v>
      </c>
      <c r="AQ17">
        <v>1</v>
      </c>
      <c r="AR17">
        <v>2024</v>
      </c>
      <c r="AS17" t="str">
        <v>Supa</v>
      </c>
      <c r="AW17">
        <v>140</v>
      </c>
      <c r="AX17">
        <v>45312</v>
      </c>
      <c r="AY17" t="str">
        <v>Supa</v>
      </c>
      <c r="AZ17">
        <v>125</v>
      </c>
      <c r="BA17" t="str">
        <v>Expenses</v>
      </c>
      <c r="BB17" t="str">
        <v>G-cash</v>
      </c>
      <c r="BC17">
        <v>1</v>
      </c>
      <c r="BD17">
        <v>2024</v>
      </c>
      <c r="BE17" t="str">
        <v>Supa</v>
      </c>
    </row>
    <row r="18" spans="1:57" x14ac:dyDescent="0.25">
      <c r="A18">
        <v>262</v>
      </c>
      <c r="B18">
        <v>45391</v>
      </c>
      <c r="C18" t="str">
        <v>clothing allowance</v>
      </c>
      <c r="D18">
        <v>6000</v>
      </c>
      <c r="E18" t="str">
        <v>Income</v>
      </c>
      <c r="F18" t="str">
        <v>Bank</v>
      </c>
      <c r="G18">
        <v>4</v>
      </c>
      <c r="H18">
        <v>2024</v>
      </c>
      <c r="I18" t="str">
        <v>clothing allowance</v>
      </c>
      <c r="M18">
        <v>76</v>
      </c>
      <c r="N18">
        <v>45279</v>
      </c>
      <c r="O18" t="str">
        <v>wifi load (family access)</v>
      </c>
      <c r="P18">
        <v>199</v>
      </c>
      <c r="Q18" t="str">
        <v>Expenses</v>
      </c>
      <c r="R18" t="str">
        <v>G-cash</v>
      </c>
      <c r="S18">
        <v>12</v>
      </c>
      <c r="T18">
        <v>2023</v>
      </c>
      <c r="U18" t="str">
        <v>wifi load (family access)</v>
      </c>
      <c r="Y18">
        <v>97</v>
      </c>
      <c r="Z18">
        <v>45286</v>
      </c>
      <c r="AA18" t="str">
        <v>wifi load (family access)</v>
      </c>
      <c r="AB18">
        <v>199</v>
      </c>
      <c r="AC18" t="str">
        <v>Expenses</v>
      </c>
      <c r="AD18" t="str">
        <v>G-cash</v>
      </c>
      <c r="AE18">
        <v>12</v>
      </c>
      <c r="AF18">
        <v>2023</v>
      </c>
      <c r="AG18" t="str">
        <v>wifi load (family access)</v>
      </c>
      <c r="AK18">
        <v>143</v>
      </c>
      <c r="AL18">
        <v>45315</v>
      </c>
      <c r="AM18" t="str">
        <v>Supa</v>
      </c>
      <c r="AN18">
        <v>125</v>
      </c>
      <c r="AO18" t="str">
        <v>Expenses</v>
      </c>
      <c r="AP18" t="str">
        <v>G-cash</v>
      </c>
      <c r="AQ18">
        <v>1</v>
      </c>
      <c r="AR18">
        <v>2024</v>
      </c>
      <c r="AS18" t="str">
        <v>Supa</v>
      </c>
      <c r="AW18">
        <v>143</v>
      </c>
      <c r="AX18">
        <v>45315</v>
      </c>
      <c r="AY18" t="str">
        <v>Supa</v>
      </c>
      <c r="AZ18">
        <v>125</v>
      </c>
      <c r="BA18" t="str">
        <v>Expenses</v>
      </c>
      <c r="BB18" t="str">
        <v>G-cash</v>
      </c>
      <c r="BC18">
        <v>1</v>
      </c>
      <c r="BD18">
        <v>2024</v>
      </c>
      <c r="BE18" t="str">
        <v>Supa</v>
      </c>
    </row>
    <row r="19" spans="1:57" x14ac:dyDescent="0.25">
      <c r="A19">
        <v>264</v>
      </c>
      <c r="B19">
        <v>45397</v>
      </c>
      <c r="C19" t="str">
        <v>さラリー</v>
      </c>
      <c r="D19">
        <v>13615</v>
      </c>
      <c r="E19" t="str">
        <v>Income</v>
      </c>
      <c r="F19" t="str">
        <v>Bank</v>
      </c>
      <c r="G19">
        <v>4</v>
      </c>
      <c r="H19">
        <v>2024</v>
      </c>
      <c r="I19" t="str">
        <v>salary</v>
      </c>
      <c r="M19">
        <v>77</v>
      </c>
      <c r="N19">
        <v>45281</v>
      </c>
      <c r="O19" t="str">
        <v>Steam (nirvanA Initiative)</v>
      </c>
      <c r="P19">
        <v>768</v>
      </c>
      <c r="Q19" t="str">
        <v>Expenses</v>
      </c>
      <c r="R19" t="str">
        <v>G-cash</v>
      </c>
      <c r="S19">
        <v>12</v>
      </c>
      <c r="T19">
        <v>2023</v>
      </c>
      <c r="U19" t="str">
        <v>steam</v>
      </c>
      <c r="Y19">
        <v>110</v>
      </c>
      <c r="Z19">
        <v>45297</v>
      </c>
      <c r="AA19" t="str">
        <v>Spotify</v>
      </c>
      <c r="AB19">
        <v>239</v>
      </c>
      <c r="AC19" t="str">
        <v>Expenses</v>
      </c>
      <c r="AD19" t="str">
        <v>G-cash</v>
      </c>
      <c r="AE19">
        <v>1</v>
      </c>
      <c r="AF19">
        <v>2024</v>
      </c>
      <c r="AG19" t="str">
        <v>Spotify</v>
      </c>
      <c r="AK19">
        <v>144</v>
      </c>
      <c r="AL19">
        <v>45315</v>
      </c>
      <c r="AM19" t="str">
        <v>Supa</v>
      </c>
      <c r="AN19">
        <v>25</v>
      </c>
      <c r="AO19" t="str">
        <v>Expenses</v>
      </c>
      <c r="AP19" t="str">
        <v>G-cash</v>
      </c>
      <c r="AQ19">
        <v>1</v>
      </c>
      <c r="AR19">
        <v>2024</v>
      </c>
      <c r="AS19" t="str">
        <v>Supa</v>
      </c>
      <c r="AW19">
        <v>144</v>
      </c>
      <c r="AX19">
        <v>45315</v>
      </c>
      <c r="AY19" t="str">
        <v>Supa</v>
      </c>
      <c r="AZ19">
        <v>25</v>
      </c>
      <c r="BA19" t="str">
        <v>Expenses</v>
      </c>
      <c r="BB19" t="str">
        <v>G-cash</v>
      </c>
      <c r="BC19">
        <v>1</v>
      </c>
      <c r="BD19">
        <v>2024</v>
      </c>
      <c r="BE19" t="str">
        <v>Supa</v>
      </c>
    </row>
    <row r="20" spans="1:57" x14ac:dyDescent="0.25">
      <c r="A20">
        <v>278</v>
      </c>
      <c r="B20">
        <v>45412</v>
      </c>
      <c r="C20" t="str">
        <v>サラリー</v>
      </c>
      <c r="D20">
        <v>12616</v>
      </c>
      <c r="E20" t="str">
        <v>Income</v>
      </c>
      <c r="F20" t="str">
        <v>Bank</v>
      </c>
      <c r="G20">
        <v>4</v>
      </c>
      <c r="H20">
        <v>2024</v>
      </c>
      <c r="I20" t="str">
        <v>salary</v>
      </c>
      <c r="M20">
        <v>78</v>
      </c>
      <c r="N20">
        <v>45282</v>
      </c>
      <c r="O20" t="str">
        <v>YT Membership</v>
      </c>
      <c r="P20">
        <v>129</v>
      </c>
      <c r="Q20" t="str">
        <v>Expenses</v>
      </c>
      <c r="R20" t="str">
        <v>G-cash</v>
      </c>
      <c r="S20">
        <v>12</v>
      </c>
      <c r="T20">
        <v>2023</v>
      </c>
      <c r="U20" t="str">
        <v>YT Membership</v>
      </c>
      <c r="Y20">
        <v>111</v>
      </c>
      <c r="Z20">
        <v>45298</v>
      </c>
      <c r="AA20" t="str">
        <v>Supa</v>
      </c>
      <c r="AB20">
        <v>125</v>
      </c>
      <c r="AC20" t="str">
        <v>Expenses</v>
      </c>
      <c r="AD20" t="str">
        <v>G-cash</v>
      </c>
      <c r="AE20">
        <v>1</v>
      </c>
      <c r="AF20">
        <v>2024</v>
      </c>
      <c r="AG20" t="str">
        <v>Supa</v>
      </c>
      <c r="AK20">
        <v>145</v>
      </c>
      <c r="AL20">
        <v>45316</v>
      </c>
      <c r="AM20" t="str">
        <v>Supa</v>
      </c>
      <c r="AN20">
        <v>125</v>
      </c>
      <c r="AO20" t="str">
        <v>Expenses</v>
      </c>
      <c r="AP20" t="str">
        <v>G-cash</v>
      </c>
      <c r="AQ20">
        <v>1</v>
      </c>
      <c r="AR20">
        <v>2024</v>
      </c>
      <c r="AS20" t="str">
        <v>Supa</v>
      </c>
      <c r="AW20">
        <v>145</v>
      </c>
      <c r="AX20">
        <v>45316</v>
      </c>
      <c r="AY20" t="str">
        <v>Supa</v>
      </c>
      <c r="AZ20">
        <v>125</v>
      </c>
      <c r="BA20" t="str">
        <v>Expenses</v>
      </c>
      <c r="BB20" t="str">
        <v>G-cash</v>
      </c>
      <c r="BC20">
        <v>1</v>
      </c>
      <c r="BD20">
        <v>2024</v>
      </c>
      <c r="BE20" t="str">
        <v>Supa</v>
      </c>
    </row>
    <row r="21" spans="1:57" x14ac:dyDescent="0.25">
      <c r="A21">
        <v>299</v>
      </c>
      <c r="B21">
        <v>45426</v>
      </c>
      <c r="C21" t="str">
        <v>サラリー</v>
      </c>
      <c r="D21">
        <v>12615</v>
      </c>
      <c r="E21" t="str">
        <v>Income</v>
      </c>
      <c r="F21" t="str">
        <v>Bank</v>
      </c>
      <c r="G21">
        <v>5</v>
      </c>
      <c r="H21">
        <v>2024</v>
      </c>
      <c r="I21" t="str">
        <v>salary</v>
      </c>
      <c r="M21">
        <v>97</v>
      </c>
      <c r="N21">
        <v>45286</v>
      </c>
      <c r="O21" t="str">
        <v>wifi load (family access)</v>
      </c>
      <c r="P21">
        <v>199</v>
      </c>
      <c r="Q21" t="str">
        <v>Expenses</v>
      </c>
      <c r="R21" t="str">
        <v>G-cash</v>
      </c>
      <c r="S21">
        <v>12</v>
      </c>
      <c r="T21">
        <v>2023</v>
      </c>
      <c r="U21" t="str">
        <v>wifi load (family access)</v>
      </c>
      <c r="Y21">
        <v>112</v>
      </c>
      <c r="Z21">
        <v>45298</v>
      </c>
      <c r="AA21" t="str">
        <v>Supa</v>
      </c>
      <c r="AB21">
        <v>50</v>
      </c>
      <c r="AC21" t="str">
        <v>Expenses</v>
      </c>
      <c r="AD21" t="str">
        <v>G-cash</v>
      </c>
      <c r="AE21">
        <v>1</v>
      </c>
      <c r="AF21">
        <v>2024</v>
      </c>
      <c r="AG21" t="str">
        <v>Supa</v>
      </c>
      <c r="AK21">
        <v>160</v>
      </c>
      <c r="AL21">
        <v>45322</v>
      </c>
      <c r="AM21" t="str">
        <v>Supa</v>
      </c>
      <c r="AN21">
        <v>125</v>
      </c>
      <c r="AO21" t="str">
        <v>Expenses</v>
      </c>
      <c r="AP21" t="str">
        <v>G-cash</v>
      </c>
      <c r="AQ21">
        <v>1</v>
      </c>
      <c r="AR21">
        <v>2024</v>
      </c>
      <c r="AS21" t="str">
        <v>Supa</v>
      </c>
      <c r="AW21">
        <v>160</v>
      </c>
      <c r="AX21">
        <v>45322</v>
      </c>
      <c r="AY21" t="str">
        <v>Supa</v>
      </c>
      <c r="AZ21">
        <v>125</v>
      </c>
      <c r="BA21" t="str">
        <v>Expenses</v>
      </c>
      <c r="BB21" t="str">
        <v>G-cash</v>
      </c>
      <c r="BC21">
        <v>1</v>
      </c>
      <c r="BD21">
        <v>2024</v>
      </c>
      <c r="BE21" t="str">
        <v>Supa</v>
      </c>
    </row>
    <row r="22" spans="1:57" x14ac:dyDescent="0.25">
      <c r="A22">
        <v>301</v>
      </c>
      <c r="B22">
        <v>45428</v>
      </c>
      <c r="C22" t="str">
        <v>ボーナスサラリー</v>
      </c>
      <c r="D22">
        <v>27000</v>
      </c>
      <c r="E22" t="str">
        <v>Income</v>
      </c>
      <c r="F22" t="str">
        <v>Bank</v>
      </c>
      <c r="G22">
        <v>5</v>
      </c>
      <c r="H22">
        <v>2024</v>
      </c>
      <c r="I22" t="str">
        <v>Bonus salary</v>
      </c>
      <c r="M22">
        <v>109</v>
      </c>
      <c r="N22">
        <v>45295</v>
      </c>
      <c r="O22" t="str">
        <v>Gcash cash-in (aragmot kanda(ate angie, mam angel)</v>
      </c>
      <c r="P22">
        <v>784</v>
      </c>
      <c r="Q22" t="str">
        <v>Deposit</v>
      </c>
      <c r="R22" t="str">
        <v>G-cash</v>
      </c>
      <c r="S22">
        <v>1</v>
      </c>
      <c r="T22">
        <v>2024</v>
      </c>
      <c r="U22" t="str">
        <v>Gcash cash-in</v>
      </c>
      <c r="Y22">
        <v>114</v>
      </c>
      <c r="Z22">
        <v>45298</v>
      </c>
      <c r="AA22" t="str">
        <v>Steam (Left 4 Dead 2)</v>
      </c>
      <c r="AB22">
        <v>34</v>
      </c>
      <c r="AC22" t="str">
        <v>Expenses</v>
      </c>
      <c r="AD22" t="str">
        <v>G-cash</v>
      </c>
      <c r="AE22">
        <v>1</v>
      </c>
      <c r="AF22">
        <v>2024</v>
      </c>
      <c r="AG22" t="str">
        <v>steam</v>
      </c>
      <c r="AK22">
        <v>161</v>
      </c>
      <c r="AL22">
        <v>45323</v>
      </c>
      <c r="AM22" t="str">
        <v>Supa</v>
      </c>
      <c r="AN22">
        <v>125</v>
      </c>
      <c r="AO22" t="str">
        <v>Expenses</v>
      </c>
      <c r="AP22" t="str">
        <v>G-cash</v>
      </c>
      <c r="AQ22">
        <v>2</v>
      </c>
      <c r="AR22">
        <v>2024</v>
      </c>
      <c r="AS22" t="str">
        <v>Supa</v>
      </c>
      <c r="AW22">
        <v>161</v>
      </c>
      <c r="AX22">
        <v>45323</v>
      </c>
      <c r="AY22" t="str">
        <v>Supa</v>
      </c>
      <c r="AZ22">
        <v>125</v>
      </c>
      <c r="BA22" t="str">
        <v>Expenses</v>
      </c>
      <c r="BB22" t="str">
        <v>G-cash</v>
      </c>
      <c r="BC22">
        <v>2</v>
      </c>
      <c r="BD22">
        <v>2024</v>
      </c>
      <c r="BE22" t="str">
        <v>Supa</v>
      </c>
    </row>
    <row r="23" spans="1:57" x14ac:dyDescent="0.25">
      <c r="A23">
        <v>311</v>
      </c>
      <c r="B23">
        <v>45442</v>
      </c>
      <c r="C23" t="str">
        <v>サラリー</v>
      </c>
      <c r="D23">
        <v>12615</v>
      </c>
      <c r="E23" t="str">
        <v>Income</v>
      </c>
      <c r="F23" t="str">
        <v>Bank</v>
      </c>
      <c r="G23">
        <v>5</v>
      </c>
      <c r="H23">
        <v>2024</v>
      </c>
      <c r="I23" t="str">
        <v>salary</v>
      </c>
      <c r="M23">
        <v>110</v>
      </c>
      <c r="N23">
        <v>45297</v>
      </c>
      <c r="O23" t="str">
        <v>Spotify</v>
      </c>
      <c r="P23">
        <v>239</v>
      </c>
      <c r="Q23" t="str">
        <v>Expenses</v>
      </c>
      <c r="R23" t="str">
        <v>G-cash</v>
      </c>
      <c r="S23">
        <v>1</v>
      </c>
      <c r="T23">
        <v>2024</v>
      </c>
      <c r="U23" t="str">
        <v>Spotify</v>
      </c>
      <c r="Y23">
        <v>117</v>
      </c>
      <c r="Z23">
        <v>45299</v>
      </c>
      <c r="AA23" t="str">
        <v>Supa</v>
      </c>
      <c r="AB23">
        <v>25</v>
      </c>
      <c r="AC23" t="str">
        <v>Expenses</v>
      </c>
      <c r="AD23" t="str">
        <v>G-cash</v>
      </c>
      <c r="AE23">
        <v>1</v>
      </c>
      <c r="AF23">
        <v>2024</v>
      </c>
      <c r="AG23" t="str">
        <v>Supa</v>
      </c>
      <c r="AK23">
        <v>163</v>
      </c>
      <c r="AL23">
        <v>45323</v>
      </c>
      <c r="AM23" t="str">
        <v>Supa</v>
      </c>
      <c r="AN23">
        <v>50</v>
      </c>
      <c r="AO23" t="str">
        <v>Expenses</v>
      </c>
      <c r="AP23" t="str">
        <v>G-cash</v>
      </c>
      <c r="AQ23">
        <v>2</v>
      </c>
      <c r="AR23">
        <v>2024</v>
      </c>
      <c r="AS23" t="str">
        <v>Supa</v>
      </c>
      <c r="AW23">
        <v>163</v>
      </c>
      <c r="AX23">
        <v>45323</v>
      </c>
      <c r="AY23" t="str">
        <v>Supa</v>
      </c>
      <c r="AZ23">
        <v>50</v>
      </c>
      <c r="BA23" t="str">
        <v>Expenses</v>
      </c>
      <c r="BB23" t="str">
        <v>G-cash</v>
      </c>
      <c r="BC23">
        <v>2</v>
      </c>
      <c r="BD23">
        <v>2024</v>
      </c>
      <c r="BE23" t="str">
        <v>Supa</v>
      </c>
    </row>
    <row r="24" spans="1:57" x14ac:dyDescent="0.25">
      <c r="A24">
        <v>341</v>
      </c>
      <c r="B24">
        <v>45456</v>
      </c>
      <c r="C24" t="str">
        <v>さラリー</v>
      </c>
      <c r="D24">
        <v>12615</v>
      </c>
      <c r="E24" t="str">
        <v>Income</v>
      </c>
      <c r="F24" t="str">
        <v>Bank</v>
      </c>
      <c r="G24">
        <v>6</v>
      </c>
      <c r="H24">
        <v>2024</v>
      </c>
      <c r="I24" t="str">
        <v>salary</v>
      </c>
      <c r="M24">
        <v>111</v>
      </c>
      <c r="N24">
        <v>45298</v>
      </c>
      <c r="O24" t="str">
        <v>Supa</v>
      </c>
      <c r="P24">
        <v>125</v>
      </c>
      <c r="Q24" t="str">
        <v>Expenses</v>
      </c>
      <c r="R24" t="str">
        <v>G-cash</v>
      </c>
      <c r="S24">
        <v>1</v>
      </c>
      <c r="T24">
        <v>2024</v>
      </c>
      <c r="U24" t="str">
        <v>Supa</v>
      </c>
      <c r="Y24">
        <v>118</v>
      </c>
      <c r="Z24">
        <v>45300</v>
      </c>
      <c r="AA24" t="str">
        <v>Supa</v>
      </c>
      <c r="AB24">
        <v>50</v>
      </c>
      <c r="AC24" t="str">
        <v>Expenses</v>
      </c>
      <c r="AD24" t="str">
        <v>G-cash</v>
      </c>
      <c r="AE24">
        <v>1</v>
      </c>
      <c r="AF24">
        <v>2024</v>
      </c>
      <c r="AG24" t="str">
        <v>Supa</v>
      </c>
      <c r="AK24">
        <v>164</v>
      </c>
      <c r="AL24">
        <v>45323</v>
      </c>
      <c r="AM24" t="str">
        <v>Supa</v>
      </c>
      <c r="AN24">
        <v>50</v>
      </c>
      <c r="AO24" t="str">
        <v>Expenses</v>
      </c>
      <c r="AP24" t="str">
        <v>G-cash</v>
      </c>
      <c r="AQ24">
        <v>2</v>
      </c>
      <c r="AR24">
        <v>2024</v>
      </c>
      <c r="AS24" t="str">
        <v>Supa</v>
      </c>
      <c r="AW24">
        <v>164</v>
      </c>
      <c r="AX24">
        <v>45323</v>
      </c>
      <c r="AY24" t="str">
        <v>Supa</v>
      </c>
      <c r="AZ24">
        <v>50</v>
      </c>
      <c r="BA24" t="str">
        <v>Expenses</v>
      </c>
      <c r="BB24" t="str">
        <v>G-cash</v>
      </c>
      <c r="BC24">
        <v>2</v>
      </c>
      <c r="BD24">
        <v>2024</v>
      </c>
      <c r="BE24" t="str">
        <v>Supa</v>
      </c>
    </row>
    <row r="25" spans="1:57" x14ac:dyDescent="0.25">
      <c r="A25">
        <v>357</v>
      </c>
      <c r="B25">
        <v>45470</v>
      </c>
      <c r="C25" t="str">
        <v>サラリー</v>
      </c>
      <c r="D25">
        <v>12616</v>
      </c>
      <c r="E25" t="str">
        <v>Income</v>
      </c>
      <c r="F25" t="str">
        <v>Stash</v>
      </c>
      <c r="G25">
        <v>6</v>
      </c>
      <c r="H25">
        <v>2024</v>
      </c>
      <c r="I25" t="str">
        <v>salary</v>
      </c>
      <c r="M25">
        <v>112</v>
      </c>
      <c r="N25">
        <v>45298</v>
      </c>
      <c r="O25" t="str">
        <v>Supa</v>
      </c>
      <c r="P25">
        <v>50</v>
      </c>
      <c r="Q25" t="str">
        <v>Expenses</v>
      </c>
      <c r="R25" t="str">
        <v>G-cash</v>
      </c>
      <c r="S25">
        <v>1</v>
      </c>
      <c r="T25">
        <v>2024</v>
      </c>
      <c r="U25" t="str">
        <v>Supa</v>
      </c>
      <c r="Y25">
        <v>131</v>
      </c>
      <c r="Z25">
        <v>45303</v>
      </c>
      <c r="AA25" t="str">
        <v>Genshin Welkin</v>
      </c>
      <c r="AB25">
        <v>280</v>
      </c>
      <c r="AC25" t="str">
        <v>Expenses</v>
      </c>
      <c r="AD25" t="str">
        <v>G-cash</v>
      </c>
      <c r="AE25">
        <v>1</v>
      </c>
      <c r="AF25">
        <v>2024</v>
      </c>
      <c r="AG25" t="str">
        <v>Genshin Welkin</v>
      </c>
      <c r="AK25">
        <v>210</v>
      </c>
      <c r="AL25">
        <v>45344</v>
      </c>
      <c r="AM25" t="str">
        <v>Supa</v>
      </c>
      <c r="AN25">
        <v>129</v>
      </c>
      <c r="AO25" t="str">
        <v>Expenses</v>
      </c>
      <c r="AP25" t="str">
        <v>G-cash</v>
      </c>
      <c r="AQ25">
        <v>2</v>
      </c>
      <c r="AR25">
        <v>2024</v>
      </c>
      <c r="AS25" t="str">
        <v>Supa</v>
      </c>
      <c r="AW25">
        <v>210</v>
      </c>
      <c r="AX25">
        <v>45344</v>
      </c>
      <c r="AY25" t="str">
        <v>Supa</v>
      </c>
      <c r="AZ25">
        <v>129</v>
      </c>
      <c r="BA25" t="str">
        <v>Expenses</v>
      </c>
      <c r="BB25" t="str">
        <v>G-cash</v>
      </c>
      <c r="BC25">
        <v>2</v>
      </c>
      <c r="BD25">
        <v>2024</v>
      </c>
      <c r="BE25" t="str">
        <v>Supa</v>
      </c>
    </row>
    <row r="26" spans="1:57" x14ac:dyDescent="0.25">
      <c r="A26">
        <v>383</v>
      </c>
      <c r="B26">
        <v>45488</v>
      </c>
      <c r="C26" t="str">
        <v>サラリー</v>
      </c>
      <c r="D26">
        <v>12663</v>
      </c>
      <c r="E26" t="str">
        <v>Income</v>
      </c>
      <c r="F26" t="str">
        <v>Bank</v>
      </c>
      <c r="G26">
        <v>7</v>
      </c>
      <c r="H26">
        <v>2024</v>
      </c>
      <c r="I26" t="str">
        <v>salary</v>
      </c>
      <c r="M26">
        <v>113</v>
      </c>
      <c r="N26">
        <v>45298</v>
      </c>
      <c r="O26" t="str">
        <v>Gcash cash-in (aragmot kan(mam jonna)</v>
      </c>
      <c r="P26">
        <v>380</v>
      </c>
      <c r="Q26" t="str">
        <v>Deposit</v>
      </c>
      <c r="R26" t="str">
        <v>G-cash</v>
      </c>
      <c r="S26">
        <v>1</v>
      </c>
      <c r="T26">
        <v>2024</v>
      </c>
      <c r="U26" t="str">
        <v>Gcash cash-in</v>
      </c>
      <c r="Y26">
        <v>135</v>
      </c>
      <c r="Z26">
        <v>45306</v>
      </c>
      <c r="AA26" t="str">
        <v>Supa</v>
      </c>
      <c r="AB26">
        <v>125</v>
      </c>
      <c r="AC26" t="str">
        <v>Expenses</v>
      </c>
      <c r="AD26" t="str">
        <v>G-cash</v>
      </c>
      <c r="AE26">
        <v>1</v>
      </c>
      <c r="AF26">
        <v>2024</v>
      </c>
      <c r="AG26" t="str">
        <v>Supa</v>
      </c>
      <c r="AK26">
        <v>223</v>
      </c>
      <c r="AL26">
        <v>45353</v>
      </c>
      <c r="AM26" t="str">
        <v>Supa</v>
      </c>
      <c r="AN26">
        <v>125</v>
      </c>
      <c r="AO26" t="str">
        <v>Expenses</v>
      </c>
      <c r="AP26" t="str">
        <v>G-cash</v>
      </c>
      <c r="AQ26">
        <v>3</v>
      </c>
      <c r="AR26">
        <v>2024</v>
      </c>
      <c r="AS26" t="str">
        <v>Supa</v>
      </c>
      <c r="AW26">
        <v>223</v>
      </c>
      <c r="AX26">
        <v>45353</v>
      </c>
      <c r="AY26" t="str">
        <v>Supa</v>
      </c>
      <c r="AZ26">
        <v>125</v>
      </c>
      <c r="BA26" t="str">
        <v>Expenses</v>
      </c>
      <c r="BB26" t="str">
        <v>G-cash</v>
      </c>
      <c r="BC26">
        <v>3</v>
      </c>
      <c r="BD26">
        <v>2024</v>
      </c>
      <c r="BE26" t="str">
        <v>Supa</v>
      </c>
    </row>
    <row r="27" spans="1:57" x14ac:dyDescent="0.25">
      <c r="A27">
        <v>413</v>
      </c>
      <c r="B27">
        <v>45499</v>
      </c>
      <c r="C27" t="str">
        <v>サラリー</v>
      </c>
      <c r="D27">
        <v>12615</v>
      </c>
      <c r="E27" t="str">
        <v>Income</v>
      </c>
      <c r="F27" t="str">
        <v>Stash</v>
      </c>
      <c r="G27">
        <v>7</v>
      </c>
      <c r="H27">
        <v>2024</v>
      </c>
      <c r="I27" t="str">
        <v>salary</v>
      </c>
      <c r="M27">
        <v>114</v>
      </c>
      <c r="N27">
        <v>45298</v>
      </c>
      <c r="O27" t="str">
        <v>Steam (Left 4 Dead 2)</v>
      </c>
      <c r="P27">
        <v>34</v>
      </c>
      <c r="Q27" t="str">
        <v>Expenses</v>
      </c>
      <c r="R27" t="str">
        <v>G-cash</v>
      </c>
      <c r="S27">
        <v>1</v>
      </c>
      <c r="T27">
        <v>2024</v>
      </c>
      <c r="U27" t="str">
        <v>steam</v>
      </c>
      <c r="Y27">
        <v>137</v>
      </c>
      <c r="Z27">
        <v>45309</v>
      </c>
      <c r="AA27" t="str">
        <v>Supa</v>
      </c>
      <c r="AB27">
        <v>125</v>
      </c>
      <c r="AC27" t="str">
        <v>Expenses</v>
      </c>
      <c r="AD27" t="str">
        <v>G-cash</v>
      </c>
      <c r="AE27">
        <v>1</v>
      </c>
      <c r="AF27">
        <v>2024</v>
      </c>
      <c r="AG27" t="str">
        <v>Supa</v>
      </c>
      <c r="AK27">
        <v>230</v>
      </c>
      <c r="AL27">
        <v>45356</v>
      </c>
      <c r="AM27" t="str">
        <v>Supa</v>
      </c>
      <c r="AN27">
        <v>50</v>
      </c>
      <c r="AO27" t="str">
        <v>Expenses</v>
      </c>
      <c r="AP27" t="str">
        <v>G-cash</v>
      </c>
      <c r="AQ27">
        <v>3</v>
      </c>
      <c r="AR27">
        <v>2024</v>
      </c>
      <c r="AS27" t="str">
        <v>Supa</v>
      </c>
      <c r="AW27">
        <v>230</v>
      </c>
      <c r="AX27">
        <v>45356</v>
      </c>
      <c r="AY27" t="str">
        <v>Supa</v>
      </c>
      <c r="AZ27">
        <v>50</v>
      </c>
      <c r="BA27" t="str">
        <v>Expenses</v>
      </c>
      <c r="BB27" t="str">
        <v>G-cash</v>
      </c>
      <c r="BC27">
        <v>3</v>
      </c>
      <c r="BD27">
        <v>2024</v>
      </c>
      <c r="BE27" t="str">
        <v>Supa</v>
      </c>
    </row>
    <row r="28" spans="1:57" x14ac:dyDescent="0.25">
      <c r="A28">
        <v>418</v>
      </c>
      <c r="B28">
        <v>45503</v>
      </c>
      <c r="C28" t="str">
        <v>cash allowance</v>
      </c>
      <c r="D28">
        <v>5000</v>
      </c>
      <c r="E28" t="str">
        <v>Income</v>
      </c>
      <c r="F28" t="str">
        <v>Bank</v>
      </c>
      <c r="G28">
        <v>7</v>
      </c>
      <c r="H28">
        <v>2024</v>
      </c>
      <c r="I28" t="str">
        <v>cash allowance</v>
      </c>
      <c r="M28">
        <v>117</v>
      </c>
      <c r="N28">
        <v>45299</v>
      </c>
      <c r="O28" t="str">
        <v>Supa</v>
      </c>
      <c r="P28">
        <v>25</v>
      </c>
      <c r="Q28" t="str">
        <v>Expenses</v>
      </c>
      <c r="R28" t="str">
        <v>G-cash</v>
      </c>
      <c r="S28">
        <v>1</v>
      </c>
      <c r="T28">
        <v>2024</v>
      </c>
      <c r="U28" t="str">
        <v>Supa</v>
      </c>
      <c r="Y28">
        <v>138</v>
      </c>
      <c r="Z28">
        <v>45310</v>
      </c>
      <c r="AA28" t="str">
        <v>Supa</v>
      </c>
      <c r="AB28">
        <v>125</v>
      </c>
      <c r="AC28" t="str">
        <v>Expenses</v>
      </c>
      <c r="AD28" t="str">
        <v>G-cash</v>
      </c>
      <c r="AE28">
        <v>1</v>
      </c>
      <c r="AF28">
        <v>2024</v>
      </c>
      <c r="AG28" t="str">
        <v>Supa</v>
      </c>
      <c r="AK28">
        <v>231</v>
      </c>
      <c r="AL28">
        <v>45356</v>
      </c>
      <c r="AM28" t="str">
        <v>Supa</v>
      </c>
      <c r="AN28">
        <v>125</v>
      </c>
      <c r="AO28" t="str">
        <v>Expenses</v>
      </c>
      <c r="AP28" t="str">
        <v>G-cash</v>
      </c>
      <c r="AQ28">
        <v>3</v>
      </c>
      <c r="AR28">
        <v>2024</v>
      </c>
      <c r="AS28" t="str">
        <v>Supa</v>
      </c>
      <c r="AW28">
        <v>231</v>
      </c>
      <c r="AX28">
        <v>45356</v>
      </c>
      <c r="AY28" t="str">
        <v>Supa</v>
      </c>
      <c r="AZ28">
        <v>125</v>
      </c>
      <c r="BA28" t="str">
        <v>Expenses</v>
      </c>
      <c r="BB28" t="str">
        <v>G-cash</v>
      </c>
      <c r="BC28">
        <v>3</v>
      </c>
      <c r="BD28">
        <v>2024</v>
      </c>
      <c r="BE28" t="str">
        <v>Supa</v>
      </c>
    </row>
    <row r="29" spans="1:57" x14ac:dyDescent="0.25">
      <c r="A29">
        <v>445</v>
      </c>
      <c r="B29">
        <v>45516</v>
      </c>
      <c r="C29" t="str">
        <v>chalk allowance</v>
      </c>
      <c r="D29">
        <v>5000</v>
      </c>
      <c r="E29" t="str">
        <v>Income</v>
      </c>
      <c r="F29" t="str">
        <v>Bank</v>
      </c>
      <c r="G29">
        <v>8</v>
      </c>
      <c r="H29">
        <v>2024</v>
      </c>
      <c r="I29" t="str">
        <v>chalk allowance</v>
      </c>
      <c r="M29">
        <v>118</v>
      </c>
      <c r="N29">
        <v>45300</v>
      </c>
      <c r="O29" t="str">
        <v>Supa</v>
      </c>
      <c r="P29">
        <v>50</v>
      </c>
      <c r="Q29" t="str">
        <v>Expenses</v>
      </c>
      <c r="R29" t="str">
        <v>G-cash</v>
      </c>
      <c r="S29">
        <v>1</v>
      </c>
      <c r="T29">
        <v>2024</v>
      </c>
      <c r="U29" t="str">
        <v>Supa</v>
      </c>
      <c r="Y29">
        <v>139</v>
      </c>
      <c r="Z29">
        <v>45311</v>
      </c>
      <c r="AA29" t="str">
        <v>Supa</v>
      </c>
      <c r="AB29">
        <v>125</v>
      </c>
      <c r="AC29" t="str">
        <v>Expenses</v>
      </c>
      <c r="AD29" t="str">
        <v>G-cash</v>
      </c>
      <c r="AE29">
        <v>1</v>
      </c>
      <c r="AF29">
        <v>2024</v>
      </c>
      <c r="AG29" t="str">
        <v>Supa</v>
      </c>
      <c r="AK29">
        <v>253</v>
      </c>
      <c r="AL29">
        <v>45384</v>
      </c>
      <c r="AM29" t="str">
        <v>Supa</v>
      </c>
      <c r="AN29">
        <v>50</v>
      </c>
      <c r="AO29" t="str">
        <v>Expenses</v>
      </c>
      <c r="AP29" t="str">
        <v>G-cash</v>
      </c>
      <c r="AQ29">
        <v>4</v>
      </c>
      <c r="AR29">
        <v>2024</v>
      </c>
      <c r="AS29" t="str">
        <v>Supa</v>
      </c>
      <c r="AW29">
        <v>253</v>
      </c>
      <c r="AX29">
        <v>45384</v>
      </c>
      <c r="AY29" t="str">
        <v>Supa</v>
      </c>
      <c r="AZ29">
        <v>50</v>
      </c>
      <c r="BA29" t="str">
        <v>Expenses</v>
      </c>
      <c r="BB29" t="str">
        <v>G-cash</v>
      </c>
      <c r="BC29">
        <v>4</v>
      </c>
      <c r="BD29">
        <v>2024</v>
      </c>
      <c r="BE29" t="str">
        <v>Supa</v>
      </c>
    </row>
    <row r="30" spans="1:57" x14ac:dyDescent="0.25">
      <c r="A30">
        <v>446</v>
      </c>
      <c r="B30">
        <v>45516</v>
      </c>
      <c r="C30" t="str">
        <v>サラリー</v>
      </c>
      <c r="D30">
        <v>12615</v>
      </c>
      <c r="E30" t="str">
        <v>Income</v>
      </c>
      <c r="F30" t="str">
        <v>Bank</v>
      </c>
      <c r="G30">
        <v>8</v>
      </c>
      <c r="H30">
        <v>2024</v>
      </c>
      <c r="I30" t="str">
        <v>salary</v>
      </c>
      <c r="M30">
        <v>121</v>
      </c>
      <c r="N30">
        <v>45300</v>
      </c>
      <c r="O30" t="str">
        <v>aragmot (kan mam jonna)</v>
      </c>
      <c r="P30">
        <v>173</v>
      </c>
      <c r="Q30" t="str">
        <v>Deposit</v>
      </c>
      <c r="R30" t="str">
        <v>G-cash</v>
      </c>
      <c r="S30">
        <v>1</v>
      </c>
      <c r="T30">
        <v>2024</v>
      </c>
      <c r="U30" t="str">
        <v>aragmot</v>
      </c>
      <c r="Y30">
        <v>140</v>
      </c>
      <c r="Z30">
        <v>45312</v>
      </c>
      <c r="AA30" t="str">
        <v>Supa</v>
      </c>
      <c r="AB30">
        <v>125</v>
      </c>
      <c r="AC30" t="str">
        <v>Expenses</v>
      </c>
      <c r="AD30" t="str">
        <v>G-cash</v>
      </c>
      <c r="AE30">
        <v>1</v>
      </c>
      <c r="AF30">
        <v>2024</v>
      </c>
      <c r="AG30" t="str">
        <v>Supa</v>
      </c>
      <c r="AK30">
        <v>254</v>
      </c>
      <c r="AL30">
        <v>45387</v>
      </c>
      <c r="AM30" t="str">
        <v>Supa</v>
      </c>
      <c r="AN30">
        <v>125</v>
      </c>
      <c r="AO30" t="str">
        <v>Expenses</v>
      </c>
      <c r="AP30" t="str">
        <v>G-cash</v>
      </c>
      <c r="AQ30">
        <v>4</v>
      </c>
      <c r="AR30">
        <v>2024</v>
      </c>
      <c r="AS30" t="str">
        <v>Supa</v>
      </c>
      <c r="AW30">
        <v>254</v>
      </c>
      <c r="AX30">
        <v>45387</v>
      </c>
      <c r="AY30" t="str">
        <v>Supa</v>
      </c>
      <c r="AZ30">
        <v>125</v>
      </c>
      <c r="BA30" t="str">
        <v>Expenses</v>
      </c>
      <c r="BB30" t="str">
        <v>G-cash</v>
      </c>
      <c r="BC30">
        <v>4</v>
      </c>
      <c r="BD30">
        <v>2024</v>
      </c>
      <c r="BE30" t="str">
        <v>Supa</v>
      </c>
    </row>
    <row r="31" spans="1:57" x14ac:dyDescent="0.25">
      <c r="A31">
        <v>458</v>
      </c>
      <c r="B31">
        <v>45534</v>
      </c>
      <c r="C31" t="str">
        <v>サラリー</v>
      </c>
      <c r="D31">
        <v>12617</v>
      </c>
      <c r="E31" t="str">
        <v>Income</v>
      </c>
      <c r="F31" t="str">
        <v>Bank</v>
      </c>
      <c r="G31">
        <v>8</v>
      </c>
      <c r="H31">
        <v>2024</v>
      </c>
      <c r="I31" t="str">
        <v>salary</v>
      </c>
      <c r="M31">
        <v>122</v>
      </c>
      <c r="N31">
        <v>45300</v>
      </c>
      <c r="O31" t="str">
        <v>aragmot (kan mam jonna)</v>
      </c>
      <c r="P31">
        <v>173</v>
      </c>
      <c r="Q31" t="str">
        <v>Withdraw</v>
      </c>
      <c r="R31" t="str">
        <v>G-cash</v>
      </c>
      <c r="S31">
        <v>1</v>
      </c>
      <c r="T31">
        <v>2024</v>
      </c>
      <c r="U31" t="str">
        <v>aragmot</v>
      </c>
      <c r="Y31">
        <v>141</v>
      </c>
      <c r="Z31">
        <v>45313</v>
      </c>
      <c r="AA31" t="str">
        <v>YT Membership</v>
      </c>
      <c r="AB31">
        <v>129</v>
      </c>
      <c r="AC31" t="str">
        <v>Expenses</v>
      </c>
      <c r="AD31" t="str">
        <v>G-cash</v>
      </c>
      <c r="AE31">
        <v>1</v>
      </c>
      <c r="AF31">
        <v>2024</v>
      </c>
      <c r="AG31" t="str">
        <v>YT Membership</v>
      </c>
      <c r="AK31">
        <v>268</v>
      </c>
      <c r="AL31">
        <v>45398</v>
      </c>
      <c r="AM31" t="str">
        <v>Supa</v>
      </c>
      <c r="AN31">
        <v>125</v>
      </c>
      <c r="AO31" t="str">
        <v>Expenses</v>
      </c>
      <c r="AP31" t="str">
        <v>G-cash</v>
      </c>
      <c r="AQ31">
        <v>4</v>
      </c>
      <c r="AR31">
        <v>2024</v>
      </c>
      <c r="AS31" t="str">
        <v>Supa</v>
      </c>
      <c r="AW31">
        <v>268</v>
      </c>
      <c r="AX31">
        <v>45398</v>
      </c>
      <c r="AY31" t="str">
        <v>Supa</v>
      </c>
      <c r="AZ31">
        <v>125</v>
      </c>
      <c r="BA31" t="str">
        <v>Expenses</v>
      </c>
      <c r="BB31" t="str">
        <v>G-cash</v>
      </c>
      <c r="BC31">
        <v>4</v>
      </c>
      <c r="BD31">
        <v>2024</v>
      </c>
      <c r="BE31" t="str">
        <v>Supa</v>
      </c>
    </row>
    <row r="32" spans="1:57" x14ac:dyDescent="0.25">
      <c r="A32">
        <v>459</v>
      </c>
      <c r="B32">
        <v>45534</v>
      </c>
      <c r="C32" t="str">
        <v>ぴびび</v>
      </c>
      <c r="D32">
        <v>12400</v>
      </c>
      <c r="E32" t="str">
        <v>Income</v>
      </c>
      <c r="F32" t="str">
        <v>Bank</v>
      </c>
      <c r="G32">
        <v>8</v>
      </c>
      <c r="H32">
        <v>2024</v>
      </c>
      <c r="I32" t="str">
        <v>PBB</v>
      </c>
      <c r="M32">
        <v>131</v>
      </c>
      <c r="N32">
        <v>45303</v>
      </c>
      <c r="O32" t="str">
        <v>Genshin Welkin</v>
      </c>
      <c r="P32">
        <v>280</v>
      </c>
      <c r="Q32" t="str">
        <v>Expenses</v>
      </c>
      <c r="R32" t="str">
        <v>G-cash</v>
      </c>
      <c r="S32">
        <v>1</v>
      </c>
      <c r="T32">
        <v>2024</v>
      </c>
      <c r="U32" t="str">
        <v>Genshin Welkin</v>
      </c>
      <c r="Y32">
        <v>143</v>
      </c>
      <c r="Z32">
        <v>45315</v>
      </c>
      <c r="AA32" t="str">
        <v>Supa</v>
      </c>
      <c r="AB32">
        <v>125</v>
      </c>
      <c r="AC32" t="str">
        <v>Expenses</v>
      </c>
      <c r="AD32" t="str">
        <v>G-cash</v>
      </c>
      <c r="AE32">
        <v>1</v>
      </c>
      <c r="AF32">
        <v>2024</v>
      </c>
      <c r="AG32" t="str">
        <v>Supa</v>
      </c>
      <c r="AK32">
        <v>281</v>
      </c>
      <c r="AL32">
        <v>45415</v>
      </c>
      <c r="AM32" t="str">
        <v>Supa</v>
      </c>
      <c r="AN32">
        <v>50</v>
      </c>
      <c r="AO32" t="str">
        <v>Expenses</v>
      </c>
      <c r="AP32" t="str">
        <v>G-cash</v>
      </c>
      <c r="AQ32">
        <v>5</v>
      </c>
      <c r="AR32">
        <v>2024</v>
      </c>
      <c r="AS32" t="str">
        <v>Supa</v>
      </c>
      <c r="AW32">
        <v>281</v>
      </c>
      <c r="AX32">
        <v>45415</v>
      </c>
      <c r="AY32" t="str">
        <v>Supa</v>
      </c>
      <c r="AZ32">
        <v>50</v>
      </c>
      <c r="BA32" t="str">
        <v>Expenses</v>
      </c>
      <c r="BB32" t="str">
        <v>G-cash</v>
      </c>
      <c r="BC32">
        <v>5</v>
      </c>
      <c r="BD32">
        <v>2024</v>
      </c>
      <c r="BE32" t="str">
        <v>Supa</v>
      </c>
    </row>
    <row r="33" spans="1:57" x14ac:dyDescent="0.25">
      <c r="A33">
        <v>472</v>
      </c>
      <c r="B33">
        <v>45548</v>
      </c>
      <c r="C33" t="str">
        <v>サラリー</v>
      </c>
      <c r="D33">
        <v>25418</v>
      </c>
      <c r="E33" t="str">
        <v>Income</v>
      </c>
      <c r="F33" t="str">
        <v>Bank</v>
      </c>
      <c r="G33">
        <v>9</v>
      </c>
      <c r="H33">
        <v>2024</v>
      </c>
      <c r="I33" t="str">
        <v>salary</v>
      </c>
      <c r="M33">
        <v>135</v>
      </c>
      <c r="N33">
        <v>45306</v>
      </c>
      <c r="O33" t="str">
        <v>Supa</v>
      </c>
      <c r="P33">
        <v>125</v>
      </c>
      <c r="Q33" t="str">
        <v>Expenses</v>
      </c>
      <c r="R33" t="str">
        <v>G-cash</v>
      </c>
      <c r="S33">
        <v>1</v>
      </c>
      <c r="T33">
        <v>2024</v>
      </c>
      <c r="U33" t="str">
        <v>Supa</v>
      </c>
      <c r="Y33">
        <v>144</v>
      </c>
      <c r="Z33">
        <v>45315</v>
      </c>
      <c r="AA33" t="str">
        <v>Supa</v>
      </c>
      <c r="AB33">
        <v>25</v>
      </c>
      <c r="AC33" t="str">
        <v>Expenses</v>
      </c>
      <c r="AD33" t="str">
        <v>G-cash</v>
      </c>
      <c r="AE33">
        <v>1</v>
      </c>
      <c r="AF33">
        <v>2024</v>
      </c>
      <c r="AG33" t="str">
        <v>Supa</v>
      </c>
      <c r="AK33">
        <v>282</v>
      </c>
      <c r="AL33">
        <v>45415</v>
      </c>
      <c r="AM33" t="str">
        <v>Supa</v>
      </c>
      <c r="AN33">
        <v>125</v>
      </c>
      <c r="AO33" t="str">
        <v>Expenses</v>
      </c>
      <c r="AP33" t="str">
        <v>G-cash</v>
      </c>
      <c r="AQ33">
        <v>5</v>
      </c>
      <c r="AR33">
        <v>2024</v>
      </c>
      <c r="AS33" t="str">
        <v>Supa</v>
      </c>
      <c r="AW33">
        <v>282</v>
      </c>
      <c r="AX33">
        <v>45415</v>
      </c>
      <c r="AY33" t="str">
        <v>Supa</v>
      </c>
      <c r="AZ33">
        <v>125</v>
      </c>
      <c r="BA33" t="str">
        <v>Expenses</v>
      </c>
      <c r="BB33" t="str">
        <v>G-cash</v>
      </c>
      <c r="BC33">
        <v>5</v>
      </c>
      <c r="BD33">
        <v>2024</v>
      </c>
      <c r="BE33" t="str">
        <v>Supa</v>
      </c>
    </row>
    <row r="34" spans="1:57" x14ac:dyDescent="0.25">
      <c r="A34">
        <v>494</v>
      </c>
      <c r="B34">
        <v>45561</v>
      </c>
      <c r="C34" t="str">
        <v>サラリー</v>
      </c>
      <c r="D34">
        <v>13202</v>
      </c>
      <c r="E34" t="str">
        <v>Income</v>
      </c>
      <c r="F34" t="str">
        <v>Stash</v>
      </c>
      <c r="G34">
        <v>9</v>
      </c>
      <c r="H34">
        <v>2024</v>
      </c>
      <c r="I34" t="str">
        <v>salary</v>
      </c>
      <c r="M34">
        <v>137</v>
      </c>
      <c r="N34">
        <v>45309</v>
      </c>
      <c r="O34" t="str">
        <v>Supa</v>
      </c>
      <c r="P34">
        <v>125</v>
      </c>
      <c r="Q34" t="str">
        <v>Expenses</v>
      </c>
      <c r="R34" t="str">
        <v>G-cash</v>
      </c>
      <c r="S34">
        <v>1</v>
      </c>
      <c r="T34">
        <v>2024</v>
      </c>
      <c r="U34" t="str">
        <v>Supa</v>
      </c>
      <c r="Y34">
        <v>145</v>
      </c>
      <c r="Z34">
        <v>45316</v>
      </c>
      <c r="AA34" t="str">
        <v>Supa</v>
      </c>
      <c r="AB34">
        <v>125</v>
      </c>
      <c r="AC34" t="str">
        <v>Expenses</v>
      </c>
      <c r="AD34" t="str">
        <v>G-cash</v>
      </c>
      <c r="AE34">
        <v>1</v>
      </c>
      <c r="AF34">
        <v>2024</v>
      </c>
      <c r="AG34" t="str">
        <v>Supa</v>
      </c>
      <c r="AK34">
        <v>290</v>
      </c>
      <c r="AL34">
        <v>45418</v>
      </c>
      <c r="AM34" t="str">
        <v>Supa</v>
      </c>
      <c r="AN34">
        <v>125</v>
      </c>
      <c r="AO34" t="str">
        <v>Expenses</v>
      </c>
      <c r="AP34" t="str">
        <v>G-cash</v>
      </c>
      <c r="AQ34">
        <v>5</v>
      </c>
      <c r="AR34">
        <v>2024</v>
      </c>
      <c r="AS34" t="str">
        <v>Supa</v>
      </c>
      <c r="AW34">
        <v>290</v>
      </c>
      <c r="AX34">
        <v>45418</v>
      </c>
      <c r="AY34" t="str">
        <v>Supa</v>
      </c>
      <c r="AZ34">
        <v>125</v>
      </c>
      <c r="BA34" t="str">
        <v>Expenses</v>
      </c>
      <c r="BB34" t="str">
        <v>G-cash</v>
      </c>
      <c r="BC34">
        <v>5</v>
      </c>
      <c r="BD34">
        <v>2024</v>
      </c>
      <c r="BE34" t="str">
        <v>Supa</v>
      </c>
    </row>
    <row r="35" spans="1:57" x14ac:dyDescent="0.25">
      <c r="A35">
        <v>516</v>
      </c>
      <c r="B35">
        <v>45578</v>
      </c>
      <c r="C35" t="str">
        <v>???</v>
      </c>
      <c r="D35">
        <v>1021</v>
      </c>
      <c r="E35" t="str">
        <v>Income</v>
      </c>
      <c r="F35" t="str">
        <v>Bank</v>
      </c>
      <c r="G35">
        <v>10</v>
      </c>
      <c r="H35">
        <v>2024</v>
      </c>
      <c r="I35" t="str">
        <v>???</v>
      </c>
      <c r="M35">
        <v>138</v>
      </c>
      <c r="N35">
        <v>45310</v>
      </c>
      <c r="O35" t="str">
        <v>Supa</v>
      </c>
      <c r="P35">
        <v>125</v>
      </c>
      <c r="Q35" t="str">
        <v>Expenses</v>
      </c>
      <c r="R35" t="str">
        <v>G-cash</v>
      </c>
      <c r="S35">
        <v>1</v>
      </c>
      <c r="T35">
        <v>2024</v>
      </c>
      <c r="U35" t="str">
        <v>Supa</v>
      </c>
      <c r="Y35">
        <v>160</v>
      </c>
      <c r="Z35">
        <v>45322</v>
      </c>
      <c r="AA35" t="str">
        <v>Supa</v>
      </c>
      <c r="AB35">
        <v>125</v>
      </c>
      <c r="AC35" t="str">
        <v>Expenses</v>
      </c>
      <c r="AD35" t="str">
        <v>G-cash</v>
      </c>
      <c r="AE35">
        <v>1</v>
      </c>
      <c r="AF35">
        <v>2024</v>
      </c>
      <c r="AG35" t="str">
        <v>Supa</v>
      </c>
      <c r="AK35">
        <v>291</v>
      </c>
      <c r="AL35">
        <v>45418</v>
      </c>
      <c r="AM35" t="str">
        <v>Supa</v>
      </c>
      <c r="AN35">
        <v>50</v>
      </c>
      <c r="AO35" t="str">
        <v>Expenses</v>
      </c>
      <c r="AP35" t="str">
        <v>G-cash</v>
      </c>
      <c r="AQ35">
        <v>5</v>
      </c>
      <c r="AR35">
        <v>2024</v>
      </c>
      <c r="AS35" t="str">
        <v>Supa</v>
      </c>
      <c r="AW35">
        <v>291</v>
      </c>
      <c r="AX35">
        <v>45418</v>
      </c>
      <c r="AY35" t="str">
        <v>Supa</v>
      </c>
      <c r="AZ35">
        <v>50</v>
      </c>
      <c r="BA35" t="str">
        <v>Expenses</v>
      </c>
      <c r="BB35" t="str">
        <v>G-cash</v>
      </c>
      <c r="BC35">
        <v>5</v>
      </c>
      <c r="BD35">
        <v>2024</v>
      </c>
      <c r="BE35" t="str">
        <v>Supa</v>
      </c>
    </row>
    <row r="36" spans="1:57" x14ac:dyDescent="0.25">
      <c r="A36">
        <v>522</v>
      </c>
      <c r="B36">
        <v>45579</v>
      </c>
      <c r="C36" t="str">
        <v>サラリー</v>
      </c>
      <c r="D36">
        <v>13240</v>
      </c>
      <c r="E36" t="str">
        <v>Income</v>
      </c>
      <c r="F36" t="str">
        <v>Bank</v>
      </c>
      <c r="G36">
        <v>10</v>
      </c>
      <c r="H36">
        <v>2024</v>
      </c>
      <c r="I36" t="str">
        <v>salary</v>
      </c>
      <c r="M36">
        <v>139</v>
      </c>
      <c r="N36">
        <v>45311</v>
      </c>
      <c r="O36" t="str">
        <v>Supa</v>
      </c>
      <c r="P36">
        <v>125</v>
      </c>
      <c r="Q36" t="str">
        <v>Expenses</v>
      </c>
      <c r="R36" t="str">
        <v>G-cash</v>
      </c>
      <c r="S36">
        <v>1</v>
      </c>
      <c r="T36">
        <v>2024</v>
      </c>
      <c r="U36" t="str">
        <v>Supa</v>
      </c>
      <c r="Y36">
        <v>161</v>
      </c>
      <c r="Z36">
        <v>45323</v>
      </c>
      <c r="AA36" t="str">
        <v>Supa</v>
      </c>
      <c r="AB36">
        <v>125</v>
      </c>
      <c r="AC36" t="str">
        <v>Expenses</v>
      </c>
      <c r="AD36" t="str">
        <v>G-cash</v>
      </c>
      <c r="AE36">
        <v>2</v>
      </c>
      <c r="AF36">
        <v>2024</v>
      </c>
      <c r="AG36" t="str">
        <v>Supa</v>
      </c>
      <c r="AK36">
        <v>302</v>
      </c>
      <c r="AL36">
        <v>45430</v>
      </c>
      <c r="AM36" t="str">
        <v>Supa</v>
      </c>
      <c r="AN36">
        <v>50</v>
      </c>
      <c r="AO36" t="str">
        <v>Expenses</v>
      </c>
      <c r="AP36" t="str">
        <v>G-cash</v>
      </c>
      <c r="AQ36">
        <v>5</v>
      </c>
      <c r="AR36">
        <v>2024</v>
      </c>
      <c r="AS36" t="str">
        <v>Supa</v>
      </c>
      <c r="AW36">
        <v>302</v>
      </c>
      <c r="AX36">
        <v>45430</v>
      </c>
      <c r="AY36" t="str">
        <v>Supa</v>
      </c>
      <c r="AZ36">
        <v>50</v>
      </c>
      <c r="BA36" t="str">
        <v>Expenses</v>
      </c>
      <c r="BB36" t="str">
        <v>G-cash</v>
      </c>
      <c r="BC36">
        <v>5</v>
      </c>
      <c r="BD36">
        <v>2024</v>
      </c>
      <c r="BE36" t="str">
        <v>Supa</v>
      </c>
    </row>
    <row r="37" spans="1:57" x14ac:dyDescent="0.25">
      <c r="A37">
        <v>540</v>
      </c>
      <c r="B37">
        <v>45596</v>
      </c>
      <c r="C37" t="str">
        <v>サラリー</v>
      </c>
      <c r="D37">
        <v>13241</v>
      </c>
      <c r="E37" t="str">
        <v>Income</v>
      </c>
      <c r="F37" t="str">
        <v>Bank</v>
      </c>
      <c r="G37">
        <v>10</v>
      </c>
      <c r="H37">
        <v>2024</v>
      </c>
      <c r="I37" t="str">
        <v>salary</v>
      </c>
      <c r="M37">
        <v>140</v>
      </c>
      <c r="N37">
        <v>45312</v>
      </c>
      <c r="O37" t="str">
        <v>Supa</v>
      </c>
      <c r="P37">
        <v>125</v>
      </c>
      <c r="Q37" t="str">
        <v>Expenses</v>
      </c>
      <c r="R37" t="str">
        <v>G-cash</v>
      </c>
      <c r="S37">
        <v>1</v>
      </c>
      <c r="T37">
        <v>2024</v>
      </c>
      <c r="U37" t="str">
        <v>Supa</v>
      </c>
      <c r="Y37">
        <v>162</v>
      </c>
      <c r="Z37">
        <v>45323</v>
      </c>
      <c r="AA37" t="str">
        <v>wifi load (magic data)</v>
      </c>
      <c r="AB37">
        <v>599</v>
      </c>
      <c r="AC37" t="str">
        <v>Expenses</v>
      </c>
      <c r="AD37" t="str">
        <v>G-cash</v>
      </c>
      <c r="AE37">
        <v>2</v>
      </c>
      <c r="AF37">
        <v>2024</v>
      </c>
      <c r="AG37" t="str">
        <v>wifi load (magic data)</v>
      </c>
      <c r="AK37">
        <v>310</v>
      </c>
      <c r="AL37">
        <v>45440</v>
      </c>
      <c r="AM37" t="str">
        <v>Supa</v>
      </c>
      <c r="AN37">
        <v>125</v>
      </c>
      <c r="AO37" t="str">
        <v>Expenses</v>
      </c>
      <c r="AP37" t="str">
        <v>G-cash</v>
      </c>
      <c r="AQ37">
        <v>5</v>
      </c>
      <c r="AR37">
        <v>2024</v>
      </c>
      <c r="AS37" t="str">
        <v>Supa</v>
      </c>
      <c r="AW37">
        <v>310</v>
      </c>
      <c r="AX37">
        <v>45440</v>
      </c>
      <c r="AY37" t="str">
        <v>Supa</v>
      </c>
      <c r="AZ37">
        <v>125</v>
      </c>
      <c r="BA37" t="str">
        <v>Expenses</v>
      </c>
      <c r="BB37" t="str">
        <v>G-cash</v>
      </c>
      <c r="BC37">
        <v>5</v>
      </c>
      <c r="BD37">
        <v>2024</v>
      </c>
      <c r="BE37" t="str">
        <v>Supa</v>
      </c>
    </row>
    <row r="38" spans="1:57" x14ac:dyDescent="0.25">
      <c r="A38">
        <v>555</v>
      </c>
      <c r="B38">
        <v>45608</v>
      </c>
      <c r="C38" t="str">
        <v>歳末のボーナス</v>
      </c>
      <c r="D38">
        <v>27000</v>
      </c>
      <c r="E38" t="str">
        <v>Income</v>
      </c>
      <c r="F38" t="str">
        <v>Bank</v>
      </c>
      <c r="G38">
        <v>11</v>
      </c>
      <c r="H38">
        <v>2024</v>
      </c>
      <c r="I38" t="str">
        <v>year-end bonus</v>
      </c>
      <c r="M38">
        <v>141</v>
      </c>
      <c r="N38">
        <v>45313</v>
      </c>
      <c r="O38" t="str">
        <v>YT Membership</v>
      </c>
      <c r="P38">
        <v>129</v>
      </c>
      <c r="Q38" t="str">
        <v>Expenses</v>
      </c>
      <c r="R38" t="str">
        <v>G-cash</v>
      </c>
      <c r="S38">
        <v>1</v>
      </c>
      <c r="T38">
        <v>2024</v>
      </c>
      <c r="U38" t="str">
        <v>YT Membership</v>
      </c>
      <c r="Y38">
        <v>163</v>
      </c>
      <c r="Z38">
        <v>45323</v>
      </c>
      <c r="AA38" t="str">
        <v>Supa</v>
      </c>
      <c r="AB38">
        <v>50</v>
      </c>
      <c r="AC38" t="str">
        <v>Expenses</v>
      </c>
      <c r="AD38" t="str">
        <v>G-cash</v>
      </c>
      <c r="AE38">
        <v>2</v>
      </c>
      <c r="AF38">
        <v>2024</v>
      </c>
      <c r="AG38" t="str">
        <v>Supa</v>
      </c>
      <c r="AK38">
        <v>313</v>
      </c>
      <c r="AL38">
        <v>45447</v>
      </c>
      <c r="AM38" t="str">
        <v>Supa</v>
      </c>
      <c r="AN38">
        <v>125</v>
      </c>
      <c r="AO38" t="str">
        <v>Expenses</v>
      </c>
      <c r="AP38" t="str">
        <v>G-cash</v>
      </c>
      <c r="AQ38">
        <v>6</v>
      </c>
      <c r="AR38">
        <v>2024</v>
      </c>
      <c r="AS38" t="str">
        <v>Supa</v>
      </c>
      <c r="AW38">
        <v>313</v>
      </c>
      <c r="AX38">
        <v>45447</v>
      </c>
      <c r="AY38" t="str">
        <v>Supa</v>
      </c>
      <c r="AZ38">
        <v>125</v>
      </c>
      <c r="BA38" t="str">
        <v>Expenses</v>
      </c>
      <c r="BB38" t="str">
        <v>G-cash</v>
      </c>
      <c r="BC38">
        <v>6</v>
      </c>
      <c r="BD38">
        <v>2024</v>
      </c>
      <c r="BE38" t="str">
        <v>Supa</v>
      </c>
    </row>
    <row r="39" spans="1:57" x14ac:dyDescent="0.25">
      <c r="A39">
        <v>556</v>
      </c>
      <c r="B39">
        <v>45608</v>
      </c>
      <c r="C39" t="str">
        <v>cash gift</v>
      </c>
      <c r="D39">
        <v>5000</v>
      </c>
      <c r="E39" t="str">
        <v>Income</v>
      </c>
      <c r="F39" t="str">
        <v>Bank</v>
      </c>
      <c r="G39">
        <v>11</v>
      </c>
      <c r="H39">
        <v>2024</v>
      </c>
      <c r="I39" t="str">
        <v>cash gift</v>
      </c>
      <c r="M39">
        <v>143</v>
      </c>
      <c r="N39">
        <v>45315</v>
      </c>
      <c r="O39" t="str">
        <v>Supa</v>
      </c>
      <c r="P39">
        <v>125</v>
      </c>
      <c r="Q39" t="str">
        <v>Expenses</v>
      </c>
      <c r="R39" t="str">
        <v>G-cash</v>
      </c>
      <c r="S39">
        <v>1</v>
      </c>
      <c r="T39">
        <v>2024</v>
      </c>
      <c r="U39" t="str">
        <v>Supa</v>
      </c>
      <c r="Y39">
        <v>164</v>
      </c>
      <c r="Z39">
        <v>45323</v>
      </c>
      <c r="AA39" t="str">
        <v>Supa</v>
      </c>
      <c r="AB39">
        <v>50</v>
      </c>
      <c r="AC39" t="str">
        <v>Expenses</v>
      </c>
      <c r="AD39" t="str">
        <v>G-cash</v>
      </c>
      <c r="AE39">
        <v>2</v>
      </c>
      <c r="AF39">
        <v>2024</v>
      </c>
      <c r="AG39" t="str">
        <v>Supa</v>
      </c>
      <c r="AK39">
        <v>315</v>
      </c>
      <c r="AL39">
        <v>45449</v>
      </c>
      <c r="AM39" t="str">
        <v>Supa</v>
      </c>
      <c r="AN39">
        <v>125</v>
      </c>
      <c r="AO39" t="str">
        <v>Expenses</v>
      </c>
      <c r="AP39" t="str">
        <v>G-cash</v>
      </c>
      <c r="AQ39">
        <v>6</v>
      </c>
      <c r="AR39">
        <v>2024</v>
      </c>
      <c r="AS39" t="str">
        <v>Supa</v>
      </c>
      <c r="AW39">
        <v>315</v>
      </c>
      <c r="AX39">
        <v>45449</v>
      </c>
      <c r="AY39" t="str">
        <v>Supa</v>
      </c>
      <c r="AZ39">
        <v>125</v>
      </c>
      <c r="BA39" t="str">
        <v>Expenses</v>
      </c>
      <c r="BB39" t="str">
        <v>G-cash</v>
      </c>
      <c r="BC39">
        <v>6</v>
      </c>
      <c r="BD39">
        <v>2024</v>
      </c>
      <c r="BE39" t="str">
        <v>Supa</v>
      </c>
    </row>
    <row r="40" spans="1:57" x14ac:dyDescent="0.25">
      <c r="A40">
        <v>557</v>
      </c>
      <c r="B40">
        <v>45608</v>
      </c>
      <c r="C40" t="str">
        <v>サラリー</v>
      </c>
      <c r="D40">
        <v>14752</v>
      </c>
      <c r="E40" t="str">
        <v>Income</v>
      </c>
      <c r="F40" t="str">
        <v>Bank</v>
      </c>
      <c r="G40">
        <v>11</v>
      </c>
      <c r="H40">
        <v>2024</v>
      </c>
      <c r="I40" t="str">
        <v>salary</v>
      </c>
      <c r="M40">
        <v>144</v>
      </c>
      <c r="N40">
        <v>45315</v>
      </c>
      <c r="O40" t="str">
        <v>Supa</v>
      </c>
      <c r="P40">
        <v>25</v>
      </c>
      <c r="Q40" t="str">
        <v>Expenses</v>
      </c>
      <c r="R40" t="str">
        <v>G-cash</v>
      </c>
      <c r="S40">
        <v>1</v>
      </c>
      <c r="T40">
        <v>2024</v>
      </c>
      <c r="U40" t="str">
        <v>Supa</v>
      </c>
      <c r="Y40">
        <v>191</v>
      </c>
      <c r="Z40">
        <v>45329</v>
      </c>
      <c r="AA40" t="str">
        <v>Spotify</v>
      </c>
      <c r="AB40">
        <v>239</v>
      </c>
      <c r="AC40" t="str">
        <v>Expenses</v>
      </c>
      <c r="AD40" t="str">
        <v>G-cash</v>
      </c>
      <c r="AE40">
        <v>2</v>
      </c>
      <c r="AF40">
        <v>2024</v>
      </c>
      <c r="AG40" t="str">
        <v>Spotify</v>
      </c>
      <c r="AK40">
        <v>321</v>
      </c>
      <c r="AL40">
        <v>45450</v>
      </c>
      <c r="AM40" t="str">
        <v>Supa</v>
      </c>
      <c r="AN40">
        <v>25</v>
      </c>
      <c r="AO40" t="str">
        <v>Expenses</v>
      </c>
      <c r="AP40" t="str">
        <v>G-cash</v>
      </c>
      <c r="AQ40">
        <v>6</v>
      </c>
      <c r="AR40">
        <v>2024</v>
      </c>
      <c r="AS40" t="str">
        <v>Supa</v>
      </c>
      <c r="AW40">
        <v>321</v>
      </c>
      <c r="AX40">
        <v>45450</v>
      </c>
      <c r="AY40" t="str">
        <v>Supa</v>
      </c>
      <c r="AZ40">
        <v>25</v>
      </c>
      <c r="BA40" t="str">
        <v>Expenses</v>
      </c>
      <c r="BB40" t="str">
        <v>G-cash</v>
      </c>
      <c r="BC40">
        <v>6</v>
      </c>
      <c r="BD40">
        <v>2024</v>
      </c>
      <c r="BE40" t="str">
        <v>Supa</v>
      </c>
    </row>
    <row r="41" spans="1:57" x14ac:dyDescent="0.25">
      <c r="A41">
        <v>572</v>
      </c>
      <c r="B41">
        <v>45626</v>
      </c>
      <c r="C41" t="str">
        <v>サラリー</v>
      </c>
      <c r="D41">
        <v>13240</v>
      </c>
      <c r="E41" t="str">
        <v>Income</v>
      </c>
      <c r="F41" t="str">
        <v>Stash</v>
      </c>
      <c r="G41">
        <v>11</v>
      </c>
      <c r="H41">
        <v>2024</v>
      </c>
      <c r="I41" t="str">
        <v>salary</v>
      </c>
      <c r="M41">
        <v>145</v>
      </c>
      <c r="N41">
        <v>45316</v>
      </c>
      <c r="O41" t="str">
        <v>Supa</v>
      </c>
      <c r="P41">
        <v>125</v>
      </c>
      <c r="Q41" t="str">
        <v>Expenses</v>
      </c>
      <c r="R41" t="str">
        <v>G-cash</v>
      </c>
      <c r="S41">
        <v>1</v>
      </c>
      <c r="T41">
        <v>2024</v>
      </c>
      <c r="U41" t="str">
        <v>Supa</v>
      </c>
      <c r="Y41">
        <v>194</v>
      </c>
      <c r="Z41">
        <v>45331</v>
      </c>
      <c r="AA41" t="str">
        <v>wifi load (family access)</v>
      </c>
      <c r="AB41">
        <v>199</v>
      </c>
      <c r="AC41" t="str">
        <v>Expenses</v>
      </c>
      <c r="AD41" t="str">
        <v>G-cash</v>
      </c>
      <c r="AE41">
        <v>2</v>
      </c>
      <c r="AF41">
        <v>2024</v>
      </c>
      <c r="AG41" t="str">
        <v>wifi load (family access)</v>
      </c>
      <c r="AK41">
        <v>322</v>
      </c>
      <c r="AL41">
        <v>45450</v>
      </c>
      <c r="AM41" t="str">
        <v>Supa</v>
      </c>
      <c r="AN41">
        <v>125</v>
      </c>
      <c r="AO41" t="str">
        <v>Expenses</v>
      </c>
      <c r="AP41" t="str">
        <v>G-cash</v>
      </c>
      <c r="AQ41">
        <v>6</v>
      </c>
      <c r="AR41">
        <v>2024</v>
      </c>
      <c r="AS41" t="str">
        <v>Supa</v>
      </c>
      <c r="AW41">
        <v>322</v>
      </c>
      <c r="AX41">
        <v>45450</v>
      </c>
      <c r="AY41" t="str">
        <v>Supa</v>
      </c>
      <c r="AZ41">
        <v>125</v>
      </c>
      <c r="BA41" t="str">
        <v>Expenses</v>
      </c>
      <c r="BB41" t="str">
        <v>G-cash</v>
      </c>
      <c r="BC41">
        <v>6</v>
      </c>
      <c r="BD41">
        <v>2024</v>
      </c>
      <c r="BE41" t="str">
        <v>Supa</v>
      </c>
    </row>
    <row r="42" spans="1:57" x14ac:dyDescent="0.25">
      <c r="A42">
        <v>586</v>
      </c>
      <c r="B42">
        <v>45647</v>
      </c>
      <c r="C42" t="str">
        <v>サラリー</v>
      </c>
      <c r="D42">
        <v>13240</v>
      </c>
      <c r="E42" t="str">
        <v>Income</v>
      </c>
      <c r="F42" t="str">
        <v>Bank</v>
      </c>
      <c r="G42">
        <v>12</v>
      </c>
      <c r="H42">
        <v>2024</v>
      </c>
      <c r="I42" t="str">
        <v>salary</v>
      </c>
      <c r="M42">
        <v>160</v>
      </c>
      <c r="N42">
        <v>45322</v>
      </c>
      <c r="O42" t="str">
        <v>Supa</v>
      </c>
      <c r="P42">
        <v>125</v>
      </c>
      <c r="Q42" t="str">
        <v>Expenses</v>
      </c>
      <c r="R42" t="str">
        <v>G-cash</v>
      </c>
      <c r="S42">
        <v>1</v>
      </c>
      <c r="T42">
        <v>2024</v>
      </c>
      <c r="U42" t="str">
        <v>Supa</v>
      </c>
      <c r="Y42">
        <v>195</v>
      </c>
      <c r="Z42">
        <v>45331</v>
      </c>
      <c r="AA42" t="str">
        <v>Steam (Yakuza 0)</v>
      </c>
      <c r="AB42">
        <v>280</v>
      </c>
      <c r="AC42" t="str">
        <v>Expenses</v>
      </c>
      <c r="AD42" t="str">
        <v>G-cash</v>
      </c>
      <c r="AE42">
        <v>2</v>
      </c>
      <c r="AF42">
        <v>2024</v>
      </c>
      <c r="AG42" t="str">
        <v>steam</v>
      </c>
      <c r="AK42">
        <v>323</v>
      </c>
      <c r="AL42">
        <v>45450</v>
      </c>
      <c r="AM42" t="str">
        <v>Supa</v>
      </c>
      <c r="AN42">
        <v>50</v>
      </c>
      <c r="AO42" t="str">
        <v>Expenses</v>
      </c>
      <c r="AP42" t="str">
        <v>G-cash</v>
      </c>
      <c r="AQ42">
        <v>6</v>
      </c>
      <c r="AR42">
        <v>2024</v>
      </c>
      <c r="AS42" t="str">
        <v>Supa</v>
      </c>
      <c r="AW42">
        <v>323</v>
      </c>
      <c r="AX42">
        <v>45450</v>
      </c>
      <c r="AY42" t="str">
        <v>Supa</v>
      </c>
      <c r="AZ42">
        <v>50</v>
      </c>
      <c r="BA42" t="str">
        <v>Expenses</v>
      </c>
      <c r="BB42" t="str">
        <v>G-cash</v>
      </c>
      <c r="BC42">
        <v>6</v>
      </c>
      <c r="BD42">
        <v>2024</v>
      </c>
      <c r="BE42" t="str">
        <v>Supa</v>
      </c>
    </row>
    <row r="43" spans="1:57" x14ac:dyDescent="0.25">
      <c r="A43">
        <v>587</v>
      </c>
      <c r="B43">
        <v>45647</v>
      </c>
      <c r="C43" t="str">
        <v>第十三月のサラリー</v>
      </c>
      <c r="D43">
        <v>25000</v>
      </c>
      <c r="E43" t="str">
        <v>Income</v>
      </c>
      <c r="F43" t="str">
        <v>Bank</v>
      </c>
      <c r="G43">
        <v>12</v>
      </c>
      <c r="H43">
        <v>2024</v>
      </c>
      <c r="I43" t="str">
        <v>13th month pay</v>
      </c>
      <c r="M43">
        <v>161</v>
      </c>
      <c r="N43">
        <v>45323</v>
      </c>
      <c r="O43" t="str">
        <v>Supa</v>
      </c>
      <c r="P43">
        <v>125</v>
      </c>
      <c r="Q43" t="str">
        <v>Expenses</v>
      </c>
      <c r="R43" t="str">
        <v>G-cash</v>
      </c>
      <c r="S43">
        <v>2</v>
      </c>
      <c r="T43">
        <v>2024</v>
      </c>
      <c r="U43" t="str">
        <v>Supa</v>
      </c>
      <c r="Y43">
        <v>196</v>
      </c>
      <c r="Z43">
        <v>45331</v>
      </c>
      <c r="AA43" t="str">
        <v>wifi load (family access)</v>
      </c>
      <c r="AB43">
        <v>199</v>
      </c>
      <c r="AC43" t="str">
        <v>Expenses</v>
      </c>
      <c r="AD43" t="str">
        <v>G-cash</v>
      </c>
      <c r="AE43">
        <v>2</v>
      </c>
      <c r="AF43">
        <v>2024</v>
      </c>
      <c r="AG43" t="str">
        <v>wifi load (family access)</v>
      </c>
      <c r="AK43">
        <v>342</v>
      </c>
      <c r="AL43">
        <v>45456</v>
      </c>
      <c r="AM43" t="str">
        <v>Supa</v>
      </c>
      <c r="AN43">
        <v>125</v>
      </c>
      <c r="AO43" t="str">
        <v>Expenses</v>
      </c>
      <c r="AP43" t="str">
        <v>G-cash</v>
      </c>
      <c r="AQ43">
        <v>6</v>
      </c>
      <c r="AR43">
        <v>2024</v>
      </c>
      <c r="AS43" t="str">
        <v>Supa</v>
      </c>
      <c r="AW43">
        <v>342</v>
      </c>
      <c r="AX43">
        <v>45456</v>
      </c>
      <c r="AY43" t="str">
        <v>Supa</v>
      </c>
      <c r="AZ43">
        <v>125</v>
      </c>
      <c r="BA43" t="str">
        <v>Expenses</v>
      </c>
      <c r="BB43" t="str">
        <v>G-cash</v>
      </c>
      <c r="BC43">
        <v>6</v>
      </c>
      <c r="BD43">
        <v>2024</v>
      </c>
      <c r="BE43" t="str">
        <v>Supa</v>
      </c>
    </row>
    <row r="44" spans="1:57" x14ac:dyDescent="0.25">
      <c r="A44">
        <v>599</v>
      </c>
      <c r="B44">
        <v>45649</v>
      </c>
      <c r="C44" t="str">
        <v>サラリー</v>
      </c>
      <c r="D44">
        <v>13241</v>
      </c>
      <c r="E44" t="str">
        <v>Income</v>
      </c>
      <c r="F44" t="str">
        <v>Bank</v>
      </c>
      <c r="G44">
        <v>12</v>
      </c>
      <c r="H44">
        <v>2024</v>
      </c>
      <c r="I44" t="str">
        <v>salary</v>
      </c>
      <c r="M44">
        <v>162</v>
      </c>
      <c r="N44">
        <v>45323</v>
      </c>
      <c r="O44" t="str">
        <v>wifi load (magic data)</v>
      </c>
      <c r="P44">
        <v>599</v>
      </c>
      <c r="Q44" t="str">
        <v>Expenses</v>
      </c>
      <c r="R44" t="str">
        <v>G-cash</v>
      </c>
      <c r="S44">
        <v>2</v>
      </c>
      <c r="T44">
        <v>2024</v>
      </c>
      <c r="U44" t="str">
        <v>wifi load (magic data)</v>
      </c>
      <c r="Y44">
        <v>204</v>
      </c>
      <c r="Z44">
        <v>45337</v>
      </c>
      <c r="AA44" t="str">
        <v>Steam (vampire survivors)</v>
      </c>
      <c r="AB44">
        <v>144</v>
      </c>
      <c r="AC44" t="str">
        <v>Expenses</v>
      </c>
      <c r="AD44" t="str">
        <v>G-cash</v>
      </c>
      <c r="AE44">
        <v>2</v>
      </c>
      <c r="AF44">
        <v>2024</v>
      </c>
      <c r="AG44" t="str">
        <v>steam</v>
      </c>
      <c r="AK44">
        <v>343</v>
      </c>
      <c r="AL44">
        <v>45457</v>
      </c>
      <c r="AM44" t="str">
        <v>Supa</v>
      </c>
      <c r="AN44">
        <v>50</v>
      </c>
      <c r="AO44" t="str">
        <v>Expenses</v>
      </c>
      <c r="AP44" t="str">
        <v>G-cash</v>
      </c>
      <c r="AQ44">
        <v>6</v>
      </c>
      <c r="AR44">
        <v>2024</v>
      </c>
      <c r="AS44" t="str">
        <v>Supa</v>
      </c>
      <c r="AW44">
        <v>343</v>
      </c>
      <c r="AX44">
        <v>45457</v>
      </c>
      <c r="AY44" t="str">
        <v>Supa</v>
      </c>
      <c r="AZ44">
        <v>50</v>
      </c>
      <c r="BA44" t="str">
        <v>Expenses</v>
      </c>
      <c r="BB44" t="str">
        <v>G-cash</v>
      </c>
      <c r="BC44">
        <v>6</v>
      </c>
      <c r="BD44">
        <v>2024</v>
      </c>
      <c r="BE44" t="str">
        <v>Supa</v>
      </c>
    </row>
    <row r="45" spans="1:57" x14ac:dyDescent="0.25">
      <c r="A45">
        <v>653</v>
      </c>
      <c r="B45">
        <v>45673</v>
      </c>
      <c r="C45" t="str">
        <v>サラリー</v>
      </c>
      <c r="D45">
        <v>13201</v>
      </c>
      <c r="E45" t="str">
        <v>Income</v>
      </c>
      <c r="F45" t="str">
        <v>Bank</v>
      </c>
      <c r="G45">
        <v>1</v>
      </c>
      <c r="H45">
        <v>2025</v>
      </c>
      <c r="I45" t="str">
        <v>salary</v>
      </c>
      <c r="M45">
        <v>163</v>
      </c>
      <c r="N45">
        <v>45323</v>
      </c>
      <c r="O45" t="str">
        <v>Supa</v>
      </c>
      <c r="P45">
        <v>50</v>
      </c>
      <c r="Q45" t="str">
        <v>Expenses</v>
      </c>
      <c r="R45" t="str">
        <v>G-cash</v>
      </c>
      <c r="S45">
        <v>2</v>
      </c>
      <c r="T45">
        <v>2024</v>
      </c>
      <c r="U45" t="str">
        <v>Supa</v>
      </c>
      <c r="Y45">
        <v>206</v>
      </c>
      <c r="Z45">
        <v>45338</v>
      </c>
      <c r="AA45" t="str">
        <v>wifi load (family access)</v>
      </c>
      <c r="AB45">
        <v>199</v>
      </c>
      <c r="AC45" t="str">
        <v>Expenses</v>
      </c>
      <c r="AD45" t="str">
        <v>G-cash</v>
      </c>
      <c r="AE45">
        <v>2</v>
      </c>
      <c r="AF45">
        <v>2024</v>
      </c>
      <c r="AG45" t="str">
        <v>wifi load (family access)</v>
      </c>
      <c r="AK45">
        <v>350</v>
      </c>
      <c r="AL45">
        <v>45463</v>
      </c>
      <c r="AM45" t="str">
        <v>Supa</v>
      </c>
      <c r="AN45">
        <v>50</v>
      </c>
      <c r="AO45" t="str">
        <v>Expenses</v>
      </c>
      <c r="AP45" t="str">
        <v>G-cash</v>
      </c>
      <c r="AQ45">
        <v>6</v>
      </c>
      <c r="AR45">
        <v>2024</v>
      </c>
      <c r="AS45" t="str">
        <v>Supa</v>
      </c>
      <c r="AW45">
        <v>350</v>
      </c>
      <c r="AX45">
        <v>45463</v>
      </c>
      <c r="AY45" t="str">
        <v>Supa</v>
      </c>
      <c r="AZ45">
        <v>50</v>
      </c>
      <c r="BA45" t="str">
        <v>Expenses</v>
      </c>
      <c r="BB45" t="str">
        <v>G-cash</v>
      </c>
      <c r="BC45">
        <v>6</v>
      </c>
      <c r="BD45">
        <v>2024</v>
      </c>
      <c r="BE45" t="str">
        <v>Supa</v>
      </c>
    </row>
    <row r="46" spans="1:57" x14ac:dyDescent="0.25">
      <c r="A46">
        <v>671</v>
      </c>
      <c r="B46">
        <v>45687</v>
      </c>
      <c r="C46" t="str">
        <v>サラリー</v>
      </c>
      <c r="D46">
        <v>13202</v>
      </c>
      <c r="E46" t="str">
        <v>Income</v>
      </c>
      <c r="F46" t="str">
        <v>Bank</v>
      </c>
      <c r="G46">
        <v>1</v>
      </c>
      <c r="H46">
        <v>2025</v>
      </c>
      <c r="I46" t="str">
        <v>salary</v>
      </c>
      <c r="M46">
        <v>164</v>
      </c>
      <c r="N46">
        <v>45323</v>
      </c>
      <c r="O46" t="str">
        <v>Supa</v>
      </c>
      <c r="P46">
        <v>50</v>
      </c>
      <c r="Q46" t="str">
        <v>Expenses</v>
      </c>
      <c r="R46" t="str">
        <v>G-cash</v>
      </c>
      <c r="S46">
        <v>2</v>
      </c>
      <c r="T46">
        <v>2024</v>
      </c>
      <c r="U46" t="str">
        <v>Supa</v>
      </c>
      <c r="Y46">
        <v>207</v>
      </c>
      <c r="Z46">
        <v>45338</v>
      </c>
      <c r="AA46" t="str">
        <v>Steam (overcooked 2)</v>
      </c>
      <c r="AB46">
        <v>199</v>
      </c>
      <c r="AC46" t="str">
        <v>Expenses</v>
      </c>
      <c r="AD46" t="str">
        <v>G-cash</v>
      </c>
      <c r="AE46">
        <v>2</v>
      </c>
      <c r="AF46">
        <v>2024</v>
      </c>
      <c r="AG46" t="str">
        <v>steam</v>
      </c>
      <c r="AK46">
        <v>353</v>
      </c>
      <c r="AL46">
        <v>45466</v>
      </c>
      <c r="AM46" t="str">
        <v>Supa</v>
      </c>
      <c r="AN46">
        <v>50</v>
      </c>
      <c r="AO46" t="str">
        <v>Expenses</v>
      </c>
      <c r="AP46" t="str">
        <v>G-cash</v>
      </c>
      <c r="AQ46">
        <v>6</v>
      </c>
      <c r="AR46">
        <v>2024</v>
      </c>
      <c r="AS46" t="str">
        <v>Supa</v>
      </c>
      <c r="AW46">
        <v>353</v>
      </c>
      <c r="AX46">
        <v>45466</v>
      </c>
      <c r="AY46" t="str">
        <v>Supa</v>
      </c>
      <c r="AZ46">
        <v>50</v>
      </c>
      <c r="BA46" t="str">
        <v>Expenses</v>
      </c>
      <c r="BB46" t="str">
        <v>G-cash</v>
      </c>
      <c r="BC46">
        <v>6</v>
      </c>
      <c r="BD46">
        <v>2024</v>
      </c>
      <c r="BE46" t="str">
        <v>Supa</v>
      </c>
    </row>
    <row r="47" spans="1:57" x14ac:dyDescent="0.25">
      <c r="M47">
        <v>189</v>
      </c>
      <c r="N47">
        <v>45329</v>
      </c>
      <c r="O47" t="str">
        <v>Gcash cash-in</v>
      </c>
      <c r="P47">
        <v>3000</v>
      </c>
      <c r="Q47" t="str">
        <v>Deposit</v>
      </c>
      <c r="R47" t="str">
        <v>G-cash</v>
      </c>
      <c r="S47">
        <v>2</v>
      </c>
      <c r="T47">
        <v>2024</v>
      </c>
      <c r="U47" t="str">
        <v>Gcash cash-in</v>
      </c>
      <c r="Y47">
        <v>209</v>
      </c>
      <c r="Z47">
        <v>45343</v>
      </c>
      <c r="AA47" t="str">
        <v>Genshin Welkin</v>
      </c>
      <c r="AB47">
        <v>280</v>
      </c>
      <c r="AC47" t="str">
        <v>Expenses</v>
      </c>
      <c r="AD47" t="str">
        <v>G-cash</v>
      </c>
      <c r="AE47">
        <v>2</v>
      </c>
      <c r="AF47">
        <v>2024</v>
      </c>
      <c r="AG47" t="str">
        <v>Genshin Welkin</v>
      </c>
      <c r="AK47">
        <v>354</v>
      </c>
      <c r="AL47">
        <v>45466</v>
      </c>
      <c r="AM47" t="str">
        <v>Supa</v>
      </c>
      <c r="AN47">
        <v>50</v>
      </c>
      <c r="AO47" t="str">
        <v>Expenses</v>
      </c>
      <c r="AP47" t="str">
        <v>G-cash</v>
      </c>
      <c r="AQ47">
        <v>6</v>
      </c>
      <c r="AR47">
        <v>2024</v>
      </c>
      <c r="AS47" t="str">
        <v>Supa</v>
      </c>
      <c r="AW47">
        <v>354</v>
      </c>
      <c r="AX47">
        <v>45466</v>
      </c>
      <c r="AY47" t="str">
        <v>Supa</v>
      </c>
      <c r="AZ47">
        <v>50</v>
      </c>
      <c r="BA47" t="str">
        <v>Expenses</v>
      </c>
      <c r="BB47" t="str">
        <v>G-cash</v>
      </c>
      <c r="BC47">
        <v>6</v>
      </c>
      <c r="BD47">
        <v>2024</v>
      </c>
      <c r="BE47" t="str">
        <v>Supa</v>
      </c>
    </row>
    <row r="48" spans="1:57" x14ac:dyDescent="0.25">
      <c r="M48">
        <v>191</v>
      </c>
      <c r="N48">
        <v>45329</v>
      </c>
      <c r="O48" t="str">
        <v>Spotify</v>
      </c>
      <c r="P48">
        <v>239</v>
      </c>
      <c r="Q48" t="str">
        <v>Expenses</v>
      </c>
      <c r="R48" t="str">
        <v>G-cash</v>
      </c>
      <c r="S48">
        <v>2</v>
      </c>
      <c r="T48">
        <v>2024</v>
      </c>
      <c r="U48" t="str">
        <v>Spotify</v>
      </c>
      <c r="Y48">
        <v>210</v>
      </c>
      <c r="Z48">
        <v>45344</v>
      </c>
      <c r="AA48" t="str">
        <v>Supa</v>
      </c>
      <c r="AB48">
        <v>129</v>
      </c>
      <c r="AC48" t="str">
        <v>Expenses</v>
      </c>
      <c r="AD48" t="str">
        <v>G-cash</v>
      </c>
      <c r="AE48">
        <v>2</v>
      </c>
      <c r="AF48">
        <v>2024</v>
      </c>
      <c r="AG48" t="str">
        <v>Supa</v>
      </c>
      <c r="AK48">
        <v>355</v>
      </c>
      <c r="AL48">
        <v>45466</v>
      </c>
      <c r="AM48" t="str">
        <v>Supa</v>
      </c>
      <c r="AN48">
        <v>125</v>
      </c>
      <c r="AO48" t="str">
        <v>Expenses</v>
      </c>
      <c r="AP48" t="str">
        <v>G-cash</v>
      </c>
      <c r="AQ48">
        <v>6</v>
      </c>
      <c r="AR48">
        <v>2024</v>
      </c>
      <c r="AS48" t="str">
        <v>Supa</v>
      </c>
      <c r="AW48">
        <v>355</v>
      </c>
      <c r="AX48">
        <v>45466</v>
      </c>
      <c r="AY48" t="str">
        <v>Supa</v>
      </c>
      <c r="AZ48">
        <v>125</v>
      </c>
      <c r="BA48" t="str">
        <v>Expenses</v>
      </c>
      <c r="BB48" t="str">
        <v>G-cash</v>
      </c>
      <c r="BC48">
        <v>6</v>
      </c>
      <c r="BD48">
        <v>2024</v>
      </c>
      <c r="BE48" t="str">
        <v>Supa</v>
      </c>
    </row>
    <row r="49" spans="13:57" x14ac:dyDescent="0.25">
      <c r="M49">
        <v>194</v>
      </c>
      <c r="N49">
        <v>45331</v>
      </c>
      <c r="O49" t="str">
        <v>wifi load (family access)</v>
      </c>
      <c r="P49">
        <v>199</v>
      </c>
      <c r="Q49" t="str">
        <v>Expenses</v>
      </c>
      <c r="R49" t="str">
        <v>G-cash</v>
      </c>
      <c r="S49">
        <v>2</v>
      </c>
      <c r="T49">
        <v>2024</v>
      </c>
      <c r="U49" t="str">
        <v>wifi load (family access)</v>
      </c>
      <c r="Y49">
        <v>223</v>
      </c>
      <c r="Z49">
        <v>45353</v>
      </c>
      <c r="AA49" t="str">
        <v>Supa</v>
      </c>
      <c r="AB49">
        <v>125</v>
      </c>
      <c r="AC49" t="str">
        <v>Expenses</v>
      </c>
      <c r="AD49" t="str">
        <v>G-cash</v>
      </c>
      <c r="AE49">
        <v>3</v>
      </c>
      <c r="AF49">
        <v>2024</v>
      </c>
      <c r="AG49" t="str">
        <v>Supa</v>
      </c>
      <c r="AK49">
        <v>358</v>
      </c>
      <c r="AL49">
        <v>45470</v>
      </c>
      <c r="AM49" t="str">
        <v>Supa</v>
      </c>
      <c r="AN49">
        <v>50</v>
      </c>
      <c r="AO49" t="str">
        <v>Expenses</v>
      </c>
      <c r="AP49" t="str">
        <v>G-cash</v>
      </c>
      <c r="AQ49">
        <v>6</v>
      </c>
      <c r="AR49">
        <v>2024</v>
      </c>
      <c r="AS49" t="str">
        <v>Supa</v>
      </c>
      <c r="AW49">
        <v>358</v>
      </c>
      <c r="AX49">
        <v>45470</v>
      </c>
      <c r="AY49" t="str">
        <v>Supa</v>
      </c>
      <c r="AZ49">
        <v>50</v>
      </c>
      <c r="BA49" t="str">
        <v>Expenses</v>
      </c>
      <c r="BB49" t="str">
        <v>G-cash</v>
      </c>
      <c r="BC49">
        <v>6</v>
      </c>
      <c r="BD49">
        <v>2024</v>
      </c>
      <c r="BE49" t="str">
        <v>Supa</v>
      </c>
    </row>
    <row r="50" spans="13:57" x14ac:dyDescent="0.25">
      <c r="M50">
        <v>195</v>
      </c>
      <c r="N50">
        <v>45331</v>
      </c>
      <c r="O50" t="str">
        <v>Steam (Yakuza 0)</v>
      </c>
      <c r="P50">
        <v>280</v>
      </c>
      <c r="Q50" t="str">
        <v>Expenses</v>
      </c>
      <c r="R50" t="str">
        <v>G-cash</v>
      </c>
      <c r="S50">
        <v>2</v>
      </c>
      <c r="T50">
        <v>2024</v>
      </c>
      <c r="U50" t="str">
        <v>steam</v>
      </c>
      <c r="Y50">
        <v>230</v>
      </c>
      <c r="Z50">
        <v>45356</v>
      </c>
      <c r="AA50" t="str">
        <v>Supa</v>
      </c>
      <c r="AB50">
        <v>50</v>
      </c>
      <c r="AC50" t="str">
        <v>Expenses</v>
      </c>
      <c r="AD50" t="str">
        <v>G-cash</v>
      </c>
      <c r="AE50">
        <v>3</v>
      </c>
      <c r="AF50">
        <v>2024</v>
      </c>
      <c r="AG50" t="str">
        <v>Supa</v>
      </c>
      <c r="AK50">
        <v>359</v>
      </c>
      <c r="AL50">
        <v>45470</v>
      </c>
      <c r="AM50" t="str">
        <v>Supa</v>
      </c>
      <c r="AN50">
        <v>50</v>
      </c>
      <c r="AO50" t="str">
        <v>Expenses</v>
      </c>
      <c r="AP50" t="str">
        <v>G-cash</v>
      </c>
      <c r="AQ50">
        <v>6</v>
      </c>
      <c r="AR50">
        <v>2024</v>
      </c>
      <c r="AS50" t="str">
        <v>Supa</v>
      </c>
      <c r="AW50">
        <v>359</v>
      </c>
      <c r="AX50">
        <v>45470</v>
      </c>
      <c r="AY50" t="str">
        <v>Supa</v>
      </c>
      <c r="AZ50">
        <v>50</v>
      </c>
      <c r="BA50" t="str">
        <v>Expenses</v>
      </c>
      <c r="BB50" t="str">
        <v>G-cash</v>
      </c>
      <c r="BC50">
        <v>6</v>
      </c>
      <c r="BD50">
        <v>2024</v>
      </c>
      <c r="BE50" t="str">
        <v>Supa</v>
      </c>
    </row>
    <row r="51" spans="13:57" x14ac:dyDescent="0.25">
      <c r="M51">
        <v>196</v>
      </c>
      <c r="N51">
        <v>45331</v>
      </c>
      <c r="O51" t="str">
        <v>wifi load (family access)</v>
      </c>
      <c r="P51">
        <v>199</v>
      </c>
      <c r="Q51" t="str">
        <v>Expenses</v>
      </c>
      <c r="R51" t="str">
        <v>G-cash</v>
      </c>
      <c r="S51">
        <v>2</v>
      </c>
      <c r="T51">
        <v>2024</v>
      </c>
      <c r="U51" t="str">
        <v>wifi load (family access)</v>
      </c>
      <c r="Y51">
        <v>231</v>
      </c>
      <c r="Z51">
        <v>45356</v>
      </c>
      <c r="AA51" t="str">
        <v>Supa</v>
      </c>
      <c r="AB51">
        <v>125</v>
      </c>
      <c r="AC51" t="str">
        <v>Expenses</v>
      </c>
      <c r="AD51" t="str">
        <v>G-cash</v>
      </c>
      <c r="AE51">
        <v>3</v>
      </c>
      <c r="AF51">
        <v>2024</v>
      </c>
      <c r="AG51" t="str">
        <v>Supa</v>
      </c>
      <c r="AK51">
        <v>361</v>
      </c>
      <c r="AL51">
        <v>45471</v>
      </c>
      <c r="AM51" t="str">
        <v>Supa</v>
      </c>
      <c r="AN51">
        <v>125</v>
      </c>
      <c r="AO51" t="str">
        <v>Expenses</v>
      </c>
      <c r="AP51" t="str">
        <v>G-cash</v>
      </c>
      <c r="AQ51">
        <v>6</v>
      </c>
      <c r="AR51">
        <v>2024</v>
      </c>
      <c r="AS51" t="str">
        <v>Supa</v>
      </c>
      <c r="AW51">
        <v>361</v>
      </c>
      <c r="AX51">
        <v>45471</v>
      </c>
      <c r="AY51" t="str">
        <v>Supa</v>
      </c>
      <c r="AZ51">
        <v>125</v>
      </c>
      <c r="BA51" t="str">
        <v>Expenses</v>
      </c>
      <c r="BB51" t="str">
        <v>G-cash</v>
      </c>
      <c r="BC51">
        <v>6</v>
      </c>
      <c r="BD51">
        <v>2024</v>
      </c>
      <c r="BE51" t="str">
        <v>Supa</v>
      </c>
    </row>
    <row r="52" spans="13:57" x14ac:dyDescent="0.25">
      <c r="M52">
        <v>204</v>
      </c>
      <c r="N52">
        <v>45337</v>
      </c>
      <c r="O52" t="str">
        <v>Steam (vampire survivors)</v>
      </c>
      <c r="P52">
        <v>144</v>
      </c>
      <c r="Q52" t="str">
        <v>Expenses</v>
      </c>
      <c r="R52" t="str">
        <v>G-cash</v>
      </c>
      <c r="S52">
        <v>2</v>
      </c>
      <c r="T52">
        <v>2024</v>
      </c>
      <c r="U52" t="str">
        <v>steam</v>
      </c>
      <c r="Y52">
        <v>232</v>
      </c>
      <c r="Z52">
        <v>45357</v>
      </c>
      <c r="AA52" t="str">
        <v>Spotify</v>
      </c>
      <c r="AB52">
        <v>239</v>
      </c>
      <c r="AC52" t="str">
        <v>Expenses</v>
      </c>
      <c r="AD52" t="str">
        <v>G-cash</v>
      </c>
      <c r="AE52">
        <v>3</v>
      </c>
      <c r="AF52">
        <v>2024</v>
      </c>
      <c r="AG52" t="str">
        <v>Spotify</v>
      </c>
      <c r="AK52">
        <v>378</v>
      </c>
      <c r="AL52">
        <v>45483</v>
      </c>
      <c r="AM52" t="str">
        <v>supa</v>
      </c>
      <c r="AN52">
        <v>50</v>
      </c>
      <c r="AO52" t="str">
        <v>Expenses</v>
      </c>
      <c r="AP52" t="str">
        <v>G-cash</v>
      </c>
      <c r="AQ52">
        <v>7</v>
      </c>
      <c r="AR52">
        <v>2024</v>
      </c>
      <c r="AS52" t="str">
        <v>Supa</v>
      </c>
      <c r="AW52">
        <v>378</v>
      </c>
      <c r="AX52">
        <v>45483</v>
      </c>
      <c r="AY52" t="str">
        <v>supa</v>
      </c>
      <c r="AZ52">
        <v>50</v>
      </c>
      <c r="BA52" t="str">
        <v>Expenses</v>
      </c>
      <c r="BB52" t="str">
        <v>G-cash</v>
      </c>
      <c r="BC52">
        <v>7</v>
      </c>
      <c r="BD52">
        <v>2024</v>
      </c>
      <c r="BE52" t="str">
        <v>Supa</v>
      </c>
    </row>
    <row r="53" spans="13:57" x14ac:dyDescent="0.25">
      <c r="M53">
        <v>206</v>
      </c>
      <c r="N53">
        <v>45338</v>
      </c>
      <c r="O53" t="str">
        <v>wifi load (family access)</v>
      </c>
      <c r="P53">
        <v>199</v>
      </c>
      <c r="Q53" t="str">
        <v>Expenses</v>
      </c>
      <c r="R53" t="str">
        <v>G-cash</v>
      </c>
      <c r="S53">
        <v>2</v>
      </c>
      <c r="T53">
        <v>2024</v>
      </c>
      <c r="U53" t="str">
        <v>wifi load (family access)</v>
      </c>
      <c r="Y53">
        <v>237</v>
      </c>
      <c r="Z53">
        <v>45365</v>
      </c>
      <c r="AA53" t="str">
        <v>wifi load (magic data)</v>
      </c>
      <c r="AB53">
        <v>599</v>
      </c>
      <c r="AC53" t="str">
        <v>Expenses</v>
      </c>
      <c r="AD53" t="str">
        <v>G-cash</v>
      </c>
      <c r="AE53">
        <v>3</v>
      </c>
      <c r="AF53">
        <v>2024</v>
      </c>
      <c r="AG53" t="str">
        <v>wifi load (magic data)</v>
      </c>
      <c r="AK53">
        <v>379</v>
      </c>
      <c r="AL53">
        <v>45483</v>
      </c>
      <c r="AM53" t="str">
        <v>supa</v>
      </c>
      <c r="AN53">
        <v>125</v>
      </c>
      <c r="AO53" t="str">
        <v>Expenses</v>
      </c>
      <c r="AP53" t="str">
        <v>G-cash</v>
      </c>
      <c r="AQ53">
        <v>7</v>
      </c>
      <c r="AR53">
        <v>2024</v>
      </c>
      <c r="AS53" t="str">
        <v>Supa</v>
      </c>
      <c r="AW53">
        <v>379</v>
      </c>
      <c r="AX53">
        <v>45483</v>
      </c>
      <c r="AY53" t="str">
        <v>supa</v>
      </c>
      <c r="AZ53">
        <v>125</v>
      </c>
      <c r="BA53" t="str">
        <v>Expenses</v>
      </c>
      <c r="BB53" t="str">
        <v>G-cash</v>
      </c>
      <c r="BC53">
        <v>7</v>
      </c>
      <c r="BD53">
        <v>2024</v>
      </c>
      <c r="BE53" t="str">
        <v>Supa</v>
      </c>
    </row>
    <row r="54" spans="13:57" x14ac:dyDescent="0.25">
      <c r="M54">
        <v>207</v>
      </c>
      <c r="N54">
        <v>45338</v>
      </c>
      <c r="O54" t="str">
        <v>Steam (overcooked 2)</v>
      </c>
      <c r="P54">
        <v>199</v>
      </c>
      <c r="Q54" t="str">
        <v>Expenses</v>
      </c>
      <c r="R54" t="str">
        <v>G-cash</v>
      </c>
      <c r="S54">
        <v>2</v>
      </c>
      <c r="T54">
        <v>2024</v>
      </c>
      <c r="U54" t="str">
        <v>steam</v>
      </c>
      <c r="Y54">
        <v>239</v>
      </c>
      <c r="Z54">
        <v>45373</v>
      </c>
      <c r="AA54" t="str">
        <v>YT Membership</v>
      </c>
      <c r="AB54">
        <v>129</v>
      </c>
      <c r="AC54" t="str">
        <v>Expenses</v>
      </c>
      <c r="AD54" t="str">
        <v>G-cash</v>
      </c>
      <c r="AE54">
        <v>3</v>
      </c>
      <c r="AF54">
        <v>2024</v>
      </c>
      <c r="AG54" t="str">
        <v>YT Membership</v>
      </c>
      <c r="AK54">
        <v>381</v>
      </c>
      <c r="AL54">
        <v>45485</v>
      </c>
      <c r="AM54" t="str">
        <v>Supa</v>
      </c>
      <c r="AN54">
        <v>50</v>
      </c>
      <c r="AO54" t="str">
        <v>Expenses</v>
      </c>
      <c r="AP54" t="str">
        <v>G-cash</v>
      </c>
      <c r="AQ54">
        <v>7</v>
      </c>
      <c r="AR54">
        <v>2024</v>
      </c>
      <c r="AS54" t="str">
        <v>Supa</v>
      </c>
      <c r="AW54">
        <v>381</v>
      </c>
      <c r="AX54">
        <v>45485</v>
      </c>
      <c r="AY54" t="str">
        <v>Supa</v>
      </c>
      <c r="AZ54">
        <v>50</v>
      </c>
      <c r="BA54" t="str">
        <v>Expenses</v>
      </c>
      <c r="BB54" t="str">
        <v>G-cash</v>
      </c>
      <c r="BC54">
        <v>7</v>
      </c>
      <c r="BD54">
        <v>2024</v>
      </c>
      <c r="BE54" t="str">
        <v>Supa</v>
      </c>
    </row>
    <row r="55" spans="13:57" x14ac:dyDescent="0.25">
      <c r="M55">
        <v>209</v>
      </c>
      <c r="N55">
        <v>45343</v>
      </c>
      <c r="O55" t="str">
        <v>Genshin Welkin</v>
      </c>
      <c r="P55">
        <v>280</v>
      </c>
      <c r="Q55" t="str">
        <v>Expenses</v>
      </c>
      <c r="R55" t="str">
        <v>G-cash</v>
      </c>
      <c r="S55">
        <v>2</v>
      </c>
      <c r="T55">
        <v>2024</v>
      </c>
      <c r="U55" t="str">
        <v>Genshin Welkin</v>
      </c>
      <c r="Y55">
        <v>242</v>
      </c>
      <c r="Z55">
        <v>45374</v>
      </c>
      <c r="AA55" t="str">
        <v>Genshin Welkin</v>
      </c>
      <c r="AB55">
        <v>280</v>
      </c>
      <c r="AC55" t="str">
        <v>Expenses</v>
      </c>
      <c r="AD55" t="str">
        <v>G-cash</v>
      </c>
      <c r="AE55">
        <v>3</v>
      </c>
      <c r="AF55">
        <v>2024</v>
      </c>
      <c r="AG55" t="str">
        <v>Genshin Welkin</v>
      </c>
      <c r="AK55">
        <v>419</v>
      </c>
      <c r="AL55">
        <v>45503</v>
      </c>
      <c r="AM55" t="str">
        <v>supa</v>
      </c>
      <c r="AN55">
        <v>125</v>
      </c>
      <c r="AO55" t="str">
        <v>Expenses</v>
      </c>
      <c r="AP55" t="str">
        <v>G-cash</v>
      </c>
      <c r="AQ55">
        <v>7</v>
      </c>
      <c r="AR55">
        <v>2024</v>
      </c>
      <c r="AS55" t="str">
        <v>Supa</v>
      </c>
      <c r="AW55">
        <v>419</v>
      </c>
      <c r="AX55">
        <v>45503</v>
      </c>
      <c r="AY55" t="str">
        <v>supa</v>
      </c>
      <c r="AZ55">
        <v>125</v>
      </c>
      <c r="BA55" t="str">
        <v>Expenses</v>
      </c>
      <c r="BB55" t="str">
        <v>G-cash</v>
      </c>
      <c r="BC55">
        <v>7</v>
      </c>
      <c r="BD55">
        <v>2024</v>
      </c>
      <c r="BE55" t="str">
        <v>Supa</v>
      </c>
    </row>
    <row r="56" spans="13:57" x14ac:dyDescent="0.25">
      <c r="M56">
        <v>210</v>
      </c>
      <c r="N56">
        <v>45344</v>
      </c>
      <c r="O56" t="str">
        <v>Supa</v>
      </c>
      <c r="P56">
        <v>129</v>
      </c>
      <c r="Q56" t="str">
        <v>Expenses</v>
      </c>
      <c r="R56" t="str">
        <v>G-cash</v>
      </c>
      <c r="S56">
        <v>2</v>
      </c>
      <c r="T56">
        <v>2024</v>
      </c>
      <c r="U56" t="str">
        <v>Supa</v>
      </c>
      <c r="Y56">
        <v>247</v>
      </c>
      <c r="Z56">
        <v>45378</v>
      </c>
      <c r="AA56" t="str">
        <v>wifi load (family access)</v>
      </c>
      <c r="AB56">
        <v>199</v>
      </c>
      <c r="AC56" t="str">
        <v>Expenses</v>
      </c>
      <c r="AD56" t="str">
        <v>G-cash</v>
      </c>
      <c r="AE56">
        <v>3</v>
      </c>
      <c r="AF56">
        <v>2024</v>
      </c>
      <c r="AG56" t="str">
        <v>wifi load (family access)</v>
      </c>
      <c r="AK56">
        <v>420</v>
      </c>
      <c r="AL56">
        <v>45503</v>
      </c>
      <c r="AM56" t="str">
        <v>Supa</v>
      </c>
      <c r="AN56">
        <v>125</v>
      </c>
      <c r="AO56" t="str">
        <v>Expenses</v>
      </c>
      <c r="AP56" t="str">
        <v>G-cash</v>
      </c>
      <c r="AQ56">
        <v>7</v>
      </c>
      <c r="AR56">
        <v>2024</v>
      </c>
      <c r="AS56" t="str">
        <v>Supa</v>
      </c>
      <c r="AW56">
        <v>420</v>
      </c>
      <c r="AX56">
        <v>45503</v>
      </c>
      <c r="AY56" t="str">
        <v>Supa</v>
      </c>
      <c r="AZ56">
        <v>125</v>
      </c>
      <c r="BA56" t="str">
        <v>Expenses</v>
      </c>
      <c r="BB56" t="str">
        <v>G-cash</v>
      </c>
      <c r="BC56">
        <v>7</v>
      </c>
      <c r="BD56">
        <v>2024</v>
      </c>
      <c r="BE56" t="str">
        <v>Supa</v>
      </c>
    </row>
    <row r="57" spans="13:57" x14ac:dyDescent="0.25">
      <c r="M57">
        <v>223</v>
      </c>
      <c r="N57">
        <v>45353</v>
      </c>
      <c r="O57" t="str">
        <v>Supa</v>
      </c>
      <c r="P57">
        <v>125</v>
      </c>
      <c r="Q57" t="str">
        <v>Expenses</v>
      </c>
      <c r="R57" t="str">
        <v>G-cash</v>
      </c>
      <c r="S57">
        <v>3</v>
      </c>
      <c r="T57">
        <v>2024</v>
      </c>
      <c r="U57" t="str">
        <v>Supa</v>
      </c>
      <c r="Y57">
        <v>253</v>
      </c>
      <c r="Z57">
        <v>45384</v>
      </c>
      <c r="AA57" t="str">
        <v>Supa</v>
      </c>
      <c r="AB57">
        <v>50</v>
      </c>
      <c r="AC57" t="str">
        <v>Expenses</v>
      </c>
      <c r="AD57" t="str">
        <v>G-cash</v>
      </c>
      <c r="AE57">
        <v>4</v>
      </c>
      <c r="AF57">
        <v>2024</v>
      </c>
      <c r="AG57" t="str">
        <v>Supa</v>
      </c>
      <c r="AK57">
        <v>447</v>
      </c>
      <c r="AL57">
        <v>45519</v>
      </c>
      <c r="AM57" t="str">
        <v>Supa</v>
      </c>
      <c r="AN57">
        <v>125</v>
      </c>
      <c r="AO57" t="str">
        <v>Expenses</v>
      </c>
      <c r="AP57" t="str">
        <v>G-cash</v>
      </c>
      <c r="AQ57">
        <v>8</v>
      </c>
      <c r="AR57">
        <v>2024</v>
      </c>
      <c r="AS57" t="str">
        <v>Supa</v>
      </c>
      <c r="AW57">
        <v>447</v>
      </c>
      <c r="AX57">
        <v>45519</v>
      </c>
      <c r="AY57" t="str">
        <v>Supa</v>
      </c>
      <c r="AZ57">
        <v>125</v>
      </c>
      <c r="BA57" t="str">
        <v>Expenses</v>
      </c>
      <c r="BB57" t="str">
        <v>G-cash</v>
      </c>
      <c r="BC57">
        <v>8</v>
      </c>
      <c r="BD57">
        <v>2024</v>
      </c>
      <c r="BE57" t="str">
        <v>Supa</v>
      </c>
    </row>
    <row r="58" spans="13:57" x14ac:dyDescent="0.25">
      <c r="M58">
        <v>230</v>
      </c>
      <c r="N58">
        <v>45356</v>
      </c>
      <c r="O58" t="str">
        <v>Supa</v>
      </c>
      <c r="P58">
        <v>50</v>
      </c>
      <c r="Q58" t="str">
        <v>Expenses</v>
      </c>
      <c r="R58" t="str">
        <v>G-cash</v>
      </c>
      <c r="S58">
        <v>3</v>
      </c>
      <c r="T58">
        <v>2024</v>
      </c>
      <c r="U58" t="str">
        <v>Supa</v>
      </c>
      <c r="Y58">
        <v>254</v>
      </c>
      <c r="Z58">
        <v>45387</v>
      </c>
      <c r="AA58" t="str">
        <v>Supa</v>
      </c>
      <c r="AB58">
        <v>125</v>
      </c>
      <c r="AC58" t="str">
        <v>Expenses</v>
      </c>
      <c r="AD58" t="str">
        <v>G-cash</v>
      </c>
      <c r="AE58">
        <v>4</v>
      </c>
      <c r="AF58">
        <v>2024</v>
      </c>
      <c r="AG58" t="str">
        <v>Supa</v>
      </c>
      <c r="AK58">
        <v>462</v>
      </c>
      <c r="AL58">
        <v>45539</v>
      </c>
      <c r="AM58" t="str">
        <v>supa</v>
      </c>
      <c r="AN58">
        <v>125</v>
      </c>
      <c r="AO58" t="str">
        <v>Expenses</v>
      </c>
      <c r="AP58" t="str">
        <v>G-cash</v>
      </c>
      <c r="AQ58">
        <v>9</v>
      </c>
      <c r="AR58">
        <v>2024</v>
      </c>
      <c r="AS58" t="str">
        <v>Supa</v>
      </c>
      <c r="AW58">
        <v>462</v>
      </c>
      <c r="AX58">
        <v>45539</v>
      </c>
      <c r="AY58" t="str">
        <v>supa</v>
      </c>
      <c r="AZ58">
        <v>125</v>
      </c>
      <c r="BA58" t="str">
        <v>Expenses</v>
      </c>
      <c r="BB58" t="str">
        <v>G-cash</v>
      </c>
      <c r="BC58">
        <v>9</v>
      </c>
      <c r="BD58">
        <v>2024</v>
      </c>
      <c r="BE58" t="str">
        <v>Supa</v>
      </c>
    </row>
    <row r="59" spans="13:57" x14ac:dyDescent="0.25">
      <c r="M59">
        <v>231</v>
      </c>
      <c r="N59">
        <v>45356</v>
      </c>
      <c r="O59" t="str">
        <v>Supa</v>
      </c>
      <c r="P59">
        <v>125</v>
      </c>
      <c r="Q59" t="str">
        <v>Expenses</v>
      </c>
      <c r="R59" t="str">
        <v>G-cash</v>
      </c>
      <c r="S59">
        <v>3</v>
      </c>
      <c r="T59">
        <v>2024</v>
      </c>
      <c r="U59" t="str">
        <v>Supa</v>
      </c>
      <c r="Y59">
        <v>256</v>
      </c>
      <c r="Z59">
        <v>45388</v>
      </c>
      <c r="AA59" t="str">
        <v>Spotify</v>
      </c>
      <c r="AB59">
        <v>239</v>
      </c>
      <c r="AC59" t="str">
        <v>Expenses</v>
      </c>
      <c r="AD59" t="str">
        <v>G-cash</v>
      </c>
      <c r="AE59">
        <v>4</v>
      </c>
      <c r="AF59">
        <v>2024</v>
      </c>
      <c r="AG59" t="str">
        <v>Spotify</v>
      </c>
      <c r="AK59">
        <v>463</v>
      </c>
      <c r="AL59">
        <v>45540</v>
      </c>
      <c r="AM59" t="str">
        <v>supa</v>
      </c>
      <c r="AN59">
        <v>50</v>
      </c>
      <c r="AO59" t="str">
        <v>Expenses</v>
      </c>
      <c r="AP59" t="str">
        <v>G-cash</v>
      </c>
      <c r="AQ59">
        <v>9</v>
      </c>
      <c r="AR59">
        <v>2024</v>
      </c>
      <c r="AS59" t="str">
        <v>Supa</v>
      </c>
      <c r="AW59">
        <v>463</v>
      </c>
      <c r="AX59">
        <v>45540</v>
      </c>
      <c r="AY59" t="str">
        <v>supa</v>
      </c>
      <c r="AZ59">
        <v>50</v>
      </c>
      <c r="BA59" t="str">
        <v>Expenses</v>
      </c>
      <c r="BB59" t="str">
        <v>G-cash</v>
      </c>
      <c r="BC59">
        <v>9</v>
      </c>
      <c r="BD59">
        <v>2024</v>
      </c>
      <c r="BE59" t="str">
        <v>Supa</v>
      </c>
    </row>
    <row r="60" spans="13:57" x14ac:dyDescent="0.25">
      <c r="M60">
        <v>232</v>
      </c>
      <c r="N60">
        <v>45357</v>
      </c>
      <c r="O60" t="str">
        <v>Spotify</v>
      </c>
      <c r="P60">
        <v>239</v>
      </c>
      <c r="Q60" t="str">
        <v>Expenses</v>
      </c>
      <c r="R60" t="str">
        <v>G-cash</v>
      </c>
      <c r="S60">
        <v>3</v>
      </c>
      <c r="T60">
        <v>2024</v>
      </c>
      <c r="U60" t="str">
        <v>Spotify</v>
      </c>
      <c r="Y60">
        <v>268</v>
      </c>
      <c r="Z60">
        <v>45398</v>
      </c>
      <c r="AA60" t="str">
        <v>Supa</v>
      </c>
      <c r="AB60">
        <v>125</v>
      </c>
      <c r="AC60" t="str">
        <v>Expenses</v>
      </c>
      <c r="AD60" t="str">
        <v>G-cash</v>
      </c>
      <c r="AE60">
        <v>4</v>
      </c>
      <c r="AF60">
        <v>2024</v>
      </c>
      <c r="AG60" t="str">
        <v>Supa</v>
      </c>
      <c r="AK60">
        <v>465</v>
      </c>
      <c r="AL60">
        <v>45540</v>
      </c>
      <c r="AM60" t="str">
        <v>supa</v>
      </c>
      <c r="AN60">
        <v>25</v>
      </c>
      <c r="AO60" t="str">
        <v>Expenses</v>
      </c>
      <c r="AP60" t="str">
        <v>G-cash</v>
      </c>
      <c r="AQ60">
        <v>9</v>
      </c>
      <c r="AR60">
        <v>2024</v>
      </c>
      <c r="AS60" t="str">
        <v>Supa</v>
      </c>
      <c r="AW60">
        <v>465</v>
      </c>
      <c r="AX60">
        <v>45540</v>
      </c>
      <c r="AY60" t="str">
        <v>supa</v>
      </c>
      <c r="AZ60">
        <v>25</v>
      </c>
      <c r="BA60" t="str">
        <v>Expenses</v>
      </c>
      <c r="BB60" t="str">
        <v>G-cash</v>
      </c>
      <c r="BC60">
        <v>9</v>
      </c>
      <c r="BD60">
        <v>2024</v>
      </c>
      <c r="BE60" t="str">
        <v>Supa</v>
      </c>
    </row>
    <row r="61" spans="13:57" x14ac:dyDescent="0.25">
      <c r="M61">
        <v>237</v>
      </c>
      <c r="N61">
        <v>45365</v>
      </c>
      <c r="O61" t="str">
        <v>wifi load (magic data)</v>
      </c>
      <c r="P61">
        <v>599</v>
      </c>
      <c r="Q61" t="str">
        <v>Expenses</v>
      </c>
      <c r="R61" t="str">
        <v>G-cash</v>
      </c>
      <c r="S61">
        <v>3</v>
      </c>
      <c r="T61">
        <v>2024</v>
      </c>
      <c r="U61" t="str">
        <v>wifi load (magic data)</v>
      </c>
      <c r="Y61">
        <v>269</v>
      </c>
      <c r="Z61">
        <v>45402</v>
      </c>
      <c r="AA61" t="str">
        <v>wifi load (magic data)</v>
      </c>
      <c r="AB61">
        <v>599</v>
      </c>
      <c r="AC61" t="str">
        <v>Expenses</v>
      </c>
      <c r="AD61" t="str">
        <v>G-cash</v>
      </c>
      <c r="AE61">
        <v>4</v>
      </c>
      <c r="AF61">
        <v>2024</v>
      </c>
      <c r="AG61" t="str">
        <v>wifi load (magic data)</v>
      </c>
      <c r="AK61">
        <v>471</v>
      </c>
      <c r="AL61">
        <v>45547</v>
      </c>
      <c r="AM61" t="str">
        <v>supa</v>
      </c>
      <c r="AN61">
        <v>125</v>
      </c>
      <c r="AO61" t="str">
        <v>Expenses</v>
      </c>
      <c r="AP61" t="str">
        <v>G-cash</v>
      </c>
      <c r="AQ61">
        <v>9</v>
      </c>
      <c r="AR61">
        <v>2024</v>
      </c>
      <c r="AS61" t="str">
        <v>Supa</v>
      </c>
      <c r="AW61">
        <v>471</v>
      </c>
      <c r="AX61">
        <v>45547</v>
      </c>
      <c r="AY61" t="str">
        <v>supa</v>
      </c>
      <c r="AZ61">
        <v>125</v>
      </c>
      <c r="BA61" t="str">
        <v>Expenses</v>
      </c>
      <c r="BB61" t="str">
        <v>G-cash</v>
      </c>
      <c r="BC61">
        <v>9</v>
      </c>
      <c r="BD61">
        <v>2024</v>
      </c>
      <c r="BE61" t="str">
        <v>Supa</v>
      </c>
    </row>
    <row r="62" spans="13:57" x14ac:dyDescent="0.25">
      <c r="M62">
        <v>239</v>
      </c>
      <c r="N62">
        <v>45373</v>
      </c>
      <c r="O62" t="str">
        <v>YT Membership</v>
      </c>
      <c r="P62">
        <v>129</v>
      </c>
      <c r="Q62" t="str">
        <v>Expenses</v>
      </c>
      <c r="R62" t="str">
        <v>G-cash</v>
      </c>
      <c r="S62">
        <v>3</v>
      </c>
      <c r="T62">
        <v>2024</v>
      </c>
      <c r="U62" t="str">
        <v>YT Membership</v>
      </c>
      <c r="Y62">
        <v>271</v>
      </c>
      <c r="Z62">
        <v>45403</v>
      </c>
      <c r="AA62" t="str">
        <v>Genshin Welkin</v>
      </c>
      <c r="AB62">
        <v>280</v>
      </c>
      <c r="AC62" t="str">
        <v>Expenses</v>
      </c>
      <c r="AD62" t="str">
        <v>G-cash</v>
      </c>
      <c r="AE62">
        <v>4</v>
      </c>
      <c r="AF62">
        <v>2024</v>
      </c>
      <c r="AG62" t="str">
        <v>Genshin Welkin</v>
      </c>
      <c r="AK62">
        <v>510</v>
      </c>
      <c r="AL62">
        <v>45570</v>
      </c>
      <c r="AM62" t="str">
        <v>supa</v>
      </c>
      <c r="AN62">
        <v>125</v>
      </c>
      <c r="AO62" t="str">
        <v>Expenses</v>
      </c>
      <c r="AP62" t="str">
        <v>G-cash</v>
      </c>
      <c r="AQ62">
        <v>10</v>
      </c>
      <c r="AR62">
        <v>2024</v>
      </c>
      <c r="AS62" t="str">
        <v>Supa</v>
      </c>
      <c r="AW62">
        <v>510</v>
      </c>
      <c r="AX62">
        <v>45570</v>
      </c>
      <c r="AY62" t="str">
        <v>supa</v>
      </c>
      <c r="AZ62">
        <v>125</v>
      </c>
      <c r="BA62" t="str">
        <v>Expenses</v>
      </c>
      <c r="BB62" t="str">
        <v>G-cash</v>
      </c>
      <c r="BC62">
        <v>10</v>
      </c>
      <c r="BD62">
        <v>2024</v>
      </c>
      <c r="BE62" t="str">
        <v>Supa</v>
      </c>
    </row>
    <row r="63" spans="13:57" x14ac:dyDescent="0.25">
      <c r="M63">
        <v>241</v>
      </c>
      <c r="N63">
        <v>45374</v>
      </c>
      <c r="O63" t="str">
        <v>Gcash cash-in</v>
      </c>
      <c r="P63">
        <v>3000</v>
      </c>
      <c r="Q63" t="str">
        <v>Deposit</v>
      </c>
      <c r="R63" t="str">
        <v>G-cash</v>
      </c>
      <c r="S63">
        <v>3</v>
      </c>
      <c r="T63">
        <v>2024</v>
      </c>
      <c r="U63" t="str">
        <v>Gcash cash-in</v>
      </c>
      <c r="Y63">
        <v>272</v>
      </c>
      <c r="Z63">
        <v>45404</v>
      </c>
      <c r="AA63" t="str">
        <v>YT Membership</v>
      </c>
      <c r="AB63">
        <v>129</v>
      </c>
      <c r="AC63" t="str">
        <v>Expenses</v>
      </c>
      <c r="AD63" t="str">
        <v>G-cash</v>
      </c>
      <c r="AE63">
        <v>4</v>
      </c>
      <c r="AF63">
        <v>2024</v>
      </c>
      <c r="AG63" t="str">
        <v>YT Membership</v>
      </c>
      <c r="AK63">
        <v>511</v>
      </c>
      <c r="AL63">
        <v>45570</v>
      </c>
      <c r="AM63" t="str">
        <v>Supa</v>
      </c>
      <c r="AN63">
        <v>50</v>
      </c>
      <c r="AO63" t="str">
        <v>Expenses</v>
      </c>
      <c r="AP63" t="str">
        <v>G-cash</v>
      </c>
      <c r="AQ63">
        <v>10</v>
      </c>
      <c r="AR63">
        <v>2024</v>
      </c>
      <c r="AS63" t="str">
        <v>Supa</v>
      </c>
      <c r="AW63">
        <v>511</v>
      </c>
      <c r="AX63">
        <v>45570</v>
      </c>
      <c r="AY63" t="str">
        <v>Supa</v>
      </c>
      <c r="AZ63">
        <v>50</v>
      </c>
      <c r="BA63" t="str">
        <v>Expenses</v>
      </c>
      <c r="BB63" t="str">
        <v>G-cash</v>
      </c>
      <c r="BC63">
        <v>10</v>
      </c>
      <c r="BD63">
        <v>2024</v>
      </c>
      <c r="BE63" t="str">
        <v>Supa</v>
      </c>
    </row>
    <row r="64" spans="13:57" x14ac:dyDescent="0.25">
      <c r="M64">
        <v>242</v>
      </c>
      <c r="N64">
        <v>45374</v>
      </c>
      <c r="O64" t="str">
        <v>Genshin Welkin</v>
      </c>
      <c r="P64">
        <v>280</v>
      </c>
      <c r="Q64" t="str">
        <v>Expenses</v>
      </c>
      <c r="R64" t="str">
        <v>G-cash</v>
      </c>
      <c r="S64">
        <v>3</v>
      </c>
      <c r="T64">
        <v>2024</v>
      </c>
      <c r="U64" t="str">
        <v>Genshin Welkin</v>
      </c>
      <c r="Y64">
        <v>273</v>
      </c>
      <c r="Z64">
        <v>45404</v>
      </c>
      <c r="AA64" t="str">
        <v>wifi load (family access)</v>
      </c>
      <c r="AB64">
        <v>199</v>
      </c>
      <c r="AC64" t="str">
        <v>Expenses</v>
      </c>
      <c r="AD64" t="str">
        <v>G-cash</v>
      </c>
      <c r="AE64">
        <v>4</v>
      </c>
      <c r="AF64">
        <v>2024</v>
      </c>
      <c r="AG64" t="str">
        <v>wifi load (family access)</v>
      </c>
      <c r="AK64">
        <v>525</v>
      </c>
      <c r="AL64">
        <v>45581</v>
      </c>
      <c r="AM64" t="str">
        <v>supa</v>
      </c>
      <c r="AN64">
        <v>125</v>
      </c>
      <c r="AO64" t="str">
        <v>Expenses</v>
      </c>
      <c r="AP64" t="str">
        <v>G-cash</v>
      </c>
      <c r="AQ64">
        <v>10</v>
      </c>
      <c r="AR64">
        <v>2024</v>
      </c>
      <c r="AS64" t="str">
        <v>Supa</v>
      </c>
      <c r="AW64">
        <v>525</v>
      </c>
      <c r="AX64">
        <v>45581</v>
      </c>
      <c r="AY64" t="str">
        <v>supa</v>
      </c>
      <c r="AZ64">
        <v>125</v>
      </c>
      <c r="BA64" t="str">
        <v>Expenses</v>
      </c>
      <c r="BB64" t="str">
        <v>G-cash</v>
      </c>
      <c r="BC64">
        <v>10</v>
      </c>
      <c r="BD64">
        <v>2024</v>
      </c>
      <c r="BE64" t="str">
        <v>Supa</v>
      </c>
    </row>
    <row r="65" spans="13:57" x14ac:dyDescent="0.25">
      <c r="M65">
        <v>247</v>
      </c>
      <c r="N65">
        <v>45378</v>
      </c>
      <c r="O65" t="str">
        <v>wifi load (family access)</v>
      </c>
      <c r="P65">
        <v>199</v>
      </c>
      <c r="Q65" t="str">
        <v>Expenses</v>
      </c>
      <c r="R65" t="str">
        <v>G-cash</v>
      </c>
      <c r="S65">
        <v>3</v>
      </c>
      <c r="T65">
        <v>2024</v>
      </c>
      <c r="U65" t="str">
        <v>wifi load (family access)</v>
      </c>
      <c r="Y65">
        <v>274</v>
      </c>
      <c r="Z65">
        <v>45412</v>
      </c>
      <c r="AA65" t="str">
        <v>Palaman peanut</v>
      </c>
      <c r="AB65">
        <v>500</v>
      </c>
      <c r="AC65" t="str">
        <v>Expenses</v>
      </c>
      <c r="AD65" t="str">
        <v>G-cash</v>
      </c>
      <c r="AE65">
        <v>4</v>
      </c>
      <c r="AF65">
        <v>2024</v>
      </c>
      <c r="AG65" t="str">
        <v>Palaman peanut</v>
      </c>
      <c r="AK65">
        <v>527</v>
      </c>
      <c r="AL65">
        <v>45584</v>
      </c>
      <c r="AM65" t="str">
        <v>Supa</v>
      </c>
      <c r="AN65">
        <v>125</v>
      </c>
      <c r="AO65" t="str">
        <v>Expenses</v>
      </c>
      <c r="AP65" t="str">
        <v>G-cash</v>
      </c>
      <c r="AQ65">
        <v>10</v>
      </c>
      <c r="AR65">
        <v>2024</v>
      </c>
      <c r="AS65" t="str">
        <v>Supa</v>
      </c>
      <c r="AW65">
        <v>527</v>
      </c>
      <c r="AX65">
        <v>45584</v>
      </c>
      <c r="AY65" t="str">
        <v>Supa</v>
      </c>
      <c r="AZ65">
        <v>125</v>
      </c>
      <c r="BA65" t="str">
        <v>Expenses</v>
      </c>
      <c r="BB65" t="str">
        <v>G-cash</v>
      </c>
      <c r="BC65">
        <v>10</v>
      </c>
      <c r="BD65">
        <v>2024</v>
      </c>
      <c r="BE65" t="str">
        <v>Supa</v>
      </c>
    </row>
    <row r="66" spans="13:57" x14ac:dyDescent="0.25">
      <c r="M66">
        <v>253</v>
      </c>
      <c r="N66">
        <v>45384</v>
      </c>
      <c r="O66" t="str">
        <v>Supa</v>
      </c>
      <c r="P66">
        <v>50</v>
      </c>
      <c r="Q66" t="str">
        <v>Expenses</v>
      </c>
      <c r="R66" t="str">
        <v>G-cash</v>
      </c>
      <c r="S66">
        <v>4</v>
      </c>
      <c r="T66">
        <v>2024</v>
      </c>
      <c r="U66" t="str">
        <v>Supa</v>
      </c>
      <c r="Y66">
        <v>281</v>
      </c>
      <c r="Z66">
        <v>45415</v>
      </c>
      <c r="AA66" t="str">
        <v>Supa</v>
      </c>
      <c r="AB66">
        <v>50</v>
      </c>
      <c r="AC66" t="str">
        <v>Expenses</v>
      </c>
      <c r="AD66" t="str">
        <v>G-cash</v>
      </c>
      <c r="AE66">
        <v>5</v>
      </c>
      <c r="AF66">
        <v>2024</v>
      </c>
      <c r="AG66" t="str">
        <v>Supa</v>
      </c>
      <c r="AK66">
        <v>531</v>
      </c>
      <c r="AL66">
        <v>45588</v>
      </c>
      <c r="AM66" t="str">
        <v>Supa</v>
      </c>
      <c r="AN66">
        <v>125</v>
      </c>
      <c r="AO66" t="str">
        <v>Expenses</v>
      </c>
      <c r="AP66" t="str">
        <v>G-cash</v>
      </c>
      <c r="AQ66">
        <v>10</v>
      </c>
      <c r="AR66">
        <v>2024</v>
      </c>
      <c r="AS66" t="str">
        <v>Supa</v>
      </c>
      <c r="AW66">
        <v>531</v>
      </c>
      <c r="AX66">
        <v>45588</v>
      </c>
      <c r="AY66" t="str">
        <v>Supa</v>
      </c>
      <c r="AZ66">
        <v>125</v>
      </c>
      <c r="BA66" t="str">
        <v>Expenses</v>
      </c>
      <c r="BB66" t="str">
        <v>G-cash</v>
      </c>
      <c r="BC66">
        <v>10</v>
      </c>
      <c r="BD66">
        <v>2024</v>
      </c>
      <c r="BE66" t="str">
        <v>Supa</v>
      </c>
    </row>
    <row r="67" spans="13:57" x14ac:dyDescent="0.25">
      <c r="M67">
        <v>254</v>
      </c>
      <c r="N67">
        <v>45387</v>
      </c>
      <c r="O67" t="str">
        <v>Supa</v>
      </c>
      <c r="P67">
        <v>125</v>
      </c>
      <c r="Q67" t="str">
        <v>Expenses</v>
      </c>
      <c r="R67" t="str">
        <v>G-cash</v>
      </c>
      <c r="S67">
        <v>4</v>
      </c>
      <c r="T67">
        <v>2024</v>
      </c>
      <c r="U67" t="str">
        <v>Supa</v>
      </c>
      <c r="Y67">
        <v>282</v>
      </c>
      <c r="Z67">
        <v>45415</v>
      </c>
      <c r="AA67" t="str">
        <v>Supa</v>
      </c>
      <c r="AB67">
        <v>125</v>
      </c>
      <c r="AC67" t="str">
        <v>Expenses</v>
      </c>
      <c r="AD67" t="str">
        <v>G-cash</v>
      </c>
      <c r="AE67">
        <v>5</v>
      </c>
      <c r="AF67">
        <v>2024</v>
      </c>
      <c r="AG67" t="str">
        <v>Supa</v>
      </c>
      <c r="AK67">
        <v>532</v>
      </c>
      <c r="AL67">
        <v>45589</v>
      </c>
      <c r="AM67" t="str">
        <v>Supa</v>
      </c>
      <c r="AN67">
        <v>125</v>
      </c>
      <c r="AO67" t="str">
        <v>Expenses</v>
      </c>
      <c r="AP67" t="str">
        <v>G-cash</v>
      </c>
      <c r="AQ67">
        <v>10</v>
      </c>
      <c r="AR67">
        <v>2024</v>
      </c>
      <c r="AS67" t="str">
        <v>Supa</v>
      </c>
      <c r="AW67">
        <v>532</v>
      </c>
      <c r="AX67">
        <v>45589</v>
      </c>
      <c r="AY67" t="str">
        <v>Supa</v>
      </c>
      <c r="AZ67">
        <v>125</v>
      </c>
      <c r="BA67" t="str">
        <v>Expenses</v>
      </c>
      <c r="BB67" t="str">
        <v>G-cash</v>
      </c>
      <c r="BC67">
        <v>10</v>
      </c>
      <c r="BD67">
        <v>2024</v>
      </c>
      <c r="BE67" t="str">
        <v>Supa</v>
      </c>
    </row>
    <row r="68" spans="13:57" x14ac:dyDescent="0.25">
      <c r="M68">
        <v>256</v>
      </c>
      <c r="N68">
        <v>45388</v>
      </c>
      <c r="O68" t="str">
        <v>Spotify</v>
      </c>
      <c r="P68">
        <v>239</v>
      </c>
      <c r="Q68" t="str">
        <v>Expenses</v>
      </c>
      <c r="R68" t="str">
        <v>G-cash</v>
      </c>
      <c r="S68">
        <v>4</v>
      </c>
      <c r="T68">
        <v>2024</v>
      </c>
      <c r="U68" t="str">
        <v>Spotify</v>
      </c>
      <c r="Y68">
        <v>283</v>
      </c>
      <c r="Z68">
        <v>45415</v>
      </c>
      <c r="AA68" t="str">
        <v>wifi load (family access)</v>
      </c>
      <c r="AB68">
        <v>199</v>
      </c>
      <c r="AC68" t="str">
        <v>Expenses</v>
      </c>
      <c r="AD68" t="str">
        <v>G-cash</v>
      </c>
      <c r="AE68">
        <v>5</v>
      </c>
      <c r="AF68">
        <v>2024</v>
      </c>
      <c r="AG68" t="str">
        <v>wifi load (family access)</v>
      </c>
      <c r="AK68">
        <v>534</v>
      </c>
      <c r="AL68">
        <v>45590</v>
      </c>
      <c r="AM68" t="str">
        <v>Supa</v>
      </c>
      <c r="AN68">
        <v>25</v>
      </c>
      <c r="AO68" t="str">
        <v>Expenses</v>
      </c>
      <c r="AP68" t="str">
        <v>G-cash</v>
      </c>
      <c r="AQ68">
        <v>10</v>
      </c>
      <c r="AR68">
        <v>2024</v>
      </c>
      <c r="AS68" t="str">
        <v>Supa</v>
      </c>
      <c r="AW68">
        <v>534</v>
      </c>
      <c r="AX68">
        <v>45590</v>
      </c>
      <c r="AY68" t="str">
        <v>Supa</v>
      </c>
      <c r="AZ68">
        <v>25</v>
      </c>
      <c r="BA68" t="str">
        <v>Expenses</v>
      </c>
      <c r="BB68" t="str">
        <v>G-cash</v>
      </c>
      <c r="BC68">
        <v>10</v>
      </c>
      <c r="BD68">
        <v>2024</v>
      </c>
      <c r="BE68" t="str">
        <v>Supa</v>
      </c>
    </row>
    <row r="69" spans="13:57" x14ac:dyDescent="0.25">
      <c r="M69">
        <v>268</v>
      </c>
      <c r="N69">
        <v>45398</v>
      </c>
      <c r="O69" t="str">
        <v>Supa</v>
      </c>
      <c r="P69">
        <v>125</v>
      </c>
      <c r="Q69" t="str">
        <v>Expenses</v>
      </c>
      <c r="R69" t="str">
        <v>G-cash</v>
      </c>
      <c r="S69">
        <v>4</v>
      </c>
      <c r="T69">
        <v>2024</v>
      </c>
      <c r="U69" t="str">
        <v>Supa</v>
      </c>
      <c r="Y69">
        <v>290</v>
      </c>
      <c r="Z69">
        <v>45418</v>
      </c>
      <c r="AA69" t="str">
        <v>Supa</v>
      </c>
      <c r="AB69">
        <v>125</v>
      </c>
      <c r="AC69" t="str">
        <v>Expenses</v>
      </c>
      <c r="AD69" t="str">
        <v>G-cash</v>
      </c>
      <c r="AE69">
        <v>5</v>
      </c>
      <c r="AF69">
        <v>2024</v>
      </c>
      <c r="AG69" t="str">
        <v>Supa</v>
      </c>
    </row>
    <row r="70" spans="13:57" x14ac:dyDescent="0.25">
      <c r="M70">
        <v>269</v>
      </c>
      <c r="N70">
        <v>45402</v>
      </c>
      <c r="O70" t="str">
        <v>wifi load (magic data)</v>
      </c>
      <c r="P70">
        <v>599</v>
      </c>
      <c r="Q70" t="str">
        <v>Expenses</v>
      </c>
      <c r="R70" t="str">
        <v>G-cash</v>
      </c>
      <c r="S70">
        <v>4</v>
      </c>
      <c r="T70">
        <v>2024</v>
      </c>
      <c r="U70" t="str">
        <v>wifi load (magic data)</v>
      </c>
      <c r="Y70">
        <v>291</v>
      </c>
      <c r="Z70">
        <v>45418</v>
      </c>
      <c r="AA70" t="str">
        <v>Supa</v>
      </c>
      <c r="AB70">
        <v>50</v>
      </c>
      <c r="AC70" t="str">
        <v>Expenses</v>
      </c>
      <c r="AD70" t="str">
        <v>G-cash</v>
      </c>
      <c r="AE70">
        <v>5</v>
      </c>
      <c r="AF70">
        <v>2024</v>
      </c>
      <c r="AG70" t="str">
        <v>Supa</v>
      </c>
    </row>
    <row r="71" spans="13:57" x14ac:dyDescent="0.25">
      <c r="M71">
        <v>271</v>
      </c>
      <c r="N71">
        <v>45403</v>
      </c>
      <c r="O71" t="str">
        <v>Genshin Welkin</v>
      </c>
      <c r="P71">
        <v>280</v>
      </c>
      <c r="Q71" t="str">
        <v>Expenses</v>
      </c>
      <c r="R71" t="str">
        <v>G-cash</v>
      </c>
      <c r="S71">
        <v>4</v>
      </c>
      <c r="T71">
        <v>2024</v>
      </c>
      <c r="U71" t="str">
        <v>Genshin Welkin</v>
      </c>
      <c r="Y71">
        <v>292</v>
      </c>
      <c r="Z71">
        <v>45419</v>
      </c>
      <c r="AA71" t="str">
        <v>Spotify</v>
      </c>
      <c r="AB71">
        <v>239</v>
      </c>
      <c r="AC71" t="str">
        <v>Expenses</v>
      </c>
      <c r="AD71" t="str">
        <v>G-cash</v>
      </c>
      <c r="AE71">
        <v>5</v>
      </c>
      <c r="AF71">
        <v>2024</v>
      </c>
      <c r="AG71" t="str">
        <v>Spotify</v>
      </c>
    </row>
    <row r="72" spans="13:57" x14ac:dyDescent="0.25">
      <c r="M72">
        <v>272</v>
      </c>
      <c r="N72">
        <v>45404</v>
      </c>
      <c r="O72" t="str">
        <v>YT Membership</v>
      </c>
      <c r="P72">
        <v>129</v>
      </c>
      <c r="Q72" t="str">
        <v>Expenses</v>
      </c>
      <c r="R72" t="str">
        <v>G-cash</v>
      </c>
      <c r="S72">
        <v>4</v>
      </c>
      <c r="T72">
        <v>2024</v>
      </c>
      <c r="U72" t="str">
        <v>YT Membership</v>
      </c>
      <c r="Y72">
        <v>298</v>
      </c>
      <c r="Z72">
        <v>45425</v>
      </c>
      <c r="AA72" t="str">
        <v>mobile load (magic data)</v>
      </c>
      <c r="AB72">
        <v>399</v>
      </c>
      <c r="AC72" t="str">
        <v>Expenses</v>
      </c>
      <c r="AD72" t="str">
        <v>G-cash</v>
      </c>
      <c r="AE72">
        <v>5</v>
      </c>
      <c r="AF72">
        <v>2024</v>
      </c>
      <c r="AG72" t="str">
        <v>mobile load (magic data)</v>
      </c>
    </row>
    <row r="73" spans="13:57" x14ac:dyDescent="0.25">
      <c r="M73">
        <v>273</v>
      </c>
      <c r="N73">
        <v>45404</v>
      </c>
      <c r="O73" t="str">
        <v>wifi load (family access)</v>
      </c>
      <c r="P73">
        <v>199</v>
      </c>
      <c r="Q73" t="str">
        <v>Expenses</v>
      </c>
      <c r="R73" t="str">
        <v>G-cash</v>
      </c>
      <c r="S73">
        <v>4</v>
      </c>
      <c r="T73">
        <v>2024</v>
      </c>
      <c r="U73" t="str">
        <v>wifi load (family access)</v>
      </c>
      <c r="Y73">
        <v>302</v>
      </c>
      <c r="Z73">
        <v>45430</v>
      </c>
      <c r="AA73" t="str">
        <v>Supa</v>
      </c>
      <c r="AB73">
        <v>50</v>
      </c>
      <c r="AC73" t="str">
        <v>Expenses</v>
      </c>
      <c r="AD73" t="str">
        <v>G-cash</v>
      </c>
      <c r="AE73">
        <v>5</v>
      </c>
      <c r="AF73">
        <v>2024</v>
      </c>
      <c r="AG73" t="str">
        <v>Supa</v>
      </c>
    </row>
    <row r="74" spans="13:57" x14ac:dyDescent="0.25">
      <c r="M74">
        <v>274</v>
      </c>
      <c r="N74">
        <v>45412</v>
      </c>
      <c r="O74" t="str">
        <v>Palaman peanut</v>
      </c>
      <c r="P74">
        <v>500</v>
      </c>
      <c r="Q74" t="str">
        <v>Expenses</v>
      </c>
      <c r="R74" t="str">
        <v>G-cash</v>
      </c>
      <c r="S74">
        <v>4</v>
      </c>
      <c r="T74">
        <v>2024</v>
      </c>
      <c r="U74" t="str">
        <v>Palaman peanut</v>
      </c>
      <c r="Y74">
        <v>303</v>
      </c>
      <c r="Z74">
        <v>45434</v>
      </c>
      <c r="AA74" t="str">
        <v>YT Membership</v>
      </c>
      <c r="AB74">
        <v>129</v>
      </c>
      <c r="AC74" t="str">
        <v>Expenses</v>
      </c>
      <c r="AD74" t="str">
        <v>G-cash</v>
      </c>
      <c r="AE74">
        <v>5</v>
      </c>
      <c r="AF74">
        <v>2024</v>
      </c>
      <c r="AG74" t="str">
        <v>YT Membership</v>
      </c>
    </row>
    <row r="75" spans="13:57" x14ac:dyDescent="0.25">
      <c r="M75">
        <v>281</v>
      </c>
      <c r="N75">
        <v>45415</v>
      </c>
      <c r="O75" t="str">
        <v>Supa</v>
      </c>
      <c r="P75">
        <v>50</v>
      </c>
      <c r="Q75" t="str">
        <v>Expenses</v>
      </c>
      <c r="R75" t="str">
        <v>G-cash</v>
      </c>
      <c r="S75">
        <v>5</v>
      </c>
      <c r="T75">
        <v>2024</v>
      </c>
      <c r="U75" t="str">
        <v>Supa</v>
      </c>
      <c r="Y75">
        <v>304</v>
      </c>
      <c r="Z75">
        <v>45434</v>
      </c>
      <c r="AA75" t="str">
        <v>Genshin Welkin</v>
      </c>
      <c r="AB75">
        <v>280</v>
      </c>
      <c r="AC75" t="str">
        <v>Expenses</v>
      </c>
      <c r="AD75" t="str">
        <v>G-cash</v>
      </c>
      <c r="AE75">
        <v>5</v>
      </c>
      <c r="AF75">
        <v>2024</v>
      </c>
      <c r="AG75" t="str">
        <v>Genshin Welkin</v>
      </c>
    </row>
    <row r="76" spans="13:57" x14ac:dyDescent="0.25">
      <c r="M76">
        <v>282</v>
      </c>
      <c r="N76">
        <v>45415</v>
      </c>
      <c r="O76" t="str">
        <v>Supa</v>
      </c>
      <c r="P76">
        <v>125</v>
      </c>
      <c r="Q76" t="str">
        <v>Expenses</v>
      </c>
      <c r="R76" t="str">
        <v>G-cash</v>
      </c>
      <c r="S76">
        <v>5</v>
      </c>
      <c r="T76">
        <v>2024</v>
      </c>
      <c r="U76" t="str">
        <v>Supa</v>
      </c>
      <c r="Y76">
        <v>307</v>
      </c>
      <c r="Z76">
        <v>45435</v>
      </c>
      <c r="AA76" t="str">
        <v>wifi load (family access)</v>
      </c>
      <c r="AB76">
        <v>199</v>
      </c>
      <c r="AC76" t="str">
        <v>Expenses</v>
      </c>
      <c r="AD76" t="str">
        <v>G-cash</v>
      </c>
      <c r="AE76">
        <v>5</v>
      </c>
      <c r="AF76">
        <v>2024</v>
      </c>
      <c r="AG76" t="str">
        <v>wifi load (family access)</v>
      </c>
    </row>
    <row r="77" spans="13:57" x14ac:dyDescent="0.25">
      <c r="M77">
        <v>283</v>
      </c>
      <c r="N77">
        <v>45415</v>
      </c>
      <c r="O77" t="str">
        <v>wifi load (family access)</v>
      </c>
      <c r="P77">
        <v>199</v>
      </c>
      <c r="Q77" t="str">
        <v>Expenses</v>
      </c>
      <c r="R77" t="str">
        <v>G-cash</v>
      </c>
      <c r="S77">
        <v>5</v>
      </c>
      <c r="T77">
        <v>2024</v>
      </c>
      <c r="U77" t="str">
        <v>wifi load (family access)</v>
      </c>
      <c r="Y77">
        <v>310</v>
      </c>
      <c r="Z77">
        <v>45440</v>
      </c>
      <c r="AA77" t="str">
        <v>Supa</v>
      </c>
      <c r="AB77">
        <v>125</v>
      </c>
      <c r="AC77" t="str">
        <v>Expenses</v>
      </c>
      <c r="AD77" t="str">
        <v>G-cash</v>
      </c>
      <c r="AE77">
        <v>5</v>
      </c>
      <c r="AF77">
        <v>2024</v>
      </c>
      <c r="AG77" t="str">
        <v>Supa</v>
      </c>
    </row>
    <row r="78" spans="13:57" x14ac:dyDescent="0.25">
      <c r="M78">
        <v>289</v>
      </c>
      <c r="N78">
        <v>45416</v>
      </c>
      <c r="O78" t="str">
        <v>Gcash cash-in</v>
      </c>
      <c r="P78">
        <v>3000</v>
      </c>
      <c r="Q78" t="str">
        <v>Deposit</v>
      </c>
      <c r="R78" t="str">
        <v>G-cash</v>
      </c>
      <c r="S78">
        <v>5</v>
      </c>
      <c r="T78">
        <v>2024</v>
      </c>
      <c r="U78" t="str">
        <v>Gcash cash-in</v>
      </c>
      <c r="Y78">
        <v>313</v>
      </c>
      <c r="Z78">
        <v>45447</v>
      </c>
      <c r="AA78" t="str">
        <v>Supa</v>
      </c>
      <c r="AB78">
        <v>125</v>
      </c>
      <c r="AC78" t="str">
        <v>Expenses</v>
      </c>
      <c r="AD78" t="str">
        <v>G-cash</v>
      </c>
      <c r="AE78">
        <v>6</v>
      </c>
      <c r="AF78">
        <v>2024</v>
      </c>
      <c r="AG78" t="str">
        <v>Supa</v>
      </c>
    </row>
    <row r="79" spans="13:57" x14ac:dyDescent="0.25">
      <c r="M79">
        <v>290</v>
      </c>
      <c r="N79">
        <v>45418</v>
      </c>
      <c r="O79" t="str">
        <v>Supa</v>
      </c>
      <c r="P79">
        <v>125</v>
      </c>
      <c r="Q79" t="str">
        <v>Expenses</v>
      </c>
      <c r="R79" t="str">
        <v>G-cash</v>
      </c>
      <c r="S79">
        <v>5</v>
      </c>
      <c r="T79">
        <v>2024</v>
      </c>
      <c r="U79" t="str">
        <v>Supa</v>
      </c>
      <c r="Y79">
        <v>314</v>
      </c>
      <c r="Z79">
        <v>45448</v>
      </c>
      <c r="AA79" t="str">
        <v>wifi load (magic data)</v>
      </c>
      <c r="AB79">
        <v>699</v>
      </c>
      <c r="AC79" t="str">
        <v>Expenses</v>
      </c>
      <c r="AD79" t="str">
        <v>G-cash</v>
      </c>
      <c r="AE79">
        <v>6</v>
      </c>
      <c r="AF79">
        <v>2024</v>
      </c>
      <c r="AG79" t="str">
        <v>wifi load (magic data)</v>
      </c>
    </row>
    <row r="80" spans="13:57" x14ac:dyDescent="0.25">
      <c r="M80">
        <v>291</v>
      </c>
      <c r="N80">
        <v>45418</v>
      </c>
      <c r="O80" t="str">
        <v>Supa</v>
      </c>
      <c r="P80">
        <v>50</v>
      </c>
      <c r="Q80" t="str">
        <v>Expenses</v>
      </c>
      <c r="R80" t="str">
        <v>G-cash</v>
      </c>
      <c r="S80">
        <v>5</v>
      </c>
      <c r="T80">
        <v>2024</v>
      </c>
      <c r="U80" t="str">
        <v>Supa</v>
      </c>
      <c r="Y80">
        <v>315</v>
      </c>
      <c r="Z80">
        <v>45449</v>
      </c>
      <c r="AA80" t="str">
        <v>Supa</v>
      </c>
      <c r="AB80">
        <v>125</v>
      </c>
      <c r="AC80" t="str">
        <v>Expenses</v>
      </c>
      <c r="AD80" t="str">
        <v>G-cash</v>
      </c>
      <c r="AE80">
        <v>6</v>
      </c>
      <c r="AF80">
        <v>2024</v>
      </c>
      <c r="AG80" t="str">
        <v>Supa</v>
      </c>
    </row>
    <row r="81" spans="13:33" x14ac:dyDescent="0.25">
      <c r="M81">
        <v>292</v>
      </c>
      <c r="N81">
        <v>45419</v>
      </c>
      <c r="O81" t="str">
        <v>Spotify</v>
      </c>
      <c r="P81">
        <v>239</v>
      </c>
      <c r="Q81" t="str">
        <v>Expenses</v>
      </c>
      <c r="R81" t="str">
        <v>G-cash</v>
      </c>
      <c r="S81">
        <v>5</v>
      </c>
      <c r="T81">
        <v>2024</v>
      </c>
      <c r="U81" t="str">
        <v>Spotify</v>
      </c>
      <c r="Y81">
        <v>317</v>
      </c>
      <c r="Z81">
        <v>45449</v>
      </c>
      <c r="AA81" t="str">
        <v>Spotify</v>
      </c>
      <c r="AB81">
        <v>239</v>
      </c>
      <c r="AC81" t="str">
        <v>Expenses</v>
      </c>
      <c r="AD81" t="str">
        <v>G-cash</v>
      </c>
      <c r="AE81">
        <v>6</v>
      </c>
      <c r="AF81">
        <v>2024</v>
      </c>
      <c r="AG81" t="str">
        <v>Spotify</v>
      </c>
    </row>
    <row r="82" spans="13:33" x14ac:dyDescent="0.25">
      <c r="M82">
        <v>298</v>
      </c>
      <c r="N82">
        <v>45425</v>
      </c>
      <c r="O82" t="str">
        <v>mobile load (magic data)</v>
      </c>
      <c r="P82">
        <v>399</v>
      </c>
      <c r="Q82" t="str">
        <v>Expenses</v>
      </c>
      <c r="R82" t="str">
        <v>G-cash</v>
      </c>
      <c r="S82">
        <v>5</v>
      </c>
      <c r="T82">
        <v>2024</v>
      </c>
      <c r="U82" t="str">
        <v>mobile load (magic data)</v>
      </c>
      <c r="Y82">
        <v>321</v>
      </c>
      <c r="Z82">
        <v>45450</v>
      </c>
      <c r="AA82" t="str">
        <v>Supa</v>
      </c>
      <c r="AB82">
        <v>25</v>
      </c>
      <c r="AC82" t="str">
        <v>Expenses</v>
      </c>
      <c r="AD82" t="str">
        <v>G-cash</v>
      </c>
      <c r="AE82">
        <v>6</v>
      </c>
      <c r="AF82">
        <v>2024</v>
      </c>
      <c r="AG82" t="str">
        <v>Supa</v>
      </c>
    </row>
    <row r="83" spans="13:33" x14ac:dyDescent="0.25">
      <c r="M83">
        <v>302</v>
      </c>
      <c r="N83">
        <v>45430</v>
      </c>
      <c r="O83" t="str">
        <v>Supa</v>
      </c>
      <c r="P83">
        <v>50</v>
      </c>
      <c r="Q83" t="str">
        <v>Expenses</v>
      </c>
      <c r="R83" t="str">
        <v>G-cash</v>
      </c>
      <c r="S83">
        <v>5</v>
      </c>
      <c r="T83">
        <v>2024</v>
      </c>
      <c r="U83" t="str">
        <v>Supa</v>
      </c>
      <c r="Y83">
        <v>322</v>
      </c>
      <c r="Z83">
        <v>45450</v>
      </c>
      <c r="AA83" t="str">
        <v>Supa</v>
      </c>
      <c r="AB83">
        <v>125</v>
      </c>
      <c r="AC83" t="str">
        <v>Expenses</v>
      </c>
      <c r="AD83" t="str">
        <v>G-cash</v>
      </c>
      <c r="AE83">
        <v>6</v>
      </c>
      <c r="AF83">
        <v>2024</v>
      </c>
      <c r="AG83" t="str">
        <v>Supa</v>
      </c>
    </row>
    <row r="84" spans="13:33" x14ac:dyDescent="0.25">
      <c r="M84">
        <v>303</v>
      </c>
      <c r="N84">
        <v>45434</v>
      </c>
      <c r="O84" t="str">
        <v>YT Membership</v>
      </c>
      <c r="P84">
        <v>129</v>
      </c>
      <c r="Q84" t="str">
        <v>Expenses</v>
      </c>
      <c r="R84" t="str">
        <v>G-cash</v>
      </c>
      <c r="S84">
        <v>5</v>
      </c>
      <c r="T84">
        <v>2024</v>
      </c>
      <c r="U84" t="str">
        <v>YT Membership</v>
      </c>
      <c r="Y84">
        <v>323</v>
      </c>
      <c r="Z84">
        <v>45450</v>
      </c>
      <c r="AA84" t="str">
        <v>Supa</v>
      </c>
      <c r="AB84">
        <v>50</v>
      </c>
      <c r="AC84" t="str">
        <v>Expenses</v>
      </c>
      <c r="AD84" t="str">
        <v>G-cash</v>
      </c>
      <c r="AE84">
        <v>6</v>
      </c>
      <c r="AF84">
        <v>2024</v>
      </c>
      <c r="AG84" t="str">
        <v>Supa</v>
      </c>
    </row>
    <row r="85" spans="13:33" x14ac:dyDescent="0.25">
      <c r="M85">
        <v>304</v>
      </c>
      <c r="N85">
        <v>45434</v>
      </c>
      <c r="O85" t="str">
        <v>Genshin Welkin</v>
      </c>
      <c r="P85">
        <v>280</v>
      </c>
      <c r="Q85" t="str">
        <v>Expenses</v>
      </c>
      <c r="R85" t="str">
        <v>G-cash</v>
      </c>
      <c r="S85">
        <v>5</v>
      </c>
      <c r="T85">
        <v>2024</v>
      </c>
      <c r="U85" t="str">
        <v>Genshin Welkin</v>
      </c>
      <c r="Y85">
        <v>338</v>
      </c>
      <c r="Z85">
        <v>45453</v>
      </c>
      <c r="AA85" t="str">
        <v>wifi load (family access)</v>
      </c>
      <c r="AB85">
        <v>199</v>
      </c>
      <c r="AC85" t="str">
        <v>Expenses</v>
      </c>
      <c r="AD85" t="str">
        <v>G-cash</v>
      </c>
      <c r="AE85">
        <v>6</v>
      </c>
      <c r="AF85">
        <v>2024</v>
      </c>
      <c r="AG85" t="str">
        <v>wifi load (family access)</v>
      </c>
    </row>
    <row r="86" spans="13:33" x14ac:dyDescent="0.25">
      <c r="M86">
        <v>307</v>
      </c>
      <c r="N86">
        <v>45435</v>
      </c>
      <c r="O86" t="str">
        <v>wifi load (family access)</v>
      </c>
      <c r="P86">
        <v>199</v>
      </c>
      <c r="Q86" t="str">
        <v>Expenses</v>
      </c>
      <c r="R86" t="str">
        <v>G-cash</v>
      </c>
      <c r="S86">
        <v>5</v>
      </c>
      <c r="T86">
        <v>2024</v>
      </c>
      <c r="U86" t="str">
        <v>wifi load (family access)</v>
      </c>
      <c r="Y86">
        <v>342</v>
      </c>
      <c r="Z86">
        <v>45456</v>
      </c>
      <c r="AA86" t="str">
        <v>Supa</v>
      </c>
      <c r="AB86">
        <v>125</v>
      </c>
      <c r="AC86" t="str">
        <v>Expenses</v>
      </c>
      <c r="AD86" t="str">
        <v>G-cash</v>
      </c>
      <c r="AE86">
        <v>6</v>
      </c>
      <c r="AF86">
        <v>2024</v>
      </c>
      <c r="AG86" t="str">
        <v>Supa</v>
      </c>
    </row>
    <row r="87" spans="13:33" x14ac:dyDescent="0.25">
      <c r="M87">
        <v>310</v>
      </c>
      <c r="N87">
        <v>45440</v>
      </c>
      <c r="O87" t="str">
        <v>Supa</v>
      </c>
      <c r="P87">
        <v>125</v>
      </c>
      <c r="Q87" t="str">
        <v>Expenses</v>
      </c>
      <c r="R87" t="str">
        <v>G-cash</v>
      </c>
      <c r="S87">
        <v>5</v>
      </c>
      <c r="T87">
        <v>2024</v>
      </c>
      <c r="U87" t="str">
        <v>Supa</v>
      </c>
      <c r="Y87">
        <v>343</v>
      </c>
      <c r="Z87">
        <v>45457</v>
      </c>
      <c r="AA87" t="str">
        <v>Supa</v>
      </c>
      <c r="AB87">
        <v>50</v>
      </c>
      <c r="AC87" t="str">
        <v>Expenses</v>
      </c>
      <c r="AD87" t="str">
        <v>G-cash</v>
      </c>
      <c r="AE87">
        <v>6</v>
      </c>
      <c r="AF87">
        <v>2024</v>
      </c>
      <c r="AG87" t="str">
        <v>Supa</v>
      </c>
    </row>
    <row r="88" spans="13:33" x14ac:dyDescent="0.25">
      <c r="M88">
        <v>313</v>
      </c>
      <c r="N88">
        <v>45447</v>
      </c>
      <c r="O88" t="str">
        <v>Supa</v>
      </c>
      <c r="P88">
        <v>125</v>
      </c>
      <c r="Q88" t="str">
        <v>Expenses</v>
      </c>
      <c r="R88" t="str">
        <v>G-cash</v>
      </c>
      <c r="S88">
        <v>6</v>
      </c>
      <c r="T88">
        <v>2024</v>
      </c>
      <c r="U88" t="str">
        <v>Supa</v>
      </c>
      <c r="Y88">
        <v>349</v>
      </c>
      <c r="Z88">
        <v>45463</v>
      </c>
      <c r="AA88" t="str">
        <v>wifi load (family access)</v>
      </c>
      <c r="AB88">
        <v>199</v>
      </c>
      <c r="AC88" t="str">
        <v>Expenses</v>
      </c>
      <c r="AD88" t="str">
        <v>G-cash</v>
      </c>
      <c r="AE88">
        <v>6</v>
      </c>
      <c r="AF88">
        <v>2024</v>
      </c>
      <c r="AG88" t="str">
        <v>wifi load (family access)</v>
      </c>
    </row>
    <row r="89" spans="13:33" x14ac:dyDescent="0.25">
      <c r="M89">
        <v>314</v>
      </c>
      <c r="N89">
        <v>45448</v>
      </c>
      <c r="O89" t="str">
        <v>wifi load (magic data)</v>
      </c>
      <c r="P89">
        <v>699</v>
      </c>
      <c r="Q89" t="str">
        <v>Expenses</v>
      </c>
      <c r="R89" t="str">
        <v>G-cash</v>
      </c>
      <c r="S89">
        <v>6</v>
      </c>
      <c r="T89">
        <v>2024</v>
      </c>
      <c r="U89" t="str">
        <v>wifi load (magic data)</v>
      </c>
      <c r="Y89">
        <v>350</v>
      </c>
      <c r="Z89">
        <v>45463</v>
      </c>
      <c r="AA89" t="str">
        <v>Supa</v>
      </c>
      <c r="AB89">
        <v>50</v>
      </c>
      <c r="AC89" t="str">
        <v>Expenses</v>
      </c>
      <c r="AD89" t="str">
        <v>G-cash</v>
      </c>
      <c r="AE89">
        <v>6</v>
      </c>
      <c r="AF89">
        <v>2024</v>
      </c>
      <c r="AG89" t="str">
        <v>Supa</v>
      </c>
    </row>
    <row r="90" spans="13:33" x14ac:dyDescent="0.25">
      <c r="M90">
        <v>315</v>
      </c>
      <c r="N90">
        <v>45449</v>
      </c>
      <c r="O90" t="str">
        <v>Supa</v>
      </c>
      <c r="P90">
        <v>125</v>
      </c>
      <c r="Q90" t="str">
        <v>Expenses</v>
      </c>
      <c r="R90" t="str">
        <v>G-cash</v>
      </c>
      <c r="S90">
        <v>6</v>
      </c>
      <c r="T90">
        <v>2024</v>
      </c>
      <c r="U90" t="str">
        <v>Supa</v>
      </c>
      <c r="Y90">
        <v>351</v>
      </c>
      <c r="Z90">
        <v>45464</v>
      </c>
      <c r="AA90" t="str">
        <v>YT Membership</v>
      </c>
      <c r="AB90">
        <v>129</v>
      </c>
      <c r="AC90" t="str">
        <v>Expenses</v>
      </c>
      <c r="AD90" t="str">
        <v>G-cash</v>
      </c>
      <c r="AE90">
        <v>6</v>
      </c>
      <c r="AF90">
        <v>2024</v>
      </c>
      <c r="AG90" t="str">
        <v>YT Membership</v>
      </c>
    </row>
    <row r="91" spans="13:33" x14ac:dyDescent="0.25">
      <c r="M91">
        <v>317</v>
      </c>
      <c r="N91">
        <v>45449</v>
      </c>
      <c r="O91" t="str">
        <v>Spotify</v>
      </c>
      <c r="P91">
        <v>239</v>
      </c>
      <c r="Q91" t="str">
        <v>Expenses</v>
      </c>
      <c r="R91" t="str">
        <v>G-cash</v>
      </c>
      <c r="S91">
        <v>6</v>
      </c>
      <c r="T91">
        <v>2024</v>
      </c>
      <c r="U91" t="str">
        <v>Spotify</v>
      </c>
      <c r="Y91">
        <v>352</v>
      </c>
      <c r="Z91">
        <v>45465</v>
      </c>
      <c r="AA91" t="str">
        <v>Membership gift</v>
      </c>
      <c r="AB91">
        <v>129</v>
      </c>
      <c r="AC91" t="str">
        <v>Expenses</v>
      </c>
      <c r="AD91" t="str">
        <v>G-cash</v>
      </c>
      <c r="AE91">
        <v>6</v>
      </c>
      <c r="AF91">
        <v>2024</v>
      </c>
      <c r="AG91" t="str">
        <v>Membership gift</v>
      </c>
    </row>
    <row r="92" spans="13:33" x14ac:dyDescent="0.25">
      <c r="M92">
        <v>321</v>
      </c>
      <c r="N92">
        <v>45450</v>
      </c>
      <c r="O92" t="str">
        <v>Supa</v>
      </c>
      <c r="P92">
        <v>25</v>
      </c>
      <c r="Q92" t="str">
        <v>Expenses</v>
      </c>
      <c r="R92" t="str">
        <v>G-cash</v>
      </c>
      <c r="S92">
        <v>6</v>
      </c>
      <c r="T92">
        <v>2024</v>
      </c>
      <c r="U92" t="str">
        <v>Supa</v>
      </c>
      <c r="Y92">
        <v>353</v>
      </c>
      <c r="Z92">
        <v>45466</v>
      </c>
      <c r="AA92" t="str">
        <v>Supa</v>
      </c>
      <c r="AB92">
        <v>50</v>
      </c>
      <c r="AC92" t="str">
        <v>Expenses</v>
      </c>
      <c r="AD92" t="str">
        <v>G-cash</v>
      </c>
      <c r="AE92">
        <v>6</v>
      </c>
      <c r="AF92">
        <v>2024</v>
      </c>
      <c r="AG92" t="str">
        <v>Supa</v>
      </c>
    </row>
    <row r="93" spans="13:33" x14ac:dyDescent="0.25">
      <c r="M93">
        <v>322</v>
      </c>
      <c r="N93">
        <v>45450</v>
      </c>
      <c r="O93" t="str">
        <v>Supa</v>
      </c>
      <c r="P93">
        <v>125</v>
      </c>
      <c r="Q93" t="str">
        <v>Expenses</v>
      </c>
      <c r="R93" t="str">
        <v>G-cash</v>
      </c>
      <c r="S93">
        <v>6</v>
      </c>
      <c r="T93">
        <v>2024</v>
      </c>
      <c r="U93" t="str">
        <v>Supa</v>
      </c>
      <c r="Y93">
        <v>354</v>
      </c>
      <c r="Z93">
        <v>45466</v>
      </c>
      <c r="AA93" t="str">
        <v>Supa</v>
      </c>
      <c r="AB93">
        <v>50</v>
      </c>
      <c r="AC93" t="str">
        <v>Expenses</v>
      </c>
      <c r="AD93" t="str">
        <v>G-cash</v>
      </c>
      <c r="AE93">
        <v>6</v>
      </c>
      <c r="AF93">
        <v>2024</v>
      </c>
      <c r="AG93" t="str">
        <v>Supa</v>
      </c>
    </row>
    <row r="94" spans="13:33" x14ac:dyDescent="0.25">
      <c r="M94">
        <v>323</v>
      </c>
      <c r="N94">
        <v>45450</v>
      </c>
      <c r="O94" t="str">
        <v>Supa</v>
      </c>
      <c r="P94">
        <v>50</v>
      </c>
      <c r="Q94" t="str">
        <v>Expenses</v>
      </c>
      <c r="R94" t="str">
        <v>G-cash</v>
      </c>
      <c r="S94">
        <v>6</v>
      </c>
      <c r="T94">
        <v>2024</v>
      </c>
      <c r="U94" t="str">
        <v>Supa</v>
      </c>
      <c r="Y94">
        <v>355</v>
      </c>
      <c r="Z94">
        <v>45466</v>
      </c>
      <c r="AA94" t="str">
        <v>Supa</v>
      </c>
      <c r="AB94">
        <v>125</v>
      </c>
      <c r="AC94" t="str">
        <v>Expenses</v>
      </c>
      <c r="AD94" t="str">
        <v>G-cash</v>
      </c>
      <c r="AE94">
        <v>6</v>
      </c>
      <c r="AF94">
        <v>2024</v>
      </c>
      <c r="AG94" t="str">
        <v>Supa</v>
      </c>
    </row>
    <row r="95" spans="13:33" x14ac:dyDescent="0.25">
      <c r="M95">
        <v>337</v>
      </c>
      <c r="N95">
        <v>45453</v>
      </c>
      <c r="O95" t="str">
        <v>Gcash cash-in</v>
      </c>
      <c r="P95">
        <v>200</v>
      </c>
      <c r="Q95" t="str">
        <v>Deposit</v>
      </c>
      <c r="R95" t="str">
        <v>G-cash</v>
      </c>
      <c r="S95">
        <v>6</v>
      </c>
      <c r="T95">
        <v>2024</v>
      </c>
      <c r="U95" t="str">
        <v>Gcash cash-in</v>
      </c>
      <c r="Y95">
        <v>358</v>
      </c>
      <c r="Z95">
        <v>45470</v>
      </c>
      <c r="AA95" t="str">
        <v>Supa</v>
      </c>
      <c r="AB95">
        <v>50</v>
      </c>
      <c r="AC95" t="str">
        <v>Expenses</v>
      </c>
      <c r="AD95" t="str">
        <v>G-cash</v>
      </c>
      <c r="AE95">
        <v>6</v>
      </c>
      <c r="AF95">
        <v>2024</v>
      </c>
      <c r="AG95" t="str">
        <v>Supa</v>
      </c>
    </row>
    <row r="96" spans="13:33" x14ac:dyDescent="0.25">
      <c r="M96">
        <v>338</v>
      </c>
      <c r="N96">
        <v>45453</v>
      </c>
      <c r="O96" t="str">
        <v>wifi load (family access)</v>
      </c>
      <c r="P96">
        <v>199</v>
      </c>
      <c r="Q96" t="str">
        <v>Expenses</v>
      </c>
      <c r="R96" t="str">
        <v>G-cash</v>
      </c>
      <c r="S96">
        <v>6</v>
      </c>
      <c r="T96">
        <v>2024</v>
      </c>
      <c r="U96" t="str">
        <v>wifi load (family access)</v>
      </c>
      <c r="Y96">
        <v>359</v>
      </c>
      <c r="Z96">
        <v>45470</v>
      </c>
      <c r="AA96" t="str">
        <v>Supa</v>
      </c>
      <c r="AB96">
        <v>50</v>
      </c>
      <c r="AC96" t="str">
        <v>Expenses</v>
      </c>
      <c r="AD96" t="str">
        <v>G-cash</v>
      </c>
      <c r="AE96">
        <v>6</v>
      </c>
      <c r="AF96">
        <v>2024</v>
      </c>
      <c r="AG96" t="str">
        <v>Supa</v>
      </c>
    </row>
    <row r="97" spans="13:33" x14ac:dyDescent="0.25">
      <c r="M97">
        <v>339</v>
      </c>
      <c r="N97">
        <v>45454</v>
      </c>
      <c r="O97" t="str">
        <v>Gcash cash-in (NLC)</v>
      </c>
      <c r="P97">
        <v>1500</v>
      </c>
      <c r="Q97" t="str">
        <v>Deposit</v>
      </c>
      <c r="R97" t="str">
        <v>G-cash</v>
      </c>
      <c r="S97">
        <v>6</v>
      </c>
      <c r="T97">
        <v>2024</v>
      </c>
      <c r="U97" t="str">
        <v>Gcash cash-in</v>
      </c>
      <c r="Y97">
        <v>360</v>
      </c>
      <c r="Z97">
        <v>45471</v>
      </c>
      <c r="AA97" t="str">
        <v>Membership gift</v>
      </c>
      <c r="AB97">
        <v>129</v>
      </c>
      <c r="AC97" t="str">
        <v>Expenses</v>
      </c>
      <c r="AD97" t="str">
        <v>G-cash</v>
      </c>
      <c r="AE97">
        <v>6</v>
      </c>
      <c r="AF97">
        <v>2024</v>
      </c>
      <c r="AG97" t="str">
        <v>Membership gift</v>
      </c>
    </row>
    <row r="98" spans="13:33" x14ac:dyDescent="0.25">
      <c r="M98">
        <v>340</v>
      </c>
      <c r="N98">
        <v>45454</v>
      </c>
      <c r="O98" t="str">
        <v>Gcash cash-out (NLC; to mam Daisy)</v>
      </c>
      <c r="P98">
        <v>750</v>
      </c>
      <c r="Q98" t="str">
        <v>Withdraw</v>
      </c>
      <c r="R98" t="str">
        <v>G-cash</v>
      </c>
      <c r="S98">
        <v>6</v>
      </c>
      <c r="T98">
        <v>2024</v>
      </c>
      <c r="U98" t="str">
        <v>Gcash cash-out (NLC; to mam Daisy)</v>
      </c>
      <c r="Y98">
        <v>361</v>
      </c>
      <c r="Z98">
        <v>45471</v>
      </c>
      <c r="AA98" t="str">
        <v>Supa</v>
      </c>
      <c r="AB98">
        <v>125</v>
      </c>
      <c r="AC98" t="str">
        <v>Expenses</v>
      </c>
      <c r="AD98" t="str">
        <v>G-cash</v>
      </c>
      <c r="AE98">
        <v>6</v>
      </c>
      <c r="AF98">
        <v>2024</v>
      </c>
      <c r="AG98" t="str">
        <v>Supa</v>
      </c>
    </row>
    <row r="99" spans="13:33" x14ac:dyDescent="0.25">
      <c r="M99">
        <v>342</v>
      </c>
      <c r="N99">
        <v>45456</v>
      </c>
      <c r="O99" t="str">
        <v>Supa</v>
      </c>
      <c r="P99">
        <v>125</v>
      </c>
      <c r="Q99" t="str">
        <v>Expenses</v>
      </c>
      <c r="R99" t="str">
        <v>G-cash</v>
      </c>
      <c r="S99">
        <v>6</v>
      </c>
      <c r="T99">
        <v>2024</v>
      </c>
      <c r="U99" t="str">
        <v>Supa</v>
      </c>
      <c r="Y99">
        <v>362</v>
      </c>
      <c r="Z99">
        <v>45471</v>
      </c>
      <c r="AA99" t="str">
        <v xml:space="preserve">Sheena </v>
      </c>
      <c r="AB99">
        <v>150</v>
      </c>
      <c r="AC99" t="str">
        <v>Expenses</v>
      </c>
      <c r="AD99" t="str">
        <v>G-cash</v>
      </c>
      <c r="AE99">
        <v>6</v>
      </c>
      <c r="AF99">
        <v>2024</v>
      </c>
      <c r="AG99" t="str">
        <v>sheena-related</v>
      </c>
    </row>
    <row r="100" spans="13:33" x14ac:dyDescent="0.25">
      <c r="M100">
        <v>343</v>
      </c>
      <c r="N100">
        <v>45457</v>
      </c>
      <c r="O100" t="str">
        <v>Supa</v>
      </c>
      <c r="P100">
        <v>50</v>
      </c>
      <c r="Q100" t="str">
        <v>Expenses</v>
      </c>
      <c r="R100" t="str">
        <v>G-cash</v>
      </c>
      <c r="S100">
        <v>6</v>
      </c>
      <c r="T100">
        <v>2024</v>
      </c>
      <c r="U100" t="str">
        <v>Supa</v>
      </c>
      <c r="Y100">
        <v>372</v>
      </c>
      <c r="Z100">
        <v>45474</v>
      </c>
      <c r="AA100" t="str">
        <v>wifi load (family access)</v>
      </c>
      <c r="AB100">
        <v>199</v>
      </c>
      <c r="AC100" t="str">
        <v>Expenses</v>
      </c>
      <c r="AD100" t="str">
        <v>G-cash</v>
      </c>
      <c r="AE100">
        <v>7</v>
      </c>
      <c r="AF100">
        <v>2024</v>
      </c>
      <c r="AG100" t="str">
        <v>wifi load (family access)</v>
      </c>
    </row>
    <row r="101" spans="13:33" x14ac:dyDescent="0.25">
      <c r="M101">
        <v>346</v>
      </c>
      <c r="N101">
        <v>45458</v>
      </c>
      <c r="O101" t="str">
        <v>Gacash cash-in</v>
      </c>
      <c r="P101">
        <v>3000</v>
      </c>
      <c r="Q101" t="str">
        <v>Deposit</v>
      </c>
      <c r="R101" t="str">
        <v>G-cash</v>
      </c>
      <c r="S101">
        <v>6</v>
      </c>
      <c r="T101">
        <v>2024</v>
      </c>
      <c r="U101" t="str">
        <v>Gacash cash-in</v>
      </c>
      <c r="Y101">
        <v>375</v>
      </c>
      <c r="Z101">
        <v>45479</v>
      </c>
      <c r="AA101" t="str">
        <v>Spotify</v>
      </c>
      <c r="AB101">
        <v>239</v>
      </c>
      <c r="AC101" t="str">
        <v>Expenses</v>
      </c>
      <c r="AD101" t="str">
        <v>G-cash</v>
      </c>
      <c r="AE101">
        <v>7</v>
      </c>
      <c r="AF101">
        <v>2024</v>
      </c>
      <c r="AG101" t="str">
        <v>Spotify</v>
      </c>
    </row>
    <row r="102" spans="13:33" x14ac:dyDescent="0.25">
      <c r="M102">
        <v>349</v>
      </c>
      <c r="N102">
        <v>45463</v>
      </c>
      <c r="O102" t="str">
        <v>wifi load (family access)</v>
      </c>
      <c r="P102">
        <v>199</v>
      </c>
      <c r="Q102" t="str">
        <v>Expenses</v>
      </c>
      <c r="R102" t="str">
        <v>G-cash</v>
      </c>
      <c r="S102">
        <v>6</v>
      </c>
      <c r="T102">
        <v>2024</v>
      </c>
      <c r="U102" t="str">
        <v>wifi load (family access)</v>
      </c>
      <c r="Y102">
        <v>377</v>
      </c>
      <c r="Z102">
        <v>45483</v>
      </c>
      <c r="AA102" t="str">
        <v>steam summer sale</v>
      </c>
      <c r="AB102">
        <v>188</v>
      </c>
      <c r="AC102" t="str">
        <v>Expenses</v>
      </c>
      <c r="AD102" t="str">
        <v>G-cash</v>
      </c>
      <c r="AE102">
        <v>7</v>
      </c>
      <c r="AF102">
        <v>2024</v>
      </c>
      <c r="AG102" t="str">
        <v>steam</v>
      </c>
    </row>
    <row r="103" spans="13:33" x14ac:dyDescent="0.25">
      <c r="M103">
        <v>350</v>
      </c>
      <c r="N103">
        <v>45463</v>
      </c>
      <c r="O103" t="str">
        <v>Supa</v>
      </c>
      <c r="P103">
        <v>50</v>
      </c>
      <c r="Q103" t="str">
        <v>Expenses</v>
      </c>
      <c r="R103" t="str">
        <v>G-cash</v>
      </c>
      <c r="S103">
        <v>6</v>
      </c>
      <c r="T103">
        <v>2024</v>
      </c>
      <c r="U103" t="str">
        <v>Supa</v>
      </c>
      <c r="Y103">
        <v>378</v>
      </c>
      <c r="Z103">
        <v>45483</v>
      </c>
      <c r="AA103" t="str">
        <v>supa</v>
      </c>
      <c r="AB103">
        <v>50</v>
      </c>
      <c r="AC103" t="str">
        <v>Expenses</v>
      </c>
      <c r="AD103" t="str">
        <v>G-cash</v>
      </c>
      <c r="AE103">
        <v>7</v>
      </c>
      <c r="AF103">
        <v>2024</v>
      </c>
      <c r="AG103" t="str">
        <v>Supa</v>
      </c>
    </row>
    <row r="104" spans="13:33" x14ac:dyDescent="0.25">
      <c r="M104">
        <v>351</v>
      </c>
      <c r="N104">
        <v>45464</v>
      </c>
      <c r="O104" t="str">
        <v>YT Membership</v>
      </c>
      <c r="P104">
        <v>129</v>
      </c>
      <c r="Q104" t="str">
        <v>Expenses</v>
      </c>
      <c r="R104" t="str">
        <v>G-cash</v>
      </c>
      <c r="S104">
        <v>6</v>
      </c>
      <c r="T104">
        <v>2024</v>
      </c>
      <c r="U104" t="str">
        <v>YT Membership</v>
      </c>
      <c r="Y104">
        <v>379</v>
      </c>
      <c r="Z104">
        <v>45483</v>
      </c>
      <c r="AA104" t="str">
        <v>supa</v>
      </c>
      <c r="AB104">
        <v>125</v>
      </c>
      <c r="AC104" t="str">
        <v>Expenses</v>
      </c>
      <c r="AD104" t="str">
        <v>G-cash</v>
      </c>
      <c r="AE104">
        <v>7</v>
      </c>
      <c r="AF104">
        <v>2024</v>
      </c>
      <c r="AG104" t="str">
        <v>Supa</v>
      </c>
    </row>
    <row r="105" spans="13:33" x14ac:dyDescent="0.25">
      <c r="M105">
        <v>352</v>
      </c>
      <c r="N105">
        <v>45465</v>
      </c>
      <c r="O105" t="str">
        <v>Membership gift</v>
      </c>
      <c r="P105">
        <v>129</v>
      </c>
      <c r="Q105" t="str">
        <v>Expenses</v>
      </c>
      <c r="R105" t="str">
        <v>G-cash</v>
      </c>
      <c r="S105">
        <v>6</v>
      </c>
      <c r="T105">
        <v>2024</v>
      </c>
      <c r="U105" t="str">
        <v>Membership gift</v>
      </c>
      <c r="Y105">
        <v>381</v>
      </c>
      <c r="Z105">
        <v>45485</v>
      </c>
      <c r="AA105" t="str">
        <v>Supa</v>
      </c>
      <c r="AB105">
        <v>50</v>
      </c>
      <c r="AC105" t="str">
        <v>Expenses</v>
      </c>
      <c r="AD105" t="str">
        <v>G-cash</v>
      </c>
      <c r="AE105">
        <v>7</v>
      </c>
      <c r="AF105">
        <v>2024</v>
      </c>
      <c r="AG105" t="str">
        <v>Supa</v>
      </c>
    </row>
    <row r="106" spans="13:33" x14ac:dyDescent="0.25">
      <c r="M106">
        <v>353</v>
      </c>
      <c r="N106">
        <v>45466</v>
      </c>
      <c r="O106" t="str">
        <v>Supa</v>
      </c>
      <c r="P106">
        <v>50</v>
      </c>
      <c r="Q106" t="str">
        <v>Expenses</v>
      </c>
      <c r="R106" t="str">
        <v>G-cash</v>
      </c>
      <c r="S106">
        <v>6</v>
      </c>
      <c r="T106">
        <v>2024</v>
      </c>
      <c r="U106" t="str">
        <v>Supa</v>
      </c>
      <c r="Y106">
        <v>391</v>
      </c>
      <c r="Z106">
        <v>45490</v>
      </c>
      <c r="AA106" t="str">
        <v>wifi load (family access)</v>
      </c>
      <c r="AB106">
        <v>199</v>
      </c>
      <c r="AC106" t="str">
        <v>Expenses</v>
      </c>
      <c r="AD106" t="str">
        <v>G-cash</v>
      </c>
      <c r="AE106">
        <v>7</v>
      </c>
      <c r="AF106">
        <v>2024</v>
      </c>
      <c r="AG106" t="str">
        <v>wifi load (family access)</v>
      </c>
    </row>
    <row r="107" spans="13:33" x14ac:dyDescent="0.25">
      <c r="M107">
        <v>354</v>
      </c>
      <c r="N107">
        <v>45466</v>
      </c>
      <c r="O107" t="str">
        <v>Supa</v>
      </c>
      <c r="P107">
        <v>50</v>
      </c>
      <c r="Q107" t="str">
        <v>Expenses</v>
      </c>
      <c r="R107" t="str">
        <v>G-cash</v>
      </c>
      <c r="S107">
        <v>6</v>
      </c>
      <c r="T107">
        <v>2024</v>
      </c>
      <c r="U107" t="str">
        <v>Supa</v>
      </c>
      <c r="Y107">
        <v>392</v>
      </c>
      <c r="Z107">
        <v>45490</v>
      </c>
      <c r="AA107" t="str">
        <v>wifi load (magic data)</v>
      </c>
      <c r="AB107">
        <v>699</v>
      </c>
      <c r="AC107" t="str">
        <v>Expenses</v>
      </c>
      <c r="AD107" t="str">
        <v>G-cash</v>
      </c>
      <c r="AE107">
        <v>7</v>
      </c>
      <c r="AF107">
        <v>2024</v>
      </c>
      <c r="AG107" t="str">
        <v>wifi load (magic data)</v>
      </c>
    </row>
    <row r="108" spans="13:33" x14ac:dyDescent="0.25">
      <c r="M108">
        <v>355</v>
      </c>
      <c r="N108">
        <v>45466</v>
      </c>
      <c r="O108" t="str">
        <v>Supa</v>
      </c>
      <c r="P108">
        <v>125</v>
      </c>
      <c r="Q108" t="str">
        <v>Expenses</v>
      </c>
      <c r="R108" t="str">
        <v>G-cash</v>
      </c>
      <c r="S108">
        <v>6</v>
      </c>
      <c r="T108">
        <v>2024</v>
      </c>
      <c r="U108" t="str">
        <v>Supa</v>
      </c>
      <c r="Y108">
        <v>399</v>
      </c>
      <c r="Z108">
        <v>45495</v>
      </c>
      <c r="AA108" t="str">
        <v>YT Membership</v>
      </c>
      <c r="AB108">
        <v>129</v>
      </c>
      <c r="AC108" t="str">
        <v>Expenses</v>
      </c>
      <c r="AD108" t="str">
        <v>G-cash</v>
      </c>
      <c r="AE108">
        <v>7</v>
      </c>
      <c r="AF108">
        <v>2024</v>
      </c>
      <c r="AG108" t="str">
        <v>YT Membership</v>
      </c>
    </row>
    <row r="109" spans="13:33" x14ac:dyDescent="0.25">
      <c r="M109">
        <v>358</v>
      </c>
      <c r="N109">
        <v>45470</v>
      </c>
      <c r="O109" t="str">
        <v>Supa</v>
      </c>
      <c r="P109">
        <v>50</v>
      </c>
      <c r="Q109" t="str">
        <v>Expenses</v>
      </c>
      <c r="R109" t="str">
        <v>G-cash</v>
      </c>
      <c r="S109">
        <v>6</v>
      </c>
      <c r="T109">
        <v>2024</v>
      </c>
      <c r="U109" t="str">
        <v>Supa</v>
      </c>
      <c r="Y109">
        <v>400</v>
      </c>
      <c r="Z109">
        <v>45495</v>
      </c>
      <c r="AA109" t="str">
        <v>welcome party aragmot</v>
      </c>
      <c r="AB109">
        <v>650</v>
      </c>
      <c r="AC109" t="str">
        <v>Expenses</v>
      </c>
      <c r="AD109" t="str">
        <v>G-cash</v>
      </c>
      <c r="AE109">
        <v>7</v>
      </c>
      <c r="AF109">
        <v>2024</v>
      </c>
      <c r="AG109" t="str">
        <v>welcome party aragmot</v>
      </c>
    </row>
    <row r="110" spans="13:33" x14ac:dyDescent="0.25">
      <c r="M110">
        <v>359</v>
      </c>
      <c r="N110">
        <v>45470</v>
      </c>
      <c r="O110" t="str">
        <v>Supa</v>
      </c>
      <c r="P110">
        <v>50</v>
      </c>
      <c r="Q110" t="str">
        <v>Expenses</v>
      </c>
      <c r="R110" t="str">
        <v>G-cash</v>
      </c>
      <c r="S110">
        <v>6</v>
      </c>
      <c r="T110">
        <v>2024</v>
      </c>
      <c r="U110" t="str">
        <v>Supa</v>
      </c>
      <c r="Y110">
        <v>407</v>
      </c>
      <c r="Z110">
        <v>45498</v>
      </c>
      <c r="AA110" t="str">
        <v>donation</v>
      </c>
      <c r="AB110">
        <v>125</v>
      </c>
      <c r="AC110" t="str">
        <v>Expenses</v>
      </c>
      <c r="AD110" t="str">
        <v>G-cash</v>
      </c>
      <c r="AE110">
        <v>7</v>
      </c>
      <c r="AF110">
        <v>2024</v>
      </c>
      <c r="AG110" t="str">
        <v>donation</v>
      </c>
    </row>
    <row r="111" spans="13:33" x14ac:dyDescent="0.25">
      <c r="M111">
        <v>360</v>
      </c>
      <c r="N111">
        <v>45471</v>
      </c>
      <c r="O111" t="str">
        <v>Membership gift</v>
      </c>
      <c r="P111">
        <v>129</v>
      </c>
      <c r="Q111" t="str">
        <v>Expenses</v>
      </c>
      <c r="R111" t="str">
        <v>G-cash</v>
      </c>
      <c r="S111">
        <v>6</v>
      </c>
      <c r="T111">
        <v>2024</v>
      </c>
      <c r="U111" t="str">
        <v>Membership gift</v>
      </c>
      <c r="Y111">
        <v>419</v>
      </c>
      <c r="Z111">
        <v>45503</v>
      </c>
      <c r="AA111" t="str">
        <v>supa</v>
      </c>
      <c r="AB111">
        <v>125</v>
      </c>
      <c r="AC111" t="str">
        <v>Expenses</v>
      </c>
      <c r="AD111" t="str">
        <v>G-cash</v>
      </c>
      <c r="AE111">
        <v>7</v>
      </c>
      <c r="AF111">
        <v>2024</v>
      </c>
      <c r="AG111" t="str">
        <v>Supa</v>
      </c>
    </row>
    <row r="112" spans="13:33" x14ac:dyDescent="0.25">
      <c r="M112">
        <v>361</v>
      </c>
      <c r="N112">
        <v>45471</v>
      </c>
      <c r="O112" t="str">
        <v>Supa</v>
      </c>
      <c r="P112">
        <v>125</v>
      </c>
      <c r="Q112" t="str">
        <v>Expenses</v>
      </c>
      <c r="R112" t="str">
        <v>G-cash</v>
      </c>
      <c r="S112">
        <v>6</v>
      </c>
      <c r="T112">
        <v>2024</v>
      </c>
      <c r="U112" t="str">
        <v>Supa</v>
      </c>
      <c r="Y112">
        <v>420</v>
      </c>
      <c r="Z112">
        <v>45503</v>
      </c>
      <c r="AA112" t="str">
        <v>Supa</v>
      </c>
      <c r="AB112">
        <v>125</v>
      </c>
      <c r="AC112" t="str">
        <v>Expenses</v>
      </c>
      <c r="AD112" t="str">
        <v>G-cash</v>
      </c>
      <c r="AE112">
        <v>7</v>
      </c>
      <c r="AF112">
        <v>2024</v>
      </c>
      <c r="AG112" t="str">
        <v>Supa</v>
      </c>
    </row>
    <row r="113" spans="13:33" x14ac:dyDescent="0.25">
      <c r="M113">
        <v>362</v>
      </c>
      <c r="N113">
        <v>45471</v>
      </c>
      <c r="O113" t="str">
        <v xml:space="preserve">Sheena </v>
      </c>
      <c r="P113">
        <v>150</v>
      </c>
      <c r="Q113" t="str">
        <v>Expenses</v>
      </c>
      <c r="R113" t="str">
        <v>G-cash</v>
      </c>
      <c r="S113">
        <v>6</v>
      </c>
      <c r="T113">
        <v>2024</v>
      </c>
      <c r="U113" t="str">
        <v>sheena-related</v>
      </c>
      <c r="Y113">
        <v>424</v>
      </c>
      <c r="Z113">
        <v>45506</v>
      </c>
      <c r="AA113" t="str">
        <v>wifi load (family access)</v>
      </c>
      <c r="AB113">
        <v>199</v>
      </c>
      <c r="AC113" t="str">
        <v>Expenses</v>
      </c>
      <c r="AD113" t="str">
        <v>G-cash</v>
      </c>
      <c r="AE113">
        <v>8</v>
      </c>
      <c r="AF113">
        <v>2024</v>
      </c>
      <c r="AG113" t="str">
        <v>wifi load (family access)</v>
      </c>
    </row>
    <row r="114" spans="13:33" x14ac:dyDescent="0.25">
      <c r="M114">
        <v>372</v>
      </c>
      <c r="N114">
        <v>45474</v>
      </c>
      <c r="O114" t="str">
        <v>wifi load (family access)</v>
      </c>
      <c r="P114">
        <v>199</v>
      </c>
      <c r="Q114" t="str">
        <v>Expenses</v>
      </c>
      <c r="R114" t="str">
        <v>G-cash</v>
      </c>
      <c r="S114">
        <v>7</v>
      </c>
      <c r="T114">
        <v>2024</v>
      </c>
      <c r="U114" t="str">
        <v>wifi load (family access)</v>
      </c>
      <c r="Y114">
        <v>434</v>
      </c>
      <c r="Z114">
        <v>45510</v>
      </c>
      <c r="AA114" t="str">
        <v>Spotify</v>
      </c>
      <c r="AB114">
        <v>239</v>
      </c>
      <c r="AC114" t="str">
        <v>Expenses</v>
      </c>
      <c r="AD114" t="str">
        <v>G-cash</v>
      </c>
      <c r="AE114">
        <v>8</v>
      </c>
      <c r="AF114">
        <v>2024</v>
      </c>
      <c r="AG114" t="str">
        <v>Spotify</v>
      </c>
    </row>
    <row r="115" spans="13:33" x14ac:dyDescent="0.25">
      <c r="M115">
        <v>375</v>
      </c>
      <c r="N115">
        <v>45479</v>
      </c>
      <c r="O115" t="str">
        <v>Spotify</v>
      </c>
      <c r="P115">
        <v>239</v>
      </c>
      <c r="Q115" t="str">
        <v>Expenses</v>
      </c>
      <c r="R115" t="str">
        <v>G-cash</v>
      </c>
      <c r="S115">
        <v>7</v>
      </c>
      <c r="T115">
        <v>2024</v>
      </c>
      <c r="U115" t="str">
        <v>Spotify</v>
      </c>
      <c r="Y115">
        <v>439</v>
      </c>
      <c r="Z115">
        <v>45513</v>
      </c>
      <c r="AA115" t="str">
        <v>wifi load (family access)</v>
      </c>
      <c r="AB115">
        <v>199</v>
      </c>
      <c r="AC115" t="str">
        <v>Expenses</v>
      </c>
      <c r="AD115" t="str">
        <v>G-cash</v>
      </c>
      <c r="AE115">
        <v>8</v>
      </c>
      <c r="AF115">
        <v>2024</v>
      </c>
      <c r="AG115" t="str">
        <v>wifi load (family access)</v>
      </c>
    </row>
    <row r="116" spans="13:33" x14ac:dyDescent="0.25">
      <c r="M116">
        <v>377</v>
      </c>
      <c r="N116">
        <v>45483</v>
      </c>
      <c r="O116" t="str">
        <v>steam summer sale</v>
      </c>
      <c r="P116">
        <v>188</v>
      </c>
      <c r="Q116" t="str">
        <v>Expenses</v>
      </c>
      <c r="R116" t="str">
        <v>G-cash</v>
      </c>
      <c r="S116">
        <v>7</v>
      </c>
      <c r="T116">
        <v>2024</v>
      </c>
      <c r="U116" t="str">
        <v>steam</v>
      </c>
      <c r="Y116">
        <v>447</v>
      </c>
      <c r="Z116">
        <v>45519</v>
      </c>
      <c r="AA116" t="str">
        <v>Supa</v>
      </c>
      <c r="AB116">
        <v>125</v>
      </c>
      <c r="AC116" t="str">
        <v>Expenses</v>
      </c>
      <c r="AD116" t="str">
        <v>G-cash</v>
      </c>
      <c r="AE116">
        <v>8</v>
      </c>
      <c r="AF116">
        <v>2024</v>
      </c>
      <c r="AG116" t="str">
        <v>Supa</v>
      </c>
    </row>
    <row r="117" spans="13:33" x14ac:dyDescent="0.25">
      <c r="M117">
        <v>378</v>
      </c>
      <c r="N117">
        <v>45483</v>
      </c>
      <c r="O117" t="str">
        <v>supa</v>
      </c>
      <c r="P117">
        <v>50</v>
      </c>
      <c r="Q117" t="str">
        <v>Expenses</v>
      </c>
      <c r="R117" t="str">
        <v>G-cash</v>
      </c>
      <c r="S117">
        <v>7</v>
      </c>
      <c r="T117">
        <v>2024</v>
      </c>
      <c r="U117" t="str">
        <v>Supa</v>
      </c>
      <c r="Y117">
        <v>457</v>
      </c>
      <c r="Z117">
        <v>45533</v>
      </c>
      <c r="AA117" t="str">
        <v>bag</v>
      </c>
      <c r="AB117">
        <v>1000</v>
      </c>
      <c r="AC117" t="str">
        <v>Expenses</v>
      </c>
      <c r="AD117" t="str">
        <v>G-cash</v>
      </c>
      <c r="AE117">
        <v>8</v>
      </c>
      <c r="AF117">
        <v>2024</v>
      </c>
      <c r="AG117" t="str">
        <v>bag</v>
      </c>
    </row>
    <row r="118" spans="13:33" x14ac:dyDescent="0.25">
      <c r="M118">
        <v>379</v>
      </c>
      <c r="N118">
        <v>45483</v>
      </c>
      <c r="O118" t="str">
        <v>supa</v>
      </c>
      <c r="P118">
        <v>125</v>
      </c>
      <c r="Q118" t="str">
        <v>Expenses</v>
      </c>
      <c r="R118" t="str">
        <v>G-cash</v>
      </c>
      <c r="S118">
        <v>7</v>
      </c>
      <c r="T118">
        <v>2024</v>
      </c>
      <c r="U118" t="str">
        <v>Supa</v>
      </c>
      <c r="Y118">
        <v>462</v>
      </c>
      <c r="Z118">
        <v>45539</v>
      </c>
      <c r="AA118" t="str">
        <v>supa</v>
      </c>
      <c r="AB118">
        <v>125</v>
      </c>
      <c r="AC118" t="str">
        <v>Expenses</v>
      </c>
      <c r="AD118" t="str">
        <v>G-cash</v>
      </c>
      <c r="AE118">
        <v>9</v>
      </c>
      <c r="AF118">
        <v>2024</v>
      </c>
      <c r="AG118" t="str">
        <v>Supa</v>
      </c>
    </row>
    <row r="119" spans="13:33" x14ac:dyDescent="0.25">
      <c r="M119">
        <v>381</v>
      </c>
      <c r="N119">
        <v>45485</v>
      </c>
      <c r="O119" t="str">
        <v>Supa</v>
      </c>
      <c r="P119">
        <v>50</v>
      </c>
      <c r="Q119" t="str">
        <v>Expenses</v>
      </c>
      <c r="R119" t="str">
        <v>G-cash</v>
      </c>
      <c r="S119">
        <v>7</v>
      </c>
      <c r="T119">
        <v>2024</v>
      </c>
      <c r="U119" t="str">
        <v>Supa</v>
      </c>
      <c r="Y119">
        <v>463</v>
      </c>
      <c r="Z119">
        <v>45540</v>
      </c>
      <c r="AA119" t="str">
        <v>supa</v>
      </c>
      <c r="AB119">
        <v>50</v>
      </c>
      <c r="AC119" t="str">
        <v>Expenses</v>
      </c>
      <c r="AD119" t="str">
        <v>G-cash</v>
      </c>
      <c r="AE119">
        <v>9</v>
      </c>
      <c r="AF119">
        <v>2024</v>
      </c>
      <c r="AG119" t="str">
        <v>Supa</v>
      </c>
    </row>
    <row r="120" spans="13:33" x14ac:dyDescent="0.25">
      <c r="M120">
        <v>391</v>
      </c>
      <c r="N120">
        <v>45490</v>
      </c>
      <c r="O120" t="str">
        <v>wifi load (family access)</v>
      </c>
      <c r="P120">
        <v>199</v>
      </c>
      <c r="Q120" t="str">
        <v>Expenses</v>
      </c>
      <c r="R120" t="str">
        <v>G-cash</v>
      </c>
      <c r="S120">
        <v>7</v>
      </c>
      <c r="T120">
        <v>2024</v>
      </c>
      <c r="U120" t="str">
        <v>wifi load (family access)</v>
      </c>
      <c r="Y120">
        <v>464</v>
      </c>
      <c r="Z120">
        <v>45540</v>
      </c>
      <c r="AA120" t="str">
        <v>YT sticker</v>
      </c>
      <c r="AB120">
        <v>15</v>
      </c>
      <c r="AC120" t="str">
        <v>Expenses</v>
      </c>
      <c r="AD120" t="str">
        <v>G-cash</v>
      </c>
      <c r="AE120">
        <v>9</v>
      </c>
      <c r="AF120">
        <v>2024</v>
      </c>
      <c r="AG120" t="str">
        <v>YT sticker</v>
      </c>
    </row>
    <row r="121" spans="13:33" x14ac:dyDescent="0.25">
      <c r="M121">
        <v>392</v>
      </c>
      <c r="N121">
        <v>45490</v>
      </c>
      <c r="O121" t="str">
        <v>wifi load (magic data)</v>
      </c>
      <c r="P121">
        <v>699</v>
      </c>
      <c r="Q121" t="str">
        <v>Expenses</v>
      </c>
      <c r="R121" t="str">
        <v>G-cash</v>
      </c>
      <c r="S121">
        <v>7</v>
      </c>
      <c r="T121">
        <v>2024</v>
      </c>
      <c r="U121" t="str">
        <v>wifi load (magic data)</v>
      </c>
      <c r="Y121">
        <v>465</v>
      </c>
      <c r="Z121">
        <v>45540</v>
      </c>
      <c r="AA121" t="str">
        <v>supa</v>
      </c>
      <c r="AB121">
        <v>25</v>
      </c>
      <c r="AC121" t="str">
        <v>Expenses</v>
      </c>
      <c r="AD121" t="str">
        <v>G-cash</v>
      </c>
      <c r="AE121">
        <v>9</v>
      </c>
      <c r="AF121">
        <v>2024</v>
      </c>
      <c r="AG121" t="str">
        <v>Supa</v>
      </c>
    </row>
    <row r="122" spans="13:33" x14ac:dyDescent="0.25">
      <c r="M122">
        <v>398</v>
      </c>
      <c r="N122">
        <v>45494</v>
      </c>
      <c r="O122" t="str">
        <v>Gcash cash-in</v>
      </c>
      <c r="P122">
        <v>3400</v>
      </c>
      <c r="Q122" t="str">
        <v>Deposit</v>
      </c>
      <c r="R122" t="str">
        <v>G-cash</v>
      </c>
      <c r="S122">
        <v>7</v>
      </c>
      <c r="T122">
        <v>2024</v>
      </c>
      <c r="U122" t="str">
        <v>Gcash cash-in</v>
      </c>
      <c r="Y122">
        <v>467</v>
      </c>
      <c r="Z122">
        <v>45541</v>
      </c>
      <c r="AA122" t="str">
        <v>Spotify</v>
      </c>
      <c r="AB122">
        <v>239</v>
      </c>
      <c r="AC122" t="str">
        <v>Expenses</v>
      </c>
      <c r="AD122" t="str">
        <v>G-cash</v>
      </c>
      <c r="AE122">
        <v>9</v>
      </c>
      <c r="AF122">
        <v>2024</v>
      </c>
      <c r="AG122" t="str">
        <v>Spotify</v>
      </c>
    </row>
    <row r="123" spans="13:33" x14ac:dyDescent="0.25">
      <c r="M123">
        <v>399</v>
      </c>
      <c r="N123">
        <v>45495</v>
      </c>
      <c r="O123" t="str">
        <v>YT Membership</v>
      </c>
      <c r="P123">
        <v>129</v>
      </c>
      <c r="Q123" t="str">
        <v>Expenses</v>
      </c>
      <c r="R123" t="str">
        <v>G-cash</v>
      </c>
      <c r="S123">
        <v>7</v>
      </c>
      <c r="T123">
        <v>2024</v>
      </c>
      <c r="U123" t="str">
        <v>YT Membership</v>
      </c>
      <c r="Y123">
        <v>471</v>
      </c>
      <c r="Z123">
        <v>45547</v>
      </c>
      <c r="AA123" t="str">
        <v>supa</v>
      </c>
      <c r="AB123">
        <v>125</v>
      </c>
      <c r="AC123" t="str">
        <v>Expenses</v>
      </c>
      <c r="AD123" t="str">
        <v>G-cash</v>
      </c>
      <c r="AE123">
        <v>9</v>
      </c>
      <c r="AF123">
        <v>2024</v>
      </c>
      <c r="AG123" t="str">
        <v>Supa</v>
      </c>
    </row>
    <row r="124" spans="13:33" x14ac:dyDescent="0.25">
      <c r="M124">
        <v>400</v>
      </c>
      <c r="N124">
        <v>45495</v>
      </c>
      <c r="O124" t="str">
        <v>welcome party aragmot</v>
      </c>
      <c r="P124">
        <v>650</v>
      </c>
      <c r="Q124" t="str">
        <v>Expenses</v>
      </c>
      <c r="R124" t="str">
        <v>G-cash</v>
      </c>
      <c r="S124">
        <v>7</v>
      </c>
      <c r="T124">
        <v>2024</v>
      </c>
      <c r="U124" t="str">
        <v>welcome party aragmot</v>
      </c>
      <c r="Y124">
        <v>485</v>
      </c>
      <c r="Z124">
        <v>45555</v>
      </c>
      <c r="AA124" t="str">
        <v>wifi load (magic data)</v>
      </c>
      <c r="AB124">
        <v>700</v>
      </c>
      <c r="AC124" t="str">
        <v>Expenses</v>
      </c>
      <c r="AD124" t="str">
        <v>G-cash</v>
      </c>
      <c r="AE124">
        <v>9</v>
      </c>
      <c r="AF124">
        <v>2024</v>
      </c>
      <c r="AG124" t="str">
        <v>wifi load (magic data)</v>
      </c>
    </row>
    <row r="125" spans="13:33" x14ac:dyDescent="0.25">
      <c r="M125">
        <v>407</v>
      </c>
      <c r="N125">
        <v>45498</v>
      </c>
      <c r="O125" t="str">
        <v>donation</v>
      </c>
      <c r="P125">
        <v>125</v>
      </c>
      <c r="Q125" t="str">
        <v>Expenses</v>
      </c>
      <c r="R125" t="str">
        <v>G-cash</v>
      </c>
      <c r="S125">
        <v>7</v>
      </c>
      <c r="T125">
        <v>2024</v>
      </c>
      <c r="U125" t="str">
        <v>donation</v>
      </c>
      <c r="Y125">
        <v>486</v>
      </c>
      <c r="Z125">
        <v>45555</v>
      </c>
      <c r="AA125" t="str">
        <v>wifi load (family access)</v>
      </c>
      <c r="AB125">
        <v>200</v>
      </c>
      <c r="AC125" t="str">
        <v>Expenses</v>
      </c>
      <c r="AD125" t="str">
        <v>G-cash</v>
      </c>
      <c r="AE125">
        <v>9</v>
      </c>
      <c r="AF125">
        <v>2024</v>
      </c>
      <c r="AG125" t="str">
        <v>wifi load (family access)</v>
      </c>
    </row>
    <row r="126" spans="13:33" x14ac:dyDescent="0.25">
      <c r="M126">
        <v>419</v>
      </c>
      <c r="N126">
        <v>45503</v>
      </c>
      <c r="O126" t="str">
        <v>supa</v>
      </c>
      <c r="P126">
        <v>125</v>
      </c>
      <c r="Q126" t="str">
        <v>Expenses</v>
      </c>
      <c r="R126" t="str">
        <v>G-cash</v>
      </c>
      <c r="S126">
        <v>7</v>
      </c>
      <c r="T126">
        <v>2024</v>
      </c>
      <c r="U126" t="str">
        <v>Supa</v>
      </c>
      <c r="Y126">
        <v>491</v>
      </c>
      <c r="Z126">
        <v>45557</v>
      </c>
      <c r="AA126" t="str">
        <v>YT Membership</v>
      </c>
      <c r="AB126">
        <v>129</v>
      </c>
      <c r="AC126" t="str">
        <v>Expenses</v>
      </c>
      <c r="AD126" t="str">
        <v>G-cash</v>
      </c>
      <c r="AE126">
        <v>9</v>
      </c>
      <c r="AF126">
        <v>2024</v>
      </c>
      <c r="AG126" t="str">
        <v>YT Membership</v>
      </c>
    </row>
    <row r="127" spans="13:33" x14ac:dyDescent="0.25">
      <c r="M127">
        <v>420</v>
      </c>
      <c r="N127">
        <v>45503</v>
      </c>
      <c r="O127" t="str">
        <v>Supa</v>
      </c>
      <c r="P127">
        <v>125</v>
      </c>
      <c r="Q127" t="str">
        <v>Expenses</v>
      </c>
      <c r="R127" t="str">
        <v>G-cash</v>
      </c>
      <c r="S127">
        <v>7</v>
      </c>
      <c r="T127">
        <v>2024</v>
      </c>
      <c r="U127" t="str">
        <v>Supa</v>
      </c>
      <c r="Y127">
        <v>510</v>
      </c>
      <c r="Z127">
        <v>45570</v>
      </c>
      <c r="AA127" t="str">
        <v>supa</v>
      </c>
      <c r="AB127">
        <v>125</v>
      </c>
      <c r="AC127" t="str">
        <v>Expenses</v>
      </c>
      <c r="AD127" t="str">
        <v>G-cash</v>
      </c>
      <c r="AE127">
        <v>10</v>
      </c>
      <c r="AF127">
        <v>2024</v>
      </c>
      <c r="AG127" t="str">
        <v>Supa</v>
      </c>
    </row>
    <row r="128" spans="13:33" x14ac:dyDescent="0.25">
      <c r="M128">
        <v>424</v>
      </c>
      <c r="N128">
        <v>45506</v>
      </c>
      <c r="O128" t="str">
        <v>wifi load (family access)</v>
      </c>
      <c r="P128">
        <v>199</v>
      </c>
      <c r="Q128" t="str">
        <v>Expenses</v>
      </c>
      <c r="R128" t="str">
        <v>G-cash</v>
      </c>
      <c r="S128">
        <v>8</v>
      </c>
      <c r="T128">
        <v>2024</v>
      </c>
      <c r="U128" t="str">
        <v>wifi load (family access)</v>
      </c>
      <c r="Y128">
        <v>511</v>
      </c>
      <c r="Z128">
        <v>45570</v>
      </c>
      <c r="AA128" t="str">
        <v>Supa</v>
      </c>
      <c r="AB128">
        <v>50</v>
      </c>
      <c r="AC128" t="str">
        <v>Expenses</v>
      </c>
      <c r="AD128" t="str">
        <v>G-cash</v>
      </c>
      <c r="AE128">
        <v>10</v>
      </c>
      <c r="AF128">
        <v>2024</v>
      </c>
      <c r="AG128" t="str">
        <v>Supa</v>
      </c>
    </row>
    <row r="129" spans="13:33" x14ac:dyDescent="0.25">
      <c r="M129">
        <v>434</v>
      </c>
      <c r="N129">
        <v>45510</v>
      </c>
      <c r="O129" t="str">
        <v>Spotify</v>
      </c>
      <c r="P129">
        <v>239</v>
      </c>
      <c r="Q129" t="str">
        <v>Expenses</v>
      </c>
      <c r="R129" t="str">
        <v>G-cash</v>
      </c>
      <c r="S129">
        <v>8</v>
      </c>
      <c r="T129">
        <v>2024</v>
      </c>
      <c r="U129" t="str">
        <v>Spotify</v>
      </c>
      <c r="Y129">
        <v>512</v>
      </c>
      <c r="Z129">
        <v>45571</v>
      </c>
      <c r="AA129" t="str">
        <v>Spotify</v>
      </c>
      <c r="AB129">
        <v>239</v>
      </c>
      <c r="AC129" t="str">
        <v>Expenses</v>
      </c>
      <c r="AD129" t="str">
        <v>G-cash</v>
      </c>
      <c r="AE129">
        <v>10</v>
      </c>
      <c r="AF129">
        <v>2024</v>
      </c>
      <c r="AG129" t="str">
        <v>Spotify</v>
      </c>
    </row>
    <row r="130" spans="13:33" x14ac:dyDescent="0.25">
      <c r="M130">
        <v>439</v>
      </c>
      <c r="N130">
        <v>45513</v>
      </c>
      <c r="O130" t="str">
        <v>wifi load (family access)</v>
      </c>
      <c r="P130">
        <v>199</v>
      </c>
      <c r="Q130" t="str">
        <v>Expenses</v>
      </c>
      <c r="R130" t="str">
        <v>G-cash</v>
      </c>
      <c r="S130">
        <v>8</v>
      </c>
      <c r="T130">
        <v>2024</v>
      </c>
      <c r="U130" t="str">
        <v>wifi load (family access)</v>
      </c>
      <c r="Y130">
        <v>515</v>
      </c>
      <c r="Z130">
        <v>45575</v>
      </c>
      <c r="AA130" t="str">
        <v>wifi load (family access)</v>
      </c>
      <c r="AB130">
        <v>199</v>
      </c>
      <c r="AC130" t="str">
        <v>Expenses</v>
      </c>
      <c r="AD130" t="str">
        <v>G-cash</v>
      </c>
      <c r="AE130">
        <v>10</v>
      </c>
      <c r="AF130">
        <v>2024</v>
      </c>
      <c r="AG130" t="str">
        <v>wifi load (family access)</v>
      </c>
    </row>
    <row r="131" spans="13:33" x14ac:dyDescent="0.25">
      <c r="M131">
        <v>447</v>
      </c>
      <c r="N131">
        <v>45519</v>
      </c>
      <c r="O131" t="str">
        <v>Supa</v>
      </c>
      <c r="P131">
        <v>125</v>
      </c>
      <c r="Q131" t="str">
        <v>Expenses</v>
      </c>
      <c r="R131" t="str">
        <v>G-cash</v>
      </c>
      <c r="S131">
        <v>8</v>
      </c>
      <c r="T131">
        <v>2024</v>
      </c>
      <c r="U131" t="str">
        <v>Supa</v>
      </c>
      <c r="Y131">
        <v>525</v>
      </c>
      <c r="Z131">
        <v>45581</v>
      </c>
      <c r="AA131" t="str">
        <v>supa</v>
      </c>
      <c r="AB131">
        <v>125</v>
      </c>
      <c r="AC131" t="str">
        <v>Expenses</v>
      </c>
      <c r="AD131" t="str">
        <v>G-cash</v>
      </c>
      <c r="AE131">
        <v>10</v>
      </c>
      <c r="AF131">
        <v>2024</v>
      </c>
      <c r="AG131" t="str">
        <v>Supa</v>
      </c>
    </row>
    <row r="132" spans="13:33" x14ac:dyDescent="0.25">
      <c r="M132">
        <v>457</v>
      </c>
      <c r="N132">
        <v>45533</v>
      </c>
      <c r="O132" t="str">
        <v>bag</v>
      </c>
      <c r="P132">
        <v>1000</v>
      </c>
      <c r="Q132" t="str">
        <v>Expenses</v>
      </c>
      <c r="R132" t="str">
        <v>G-cash</v>
      </c>
      <c r="S132">
        <v>8</v>
      </c>
      <c r="T132">
        <v>2024</v>
      </c>
      <c r="U132" t="str">
        <v>bag</v>
      </c>
      <c r="Y132">
        <v>526</v>
      </c>
      <c r="Z132">
        <v>45583</v>
      </c>
      <c r="AA132" t="str">
        <v>wifi load (family access)</v>
      </c>
      <c r="AB132">
        <v>199</v>
      </c>
      <c r="AC132" t="str">
        <v>Expenses</v>
      </c>
      <c r="AD132" t="str">
        <v>G-cash</v>
      </c>
      <c r="AE132">
        <v>10</v>
      </c>
      <c r="AF132">
        <v>2024</v>
      </c>
      <c r="AG132" t="str">
        <v>wifi load (family access)</v>
      </c>
    </row>
    <row r="133" spans="13:33" x14ac:dyDescent="0.25">
      <c r="M133">
        <v>462</v>
      </c>
      <c r="N133">
        <v>45539</v>
      </c>
      <c r="O133" t="str">
        <v>supa</v>
      </c>
      <c r="P133">
        <v>125</v>
      </c>
      <c r="Q133" t="str">
        <v>Expenses</v>
      </c>
      <c r="R133" t="str">
        <v>G-cash</v>
      </c>
      <c r="S133">
        <v>9</v>
      </c>
      <c r="T133">
        <v>2024</v>
      </c>
      <c r="U133" t="str">
        <v>Supa</v>
      </c>
      <c r="Y133">
        <v>527</v>
      </c>
      <c r="Z133">
        <v>45584</v>
      </c>
      <c r="AA133" t="str">
        <v>Supa</v>
      </c>
      <c r="AB133">
        <v>125</v>
      </c>
      <c r="AC133" t="str">
        <v>Expenses</v>
      </c>
      <c r="AD133" t="str">
        <v>G-cash</v>
      </c>
      <c r="AE133">
        <v>10</v>
      </c>
      <c r="AF133">
        <v>2024</v>
      </c>
      <c r="AG133" t="str">
        <v>Supa</v>
      </c>
    </row>
    <row r="134" spans="13:33" x14ac:dyDescent="0.25">
      <c r="M134">
        <v>463</v>
      </c>
      <c r="N134">
        <v>45540</v>
      </c>
      <c r="O134" t="str">
        <v>supa</v>
      </c>
      <c r="P134">
        <v>50</v>
      </c>
      <c r="Q134" t="str">
        <v>Expenses</v>
      </c>
      <c r="R134" t="str">
        <v>G-cash</v>
      </c>
      <c r="S134">
        <v>9</v>
      </c>
      <c r="T134">
        <v>2024</v>
      </c>
      <c r="U134" t="str">
        <v>Supa</v>
      </c>
      <c r="Y134">
        <v>529</v>
      </c>
      <c r="Z134">
        <v>45587</v>
      </c>
      <c r="AA134" t="str">
        <v>YT Membership</v>
      </c>
      <c r="AB134">
        <v>129</v>
      </c>
      <c r="AC134" t="str">
        <v>Expenses</v>
      </c>
      <c r="AD134" t="str">
        <v>G-cash</v>
      </c>
      <c r="AE134">
        <v>10</v>
      </c>
      <c r="AF134">
        <v>2024</v>
      </c>
      <c r="AG134" t="str">
        <v>YT Membership</v>
      </c>
    </row>
    <row r="135" spans="13:33" x14ac:dyDescent="0.25">
      <c r="M135">
        <v>464</v>
      </c>
      <c r="N135">
        <v>45540</v>
      </c>
      <c r="O135" t="str">
        <v>YT sticker</v>
      </c>
      <c r="P135">
        <v>15</v>
      </c>
      <c r="Q135" t="str">
        <v>Expenses</v>
      </c>
      <c r="R135" t="str">
        <v>G-cash</v>
      </c>
      <c r="S135">
        <v>9</v>
      </c>
      <c r="T135">
        <v>2024</v>
      </c>
      <c r="U135" t="str">
        <v>YT sticker</v>
      </c>
      <c r="Y135">
        <v>531</v>
      </c>
      <c r="Z135">
        <v>45588</v>
      </c>
      <c r="AA135" t="str">
        <v>Supa</v>
      </c>
      <c r="AB135">
        <v>125</v>
      </c>
      <c r="AC135" t="str">
        <v>Expenses</v>
      </c>
      <c r="AD135" t="str">
        <v>G-cash</v>
      </c>
      <c r="AE135">
        <v>10</v>
      </c>
      <c r="AF135">
        <v>2024</v>
      </c>
      <c r="AG135" t="str">
        <v>Supa</v>
      </c>
    </row>
    <row r="136" spans="13:33" x14ac:dyDescent="0.25">
      <c r="M136">
        <v>465</v>
      </c>
      <c r="N136">
        <v>45540</v>
      </c>
      <c r="O136" t="str">
        <v>supa</v>
      </c>
      <c r="P136">
        <v>25</v>
      </c>
      <c r="Q136" t="str">
        <v>Expenses</v>
      </c>
      <c r="R136" t="str">
        <v>G-cash</v>
      </c>
      <c r="S136">
        <v>9</v>
      </c>
      <c r="T136">
        <v>2024</v>
      </c>
      <c r="U136" t="str">
        <v>Supa</v>
      </c>
      <c r="Y136">
        <v>532</v>
      </c>
      <c r="Z136">
        <v>45589</v>
      </c>
      <c r="AA136" t="str">
        <v>Supa</v>
      </c>
      <c r="AB136">
        <v>125</v>
      </c>
      <c r="AC136" t="str">
        <v>Expenses</v>
      </c>
      <c r="AD136" t="str">
        <v>G-cash</v>
      </c>
      <c r="AE136">
        <v>10</v>
      </c>
      <c r="AF136">
        <v>2024</v>
      </c>
      <c r="AG136" t="str">
        <v>Supa</v>
      </c>
    </row>
    <row r="137" spans="13:33" x14ac:dyDescent="0.25">
      <c r="M137">
        <v>467</v>
      </c>
      <c r="N137">
        <v>45541</v>
      </c>
      <c r="O137" t="str">
        <v>Spotify</v>
      </c>
      <c r="P137">
        <v>239</v>
      </c>
      <c r="Q137" t="str">
        <v>Expenses</v>
      </c>
      <c r="R137" t="str">
        <v>G-cash</v>
      </c>
      <c r="S137">
        <v>9</v>
      </c>
      <c r="T137">
        <v>2024</v>
      </c>
      <c r="U137" t="str">
        <v>Spotify</v>
      </c>
      <c r="Y137">
        <v>534</v>
      </c>
      <c r="Z137">
        <v>45590</v>
      </c>
      <c r="AA137" t="str">
        <v>Supa</v>
      </c>
      <c r="AB137">
        <v>25</v>
      </c>
      <c r="AC137" t="str">
        <v>Expenses</v>
      </c>
      <c r="AD137" t="str">
        <v>G-cash</v>
      </c>
      <c r="AE137">
        <v>10</v>
      </c>
      <c r="AF137">
        <v>2024</v>
      </c>
      <c r="AG137" t="str">
        <v>Supa</v>
      </c>
    </row>
    <row r="138" spans="13:33" x14ac:dyDescent="0.25">
      <c r="M138">
        <v>471</v>
      </c>
      <c r="N138">
        <v>45547</v>
      </c>
      <c r="O138" t="str">
        <v>supa</v>
      </c>
      <c r="P138">
        <v>125</v>
      </c>
      <c r="Q138" t="str">
        <v>Expenses</v>
      </c>
      <c r="R138" t="str">
        <v>G-cash</v>
      </c>
      <c r="S138">
        <v>9</v>
      </c>
      <c r="T138">
        <v>2024</v>
      </c>
      <c r="U138" t="str">
        <v>Supa</v>
      </c>
      <c r="Y138">
        <v>536</v>
      </c>
      <c r="Z138">
        <v>45591</v>
      </c>
      <c r="AA138" t="str">
        <v>wifi load (family access)</v>
      </c>
      <c r="AB138">
        <v>199</v>
      </c>
      <c r="AC138" t="str">
        <v>Expenses</v>
      </c>
      <c r="AD138" t="str">
        <v>G-cash</v>
      </c>
      <c r="AE138">
        <v>10</v>
      </c>
      <c r="AF138">
        <v>2024</v>
      </c>
      <c r="AG138" t="str">
        <v>wifi load (family access)</v>
      </c>
    </row>
    <row r="139" spans="13:33" x14ac:dyDescent="0.25">
      <c r="M139">
        <v>476</v>
      </c>
      <c r="N139">
        <v>45549</v>
      </c>
      <c r="O139" t="str">
        <v>Gcash cash-in</v>
      </c>
      <c r="P139">
        <v>2150</v>
      </c>
      <c r="Q139" t="str">
        <v>Deposit</v>
      </c>
      <c r="R139" t="str">
        <v>G-cash</v>
      </c>
      <c r="S139">
        <v>9</v>
      </c>
      <c r="T139">
        <v>2024</v>
      </c>
      <c r="U139" t="str">
        <v>Gcash cash-in</v>
      </c>
      <c r="Y139">
        <v>538</v>
      </c>
      <c r="Z139">
        <v>45595</v>
      </c>
      <c r="AA139" t="str">
        <v>steam (outlast)</v>
      </c>
      <c r="AB139">
        <v>92</v>
      </c>
      <c r="AC139" t="str">
        <v>Expenses</v>
      </c>
      <c r="AD139" t="str">
        <v>G-cash</v>
      </c>
      <c r="AE139">
        <v>10</v>
      </c>
      <c r="AF139">
        <v>2024</v>
      </c>
      <c r="AG139" t="str">
        <v>steam</v>
      </c>
    </row>
    <row r="140" spans="13:33" x14ac:dyDescent="0.25">
      <c r="M140">
        <v>485</v>
      </c>
      <c r="N140">
        <v>45555</v>
      </c>
      <c r="O140" t="str">
        <v>wifi load (magic data)</v>
      </c>
      <c r="P140">
        <v>700</v>
      </c>
      <c r="Q140" t="str">
        <v>Expenses</v>
      </c>
      <c r="R140" t="str">
        <v>G-cash</v>
      </c>
      <c r="S140">
        <v>9</v>
      </c>
      <c r="T140">
        <v>2024</v>
      </c>
      <c r="U140" t="str">
        <v>wifi load (magic data)</v>
      </c>
      <c r="Y140">
        <v>542</v>
      </c>
      <c r="Z140">
        <v>45599</v>
      </c>
      <c r="AA140" t="str">
        <v>wifi load (family access)</v>
      </c>
      <c r="AB140">
        <v>199</v>
      </c>
      <c r="AC140" t="str">
        <v>Expenses</v>
      </c>
      <c r="AD140" t="str">
        <v>G-cash</v>
      </c>
      <c r="AE140">
        <v>11</v>
      </c>
      <c r="AF140">
        <v>2024</v>
      </c>
      <c r="AG140" t="str">
        <v>wifi load (family access)</v>
      </c>
    </row>
    <row r="141" spans="13:33" x14ac:dyDescent="0.25">
      <c r="M141">
        <v>486</v>
      </c>
      <c r="N141">
        <v>45555</v>
      </c>
      <c r="O141" t="str">
        <v>wifi load (family access)</v>
      </c>
      <c r="P141">
        <v>200</v>
      </c>
      <c r="Q141" t="str">
        <v>Expenses</v>
      </c>
      <c r="R141" t="str">
        <v>G-cash</v>
      </c>
      <c r="S141">
        <v>9</v>
      </c>
      <c r="T141">
        <v>2024</v>
      </c>
      <c r="U141" t="str">
        <v>wifi load (family access)</v>
      </c>
    </row>
    <row r="142" spans="13:33" x14ac:dyDescent="0.25">
      <c r="M142">
        <v>491</v>
      </c>
      <c r="N142">
        <v>45557</v>
      </c>
      <c r="O142" t="str">
        <v>YT Membership</v>
      </c>
      <c r="P142">
        <v>129</v>
      </c>
      <c r="Q142" t="str">
        <v>Expenses</v>
      </c>
      <c r="R142" t="str">
        <v>G-cash</v>
      </c>
      <c r="S142">
        <v>9</v>
      </c>
      <c r="T142">
        <v>2024</v>
      </c>
      <c r="U142" t="str">
        <v>YT Membership</v>
      </c>
    </row>
    <row r="143" spans="13:33" x14ac:dyDescent="0.25">
      <c r="M143">
        <v>495</v>
      </c>
      <c r="N143">
        <v>45562</v>
      </c>
      <c r="O143" t="str">
        <v>aragmot (teachers day)</v>
      </c>
      <c r="P143">
        <v>500</v>
      </c>
      <c r="Q143" t="str">
        <v>Deposit</v>
      </c>
      <c r="R143" t="str">
        <v>G-cash</v>
      </c>
      <c r="S143">
        <v>9</v>
      </c>
      <c r="T143">
        <v>2024</v>
      </c>
      <c r="U143" t="str">
        <v>aragmot</v>
      </c>
    </row>
    <row r="144" spans="13:33" x14ac:dyDescent="0.25">
      <c r="M144">
        <v>504</v>
      </c>
      <c r="N144">
        <v>45569</v>
      </c>
      <c r="O144" t="str">
        <v>aragmot (teachers day)</v>
      </c>
      <c r="P144">
        <v>855</v>
      </c>
      <c r="Q144" t="str">
        <v>Deposit</v>
      </c>
      <c r="R144" t="str">
        <v>G-cash</v>
      </c>
      <c r="S144">
        <v>10</v>
      </c>
      <c r="T144">
        <v>2024</v>
      </c>
      <c r="U144" t="str">
        <v>aragmot</v>
      </c>
    </row>
    <row r="145" spans="13:21" x14ac:dyDescent="0.25">
      <c r="M145">
        <v>510</v>
      </c>
      <c r="N145">
        <v>45570</v>
      </c>
      <c r="O145" t="str">
        <v>supa</v>
      </c>
      <c r="P145">
        <v>125</v>
      </c>
      <c r="Q145" t="str">
        <v>Expenses</v>
      </c>
      <c r="R145" t="str">
        <v>G-cash</v>
      </c>
      <c r="S145">
        <v>10</v>
      </c>
      <c r="T145">
        <v>2024</v>
      </c>
      <c r="U145" t="str">
        <v>Supa</v>
      </c>
    </row>
    <row r="146" spans="13:21" x14ac:dyDescent="0.25">
      <c r="M146">
        <v>511</v>
      </c>
      <c r="N146">
        <v>45570</v>
      </c>
      <c r="O146" t="str">
        <v>Supa</v>
      </c>
      <c r="P146">
        <v>50</v>
      </c>
      <c r="Q146" t="str">
        <v>Expenses</v>
      </c>
      <c r="R146" t="str">
        <v>G-cash</v>
      </c>
      <c r="S146">
        <v>10</v>
      </c>
      <c r="T146">
        <v>2024</v>
      </c>
      <c r="U146" t="str">
        <v>Supa</v>
      </c>
    </row>
    <row r="147" spans="13:21" x14ac:dyDescent="0.25">
      <c r="M147">
        <v>512</v>
      </c>
      <c r="N147">
        <v>45571</v>
      </c>
      <c r="O147" t="str">
        <v>Spotify</v>
      </c>
      <c r="P147">
        <v>239</v>
      </c>
      <c r="Q147" t="str">
        <v>Expenses</v>
      </c>
      <c r="R147" t="str">
        <v>G-cash</v>
      </c>
      <c r="S147">
        <v>10</v>
      </c>
      <c r="T147">
        <v>2024</v>
      </c>
      <c r="U147" t="str">
        <v>Spotify</v>
      </c>
    </row>
    <row r="148" spans="13:21" x14ac:dyDescent="0.25">
      <c r="M148">
        <v>515</v>
      </c>
      <c r="N148">
        <v>45575</v>
      </c>
      <c r="O148" t="str">
        <v>wifi load (family access)</v>
      </c>
      <c r="P148">
        <v>199</v>
      </c>
      <c r="Q148" t="str">
        <v>Expenses</v>
      </c>
      <c r="R148" t="str">
        <v>G-cash</v>
      </c>
      <c r="S148">
        <v>10</v>
      </c>
      <c r="T148">
        <v>2024</v>
      </c>
      <c r="U148" t="str">
        <v>wifi load (family access)</v>
      </c>
    </row>
    <row r="149" spans="13:21" x14ac:dyDescent="0.25">
      <c r="M149">
        <v>525</v>
      </c>
      <c r="N149">
        <v>45581</v>
      </c>
      <c r="O149" t="str">
        <v>supa</v>
      </c>
      <c r="P149">
        <v>125</v>
      </c>
      <c r="Q149" t="str">
        <v>Expenses</v>
      </c>
      <c r="R149" t="str">
        <v>G-cash</v>
      </c>
      <c r="S149">
        <v>10</v>
      </c>
      <c r="T149">
        <v>2024</v>
      </c>
      <c r="U149" t="str">
        <v>Supa</v>
      </c>
    </row>
    <row r="150" spans="13:21" x14ac:dyDescent="0.25">
      <c r="M150">
        <v>526</v>
      </c>
      <c r="N150">
        <v>45583</v>
      </c>
      <c r="O150" t="str">
        <v>wifi load (family access)</v>
      </c>
      <c r="P150">
        <v>199</v>
      </c>
      <c r="Q150" t="str">
        <v>Expenses</v>
      </c>
      <c r="R150" t="str">
        <v>G-cash</v>
      </c>
      <c r="S150">
        <v>10</v>
      </c>
      <c r="T150">
        <v>2024</v>
      </c>
      <c r="U150" t="str">
        <v>wifi load (family access)</v>
      </c>
    </row>
    <row r="151" spans="13:21" x14ac:dyDescent="0.25">
      <c r="M151">
        <v>527</v>
      </c>
      <c r="N151">
        <v>45584</v>
      </c>
      <c r="O151" t="str">
        <v>Supa</v>
      </c>
      <c r="P151">
        <v>125</v>
      </c>
      <c r="Q151" t="str">
        <v>Expenses</v>
      </c>
      <c r="R151" t="str">
        <v>G-cash</v>
      </c>
      <c r="S151">
        <v>10</v>
      </c>
      <c r="T151">
        <v>2024</v>
      </c>
      <c r="U151" t="str">
        <v>Supa</v>
      </c>
    </row>
    <row r="152" spans="13:21" x14ac:dyDescent="0.25">
      <c r="M152">
        <v>529</v>
      </c>
      <c r="N152">
        <v>45587</v>
      </c>
      <c r="O152" t="str">
        <v>YT Membership</v>
      </c>
      <c r="P152">
        <v>129</v>
      </c>
      <c r="Q152" t="str">
        <v>Expenses</v>
      </c>
      <c r="R152" t="str">
        <v>G-cash</v>
      </c>
      <c r="S152">
        <v>10</v>
      </c>
      <c r="T152">
        <v>2024</v>
      </c>
      <c r="U152" t="str">
        <v>YT Membership</v>
      </c>
    </row>
    <row r="153" spans="13:21" x14ac:dyDescent="0.25">
      <c r="M153">
        <v>531</v>
      </c>
      <c r="N153">
        <v>45588</v>
      </c>
      <c r="O153" t="str">
        <v>Supa</v>
      </c>
      <c r="P153">
        <v>125</v>
      </c>
      <c r="Q153" t="str">
        <v>Expenses</v>
      </c>
      <c r="R153" t="str">
        <v>G-cash</v>
      </c>
      <c r="S153">
        <v>10</v>
      </c>
      <c r="T153">
        <v>2024</v>
      </c>
      <c r="U153" t="str">
        <v>Supa</v>
      </c>
    </row>
    <row r="154" spans="13:21" x14ac:dyDescent="0.25">
      <c r="M154">
        <v>532</v>
      </c>
      <c r="N154">
        <v>45589</v>
      </c>
      <c r="O154" t="str">
        <v>Supa</v>
      </c>
      <c r="P154">
        <v>125</v>
      </c>
      <c r="Q154" t="str">
        <v>Expenses</v>
      </c>
      <c r="R154" t="str">
        <v>G-cash</v>
      </c>
      <c r="S154">
        <v>10</v>
      </c>
      <c r="T154">
        <v>2024</v>
      </c>
      <c r="U154" t="str">
        <v>Supa</v>
      </c>
    </row>
    <row r="155" spans="13:21" x14ac:dyDescent="0.25">
      <c r="M155">
        <v>534</v>
      </c>
      <c r="N155">
        <v>45590</v>
      </c>
      <c r="O155" t="str">
        <v>Supa</v>
      </c>
      <c r="P155">
        <v>25</v>
      </c>
      <c r="Q155" t="str">
        <v>Expenses</v>
      </c>
      <c r="R155" t="str">
        <v>G-cash</v>
      </c>
      <c r="S155">
        <v>10</v>
      </c>
      <c r="T155">
        <v>2024</v>
      </c>
      <c r="U155" t="str">
        <v>Supa</v>
      </c>
    </row>
    <row r="156" spans="13:21" x14ac:dyDescent="0.25">
      <c r="M156">
        <v>536</v>
      </c>
      <c r="N156">
        <v>45591</v>
      </c>
      <c r="O156" t="str">
        <v>wifi load (family access)</v>
      </c>
      <c r="P156">
        <v>199</v>
      </c>
      <c r="Q156" t="str">
        <v>Expenses</v>
      </c>
      <c r="R156" t="str">
        <v>G-cash</v>
      </c>
      <c r="S156">
        <v>10</v>
      </c>
      <c r="T156">
        <v>2024</v>
      </c>
      <c r="U156" t="str">
        <v>wifi load (family access)</v>
      </c>
    </row>
    <row r="157" spans="13:21" x14ac:dyDescent="0.25">
      <c r="M157">
        <v>538</v>
      </c>
      <c r="N157">
        <v>45595</v>
      </c>
      <c r="O157" t="str">
        <v>steam (outlast)</v>
      </c>
      <c r="P157">
        <v>92</v>
      </c>
      <c r="Q157" t="str">
        <v>Expenses</v>
      </c>
      <c r="R157" t="str">
        <v>G-cash</v>
      </c>
      <c r="S157">
        <v>10</v>
      </c>
      <c r="T157">
        <v>2024</v>
      </c>
      <c r="U157" t="str">
        <v>steam</v>
      </c>
    </row>
    <row r="158" spans="13:21" x14ac:dyDescent="0.25">
      <c r="M158">
        <v>542</v>
      </c>
      <c r="N158">
        <v>45599</v>
      </c>
      <c r="O158" t="str">
        <v>wifi load (family access)</v>
      </c>
      <c r="P158">
        <v>199</v>
      </c>
      <c r="Q158" t="str">
        <v>Expenses</v>
      </c>
      <c r="R158" t="str">
        <v>G-cash</v>
      </c>
      <c r="S158">
        <v>11</v>
      </c>
      <c r="T158">
        <v>2024</v>
      </c>
      <c r="U158" t="str">
        <v>wifi load (family access)</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98F15-E88F-4A30-ADC9-18FBAC877B94}">
  <dimension ref="A1:I673"/>
  <sheetViews>
    <sheetView workbookViewId="0">
      <pane ySplit="2" topLeftCell="A192" activePane="bottomLeft" state="frozen"/>
      <selection pane="bottomLeft" activeCell="H1" sqref="H1"/>
    </sheetView>
  </sheetViews>
  <sheetFormatPr defaultRowHeight="15" x14ac:dyDescent="0.25"/>
  <cols>
    <col min="1" max="1" width="15.7109375" customWidth="1"/>
    <col min="2" max="2" width="14.5703125" customWidth="1"/>
    <col min="3" max="3" width="29.140625" customWidth="1"/>
    <col min="4" max="4" width="18.5703125" customWidth="1"/>
    <col min="5" max="5" width="17.42578125" customWidth="1"/>
    <col min="6" max="6" width="20" customWidth="1"/>
    <col min="7" max="7" width="17.140625" customWidth="1"/>
    <col min="8" max="8" width="13.28515625" customWidth="1"/>
    <col min="9" max="9" width="16.42578125" customWidth="1"/>
  </cols>
  <sheetData>
    <row r="1" spans="1:9" s="38" customFormat="1" ht="37.5" customHeight="1" x14ac:dyDescent="0.25">
      <c r="A1" s="39" t="s">
        <v>431</v>
      </c>
      <c r="B1" s="36" t="s">
        <v>432</v>
      </c>
      <c r="C1" s="36" t="s">
        <v>433</v>
      </c>
      <c r="D1" s="36" t="s">
        <v>434</v>
      </c>
      <c r="E1" s="36" t="s">
        <v>435</v>
      </c>
      <c r="F1" s="36" t="s">
        <v>436</v>
      </c>
      <c r="G1" s="36" t="s">
        <v>437</v>
      </c>
      <c r="H1" s="36" t="s">
        <v>438</v>
      </c>
      <c r="I1" s="37"/>
    </row>
    <row r="2" spans="1:9" x14ac:dyDescent="0.25">
      <c r="A2" t="s">
        <v>0</v>
      </c>
      <c r="B2" t="s">
        <v>1</v>
      </c>
      <c r="C2" t="s">
        <v>2</v>
      </c>
      <c r="D2" t="s">
        <v>3</v>
      </c>
      <c r="E2" t="s">
        <v>4</v>
      </c>
      <c r="F2" t="s">
        <v>5</v>
      </c>
      <c r="G2" t="s">
        <v>292</v>
      </c>
      <c r="H2" t="s">
        <v>293</v>
      </c>
      <c r="I2" t="s">
        <v>317</v>
      </c>
    </row>
    <row r="3" spans="1:9" x14ac:dyDescent="0.25">
      <c r="A3">
        <v>1</v>
      </c>
      <c r="B3" s="1">
        <v>45183</v>
      </c>
      <c r="C3" t="s">
        <v>6</v>
      </c>
      <c r="D3">
        <v>17732</v>
      </c>
      <c r="E3" t="s">
        <v>7</v>
      </c>
      <c r="F3" t="s">
        <v>8</v>
      </c>
      <c r="G3">
        <f>MONTH(cleaned_personal_finance_data[[#This Row],[date]])</f>
        <v>9</v>
      </c>
      <c r="H3">
        <f>YEAR(cleaned_personal_finance_data[[#This Row],[date]])</f>
        <v>2023</v>
      </c>
      <c r="I3" t="s">
        <v>318</v>
      </c>
    </row>
    <row r="4" spans="1:9" x14ac:dyDescent="0.25">
      <c r="A4">
        <v>2</v>
      </c>
      <c r="B4" s="1">
        <v>45208</v>
      </c>
      <c r="C4" t="s">
        <v>6</v>
      </c>
      <c r="D4">
        <v>12754</v>
      </c>
      <c r="E4" t="s">
        <v>7</v>
      </c>
      <c r="F4" t="s">
        <v>8</v>
      </c>
      <c r="G4">
        <f>MONTH(cleaned_personal_finance_data[[#This Row],[date]])</f>
        <v>10</v>
      </c>
      <c r="H4">
        <f>YEAR(cleaned_personal_finance_data[[#This Row],[date]])</f>
        <v>2023</v>
      </c>
      <c r="I4" t="s">
        <v>318</v>
      </c>
    </row>
    <row r="5" spans="1:9" x14ac:dyDescent="0.25">
      <c r="A5">
        <v>3</v>
      </c>
      <c r="B5" s="1">
        <v>45214</v>
      </c>
      <c r="C5" t="s">
        <v>9</v>
      </c>
      <c r="D5">
        <v>26142</v>
      </c>
      <c r="E5" t="s">
        <v>10</v>
      </c>
      <c r="F5" t="s">
        <v>8</v>
      </c>
      <c r="G5">
        <f>MONTH(cleaned_personal_finance_data[[#This Row],[date]])</f>
        <v>10</v>
      </c>
      <c r="H5">
        <f>YEAR(cleaned_personal_finance_data[[#This Row],[date]])</f>
        <v>2023</v>
      </c>
      <c r="I5" t="s">
        <v>9</v>
      </c>
    </row>
    <row r="6" spans="1:9" x14ac:dyDescent="0.25">
      <c r="A6">
        <v>4</v>
      </c>
      <c r="B6" s="1">
        <v>45214</v>
      </c>
      <c r="C6" t="s">
        <v>11</v>
      </c>
      <c r="D6">
        <v>26142</v>
      </c>
      <c r="E6" t="s">
        <v>12</v>
      </c>
      <c r="F6" t="s">
        <v>13</v>
      </c>
      <c r="G6">
        <f>MONTH(cleaned_personal_finance_data[[#This Row],[date]])</f>
        <v>10</v>
      </c>
      <c r="H6">
        <f>YEAR(cleaned_personal_finance_data[[#This Row],[date]])</f>
        <v>2023</v>
      </c>
      <c r="I6" t="s">
        <v>11</v>
      </c>
    </row>
    <row r="7" spans="1:9" x14ac:dyDescent="0.25">
      <c r="A7">
        <v>5</v>
      </c>
      <c r="B7" s="1">
        <v>45230</v>
      </c>
      <c r="C7" t="s">
        <v>6</v>
      </c>
      <c r="D7">
        <v>12834</v>
      </c>
      <c r="E7" t="s">
        <v>7</v>
      </c>
      <c r="F7" t="s">
        <v>8</v>
      </c>
      <c r="G7">
        <f>MONTH(cleaned_personal_finance_data[[#This Row],[date]])</f>
        <v>10</v>
      </c>
      <c r="H7">
        <f>YEAR(cleaned_personal_finance_data[[#This Row],[date]])</f>
        <v>2023</v>
      </c>
      <c r="I7" t="s">
        <v>318</v>
      </c>
    </row>
    <row r="8" spans="1:9" x14ac:dyDescent="0.25">
      <c r="A8">
        <v>6</v>
      </c>
      <c r="B8" s="1">
        <v>45235</v>
      </c>
      <c r="C8" t="s">
        <v>14</v>
      </c>
      <c r="D8">
        <v>2550</v>
      </c>
      <c r="E8" t="s">
        <v>15</v>
      </c>
      <c r="F8" t="s">
        <v>13</v>
      </c>
      <c r="G8">
        <f>MONTH(cleaned_personal_finance_data[[#This Row],[date]])</f>
        <v>11</v>
      </c>
      <c r="H8">
        <f>YEAR(cleaned_personal_finance_data[[#This Row],[date]])</f>
        <v>2023</v>
      </c>
      <c r="I8" t="s">
        <v>159</v>
      </c>
    </row>
    <row r="9" spans="1:9" x14ac:dyDescent="0.25">
      <c r="A9">
        <v>7</v>
      </c>
      <c r="B9" s="1">
        <v>45235</v>
      </c>
      <c r="C9" t="s">
        <v>16</v>
      </c>
      <c r="D9">
        <v>5000</v>
      </c>
      <c r="E9" t="s">
        <v>15</v>
      </c>
      <c r="F9" t="s">
        <v>13</v>
      </c>
      <c r="G9">
        <f>MONTH(cleaned_personal_finance_data[[#This Row],[date]])</f>
        <v>11</v>
      </c>
      <c r="H9">
        <f>YEAR(cleaned_personal_finance_data[[#This Row],[date]])</f>
        <v>2023</v>
      </c>
      <c r="I9" t="s">
        <v>145</v>
      </c>
    </row>
    <row r="10" spans="1:9" x14ac:dyDescent="0.25">
      <c r="A10">
        <v>8</v>
      </c>
      <c r="B10" s="1">
        <v>45235</v>
      </c>
      <c r="C10" t="s">
        <v>17</v>
      </c>
      <c r="D10">
        <v>12560</v>
      </c>
      <c r="E10" t="s">
        <v>7</v>
      </c>
      <c r="F10" t="s">
        <v>13</v>
      </c>
      <c r="G10">
        <f>MONTH(cleaned_personal_finance_data[[#This Row],[date]])</f>
        <v>11</v>
      </c>
      <c r="H10">
        <f>YEAR(cleaned_personal_finance_data[[#This Row],[date]])</f>
        <v>2023</v>
      </c>
      <c r="I10" t="s">
        <v>17</v>
      </c>
    </row>
    <row r="11" spans="1:9" x14ac:dyDescent="0.25">
      <c r="A11">
        <v>9</v>
      </c>
      <c r="B11" s="1">
        <v>45235</v>
      </c>
      <c r="C11" t="s">
        <v>18</v>
      </c>
      <c r="D11">
        <v>56</v>
      </c>
      <c r="E11" t="s">
        <v>15</v>
      </c>
      <c r="F11" t="s">
        <v>13</v>
      </c>
      <c r="G11">
        <f>MONTH(cleaned_personal_finance_data[[#This Row],[date]])</f>
        <v>11</v>
      </c>
      <c r="H11">
        <f>YEAR(cleaned_personal_finance_data[[#This Row],[date]])</f>
        <v>2023</v>
      </c>
      <c r="I11" t="s">
        <v>18</v>
      </c>
    </row>
    <row r="12" spans="1:9" x14ac:dyDescent="0.25">
      <c r="A12">
        <v>10</v>
      </c>
      <c r="B12" s="1">
        <v>45235</v>
      </c>
      <c r="C12" t="s">
        <v>19</v>
      </c>
      <c r="D12">
        <v>30</v>
      </c>
      <c r="E12" t="s">
        <v>15</v>
      </c>
      <c r="F12" t="s">
        <v>13</v>
      </c>
      <c r="G12">
        <f>MONTH(cleaned_personal_finance_data[[#This Row],[date]])</f>
        <v>11</v>
      </c>
      <c r="H12">
        <f>YEAR(cleaned_personal_finance_data[[#This Row],[date]])</f>
        <v>2023</v>
      </c>
      <c r="I12" t="s">
        <v>25</v>
      </c>
    </row>
    <row r="13" spans="1:9" x14ac:dyDescent="0.25">
      <c r="A13">
        <v>11</v>
      </c>
      <c r="B13" s="1">
        <v>45235</v>
      </c>
      <c r="C13" t="s">
        <v>20</v>
      </c>
      <c r="D13">
        <v>2010</v>
      </c>
      <c r="E13" t="s">
        <v>10</v>
      </c>
      <c r="F13" t="s">
        <v>13</v>
      </c>
      <c r="G13">
        <f>MONTH(cleaned_personal_finance_data[[#This Row],[date]])</f>
        <v>11</v>
      </c>
      <c r="H13">
        <f>YEAR(cleaned_personal_finance_data[[#This Row],[date]])</f>
        <v>2023</v>
      </c>
      <c r="I13" t="s">
        <v>20</v>
      </c>
    </row>
    <row r="14" spans="1:9" x14ac:dyDescent="0.25">
      <c r="A14">
        <v>12</v>
      </c>
      <c r="B14" s="1">
        <v>45235</v>
      </c>
      <c r="C14" t="s">
        <v>20</v>
      </c>
      <c r="D14">
        <v>2010</v>
      </c>
      <c r="E14" t="s">
        <v>12</v>
      </c>
      <c r="F14" t="s">
        <v>21</v>
      </c>
      <c r="G14">
        <f>MONTH(cleaned_personal_finance_data[[#This Row],[date]])</f>
        <v>11</v>
      </c>
      <c r="H14">
        <f>YEAR(cleaned_personal_finance_data[[#This Row],[date]])</f>
        <v>2023</v>
      </c>
      <c r="I14" t="s">
        <v>20</v>
      </c>
    </row>
    <row r="15" spans="1:9" x14ac:dyDescent="0.25">
      <c r="A15">
        <v>13</v>
      </c>
      <c r="B15" s="1">
        <v>45235</v>
      </c>
      <c r="C15" t="s">
        <v>22</v>
      </c>
      <c r="D15">
        <v>1000</v>
      </c>
      <c r="E15" t="s">
        <v>15</v>
      </c>
      <c r="F15" t="s">
        <v>13</v>
      </c>
      <c r="G15">
        <f>MONTH(cleaned_personal_finance_data[[#This Row],[date]])</f>
        <v>11</v>
      </c>
      <c r="H15">
        <f>YEAR(cleaned_personal_finance_data[[#This Row],[date]])</f>
        <v>2023</v>
      </c>
      <c r="I15" t="s">
        <v>22</v>
      </c>
    </row>
    <row r="16" spans="1:9" x14ac:dyDescent="0.25">
      <c r="A16">
        <v>14</v>
      </c>
      <c r="B16" s="1">
        <v>45236</v>
      </c>
      <c r="C16" t="s">
        <v>23</v>
      </c>
      <c r="D16">
        <v>20</v>
      </c>
      <c r="E16" t="s">
        <v>15</v>
      </c>
      <c r="F16" t="s">
        <v>13</v>
      </c>
      <c r="G16">
        <f>MONTH(cleaned_personal_finance_data[[#This Row],[date]])</f>
        <v>11</v>
      </c>
      <c r="H16">
        <f>YEAR(cleaned_personal_finance_data[[#This Row],[date]])</f>
        <v>2023</v>
      </c>
      <c r="I16" t="s">
        <v>23</v>
      </c>
    </row>
    <row r="17" spans="1:9" x14ac:dyDescent="0.25">
      <c r="A17">
        <v>15</v>
      </c>
      <c r="B17" s="1">
        <v>45236</v>
      </c>
      <c r="C17" t="s">
        <v>24</v>
      </c>
      <c r="D17">
        <v>194</v>
      </c>
      <c r="E17" t="s">
        <v>15</v>
      </c>
      <c r="F17" t="s">
        <v>21</v>
      </c>
      <c r="G17">
        <f>MONTH(cleaned_personal_finance_data[[#This Row],[date]])</f>
        <v>11</v>
      </c>
      <c r="H17">
        <f>YEAR(cleaned_personal_finance_data[[#This Row],[date]])</f>
        <v>2023</v>
      </c>
      <c r="I17" t="s">
        <v>24</v>
      </c>
    </row>
    <row r="18" spans="1:9" x14ac:dyDescent="0.25">
      <c r="A18">
        <v>16</v>
      </c>
      <c r="B18" s="1">
        <v>45240</v>
      </c>
      <c r="C18" t="s">
        <v>25</v>
      </c>
      <c r="D18">
        <v>30</v>
      </c>
      <c r="E18" t="s">
        <v>15</v>
      </c>
      <c r="F18" t="s">
        <v>13</v>
      </c>
      <c r="G18">
        <f>MONTH(cleaned_personal_finance_data[[#This Row],[date]])</f>
        <v>11</v>
      </c>
      <c r="H18">
        <f>YEAR(cleaned_personal_finance_data[[#This Row],[date]])</f>
        <v>2023</v>
      </c>
      <c r="I18" t="s">
        <v>25</v>
      </c>
    </row>
    <row r="19" spans="1:9" x14ac:dyDescent="0.25">
      <c r="A19">
        <v>17</v>
      </c>
      <c r="B19" s="1">
        <v>45240</v>
      </c>
      <c r="C19" t="s">
        <v>26</v>
      </c>
      <c r="D19">
        <v>43</v>
      </c>
      <c r="E19" t="s">
        <v>15</v>
      </c>
      <c r="F19" t="s">
        <v>13</v>
      </c>
      <c r="G19">
        <f>MONTH(cleaned_personal_finance_data[[#This Row],[date]])</f>
        <v>11</v>
      </c>
      <c r="H19">
        <f>YEAR(cleaned_personal_finance_data[[#This Row],[date]])</f>
        <v>2023</v>
      </c>
      <c r="I19" t="s">
        <v>26</v>
      </c>
    </row>
    <row r="20" spans="1:9" x14ac:dyDescent="0.25">
      <c r="A20">
        <v>18</v>
      </c>
      <c r="B20" s="1">
        <v>45243</v>
      </c>
      <c r="C20" t="s">
        <v>27</v>
      </c>
      <c r="D20">
        <v>12</v>
      </c>
      <c r="E20" t="s">
        <v>15</v>
      </c>
      <c r="F20" t="s">
        <v>13</v>
      </c>
      <c r="G20">
        <f>MONTH(cleaned_personal_finance_data[[#This Row],[date]])</f>
        <v>11</v>
      </c>
      <c r="H20">
        <f>YEAR(cleaned_personal_finance_data[[#This Row],[date]])</f>
        <v>2023</v>
      </c>
      <c r="I20" t="s">
        <v>27</v>
      </c>
    </row>
    <row r="21" spans="1:9" x14ac:dyDescent="0.25">
      <c r="A21">
        <v>19</v>
      </c>
      <c r="B21" s="1">
        <v>45243</v>
      </c>
      <c r="C21" t="s">
        <v>28</v>
      </c>
      <c r="D21">
        <v>25</v>
      </c>
      <c r="E21" t="s">
        <v>15</v>
      </c>
      <c r="F21" t="s">
        <v>21</v>
      </c>
      <c r="G21">
        <f>MONTH(cleaned_personal_finance_data[[#This Row],[date]])</f>
        <v>11</v>
      </c>
      <c r="H21">
        <f>YEAR(cleaned_personal_finance_data[[#This Row],[date]])</f>
        <v>2023</v>
      </c>
      <c r="I21" t="s">
        <v>28</v>
      </c>
    </row>
    <row r="22" spans="1:9" x14ac:dyDescent="0.25">
      <c r="A22">
        <v>20</v>
      </c>
      <c r="B22" s="1">
        <v>45243</v>
      </c>
      <c r="C22" t="s">
        <v>28</v>
      </c>
      <c r="D22">
        <v>125</v>
      </c>
      <c r="E22" t="s">
        <v>15</v>
      </c>
      <c r="F22" t="s">
        <v>21</v>
      </c>
      <c r="G22">
        <f>MONTH(cleaned_personal_finance_data[[#This Row],[date]])</f>
        <v>11</v>
      </c>
      <c r="H22">
        <f>YEAR(cleaned_personal_finance_data[[#This Row],[date]])</f>
        <v>2023</v>
      </c>
      <c r="I22" t="s">
        <v>28</v>
      </c>
    </row>
    <row r="23" spans="1:9" x14ac:dyDescent="0.25">
      <c r="A23">
        <v>21</v>
      </c>
      <c r="B23" s="1">
        <v>45244</v>
      </c>
      <c r="C23" t="s">
        <v>29</v>
      </c>
      <c r="D23">
        <v>25</v>
      </c>
      <c r="E23" t="s">
        <v>15</v>
      </c>
      <c r="F23" t="s">
        <v>13</v>
      </c>
      <c r="G23">
        <f>MONTH(cleaned_personal_finance_data[[#This Row],[date]])</f>
        <v>11</v>
      </c>
      <c r="H23">
        <f>YEAR(cleaned_personal_finance_data[[#This Row],[date]])</f>
        <v>2023</v>
      </c>
      <c r="I23" t="s">
        <v>29</v>
      </c>
    </row>
    <row r="24" spans="1:9" x14ac:dyDescent="0.25">
      <c r="A24">
        <v>22</v>
      </c>
      <c r="B24" s="1">
        <v>45245</v>
      </c>
      <c r="C24" t="s">
        <v>28</v>
      </c>
      <c r="D24">
        <v>125</v>
      </c>
      <c r="E24" t="s">
        <v>15</v>
      </c>
      <c r="F24" t="s">
        <v>21</v>
      </c>
      <c r="G24">
        <f>MONTH(cleaned_personal_finance_data[[#This Row],[date]])</f>
        <v>11</v>
      </c>
      <c r="H24">
        <f>YEAR(cleaned_personal_finance_data[[#This Row],[date]])</f>
        <v>2023</v>
      </c>
      <c r="I24" t="s">
        <v>28</v>
      </c>
    </row>
    <row r="25" spans="1:9" x14ac:dyDescent="0.25">
      <c r="A25">
        <v>23</v>
      </c>
      <c r="B25" s="1">
        <v>45246</v>
      </c>
      <c r="C25" t="s">
        <v>29</v>
      </c>
      <c r="D25">
        <v>25</v>
      </c>
      <c r="E25" t="s">
        <v>15</v>
      </c>
      <c r="F25" t="s">
        <v>13</v>
      </c>
      <c r="G25">
        <f>MONTH(cleaned_personal_finance_data[[#This Row],[date]])</f>
        <v>11</v>
      </c>
      <c r="H25">
        <f>YEAR(cleaned_personal_finance_data[[#This Row],[date]])</f>
        <v>2023</v>
      </c>
      <c r="I25" t="s">
        <v>29</v>
      </c>
    </row>
    <row r="26" spans="1:9" x14ac:dyDescent="0.25">
      <c r="A26">
        <v>24</v>
      </c>
      <c r="B26" s="1">
        <v>45247</v>
      </c>
      <c r="C26" t="s">
        <v>30</v>
      </c>
      <c r="D26">
        <v>12</v>
      </c>
      <c r="E26" t="s">
        <v>15</v>
      </c>
      <c r="F26" t="s">
        <v>13</v>
      </c>
      <c r="G26">
        <f>MONTH(cleaned_personal_finance_data[[#This Row],[date]])</f>
        <v>11</v>
      </c>
      <c r="H26">
        <f>YEAR(cleaned_personal_finance_data[[#This Row],[date]])</f>
        <v>2023</v>
      </c>
      <c r="I26" t="s">
        <v>30</v>
      </c>
    </row>
    <row r="27" spans="1:9" x14ac:dyDescent="0.25">
      <c r="A27">
        <v>25</v>
      </c>
      <c r="B27" s="1">
        <v>45247</v>
      </c>
      <c r="C27" t="s">
        <v>29</v>
      </c>
      <c r="D27">
        <v>25</v>
      </c>
      <c r="E27" t="s">
        <v>15</v>
      </c>
      <c r="F27" t="s">
        <v>13</v>
      </c>
      <c r="G27">
        <f>MONTH(cleaned_personal_finance_data[[#This Row],[date]])</f>
        <v>11</v>
      </c>
      <c r="H27">
        <f>YEAR(cleaned_personal_finance_data[[#This Row],[date]])</f>
        <v>2023</v>
      </c>
      <c r="I27" t="s">
        <v>29</v>
      </c>
    </row>
    <row r="28" spans="1:9" x14ac:dyDescent="0.25">
      <c r="A28">
        <v>26</v>
      </c>
      <c r="B28" s="1">
        <v>45248</v>
      </c>
      <c r="C28" t="s">
        <v>31</v>
      </c>
      <c r="D28">
        <v>300</v>
      </c>
      <c r="E28" t="s">
        <v>15</v>
      </c>
      <c r="F28" t="s">
        <v>13</v>
      </c>
      <c r="G28">
        <f>MONTH(cleaned_personal_finance_data[[#This Row],[date]])</f>
        <v>11</v>
      </c>
      <c r="H28">
        <f>YEAR(cleaned_personal_finance_data[[#This Row],[date]])</f>
        <v>2023</v>
      </c>
      <c r="I28" t="s">
        <v>31</v>
      </c>
    </row>
    <row r="29" spans="1:9" x14ac:dyDescent="0.25">
      <c r="A29">
        <v>27</v>
      </c>
      <c r="B29" s="1">
        <v>45248</v>
      </c>
      <c r="C29" t="s">
        <v>32</v>
      </c>
      <c r="D29">
        <v>20</v>
      </c>
      <c r="E29" t="s">
        <v>15</v>
      </c>
      <c r="F29" t="s">
        <v>13</v>
      </c>
      <c r="G29">
        <f>MONTH(cleaned_personal_finance_data[[#This Row],[date]])</f>
        <v>11</v>
      </c>
      <c r="H29">
        <f>YEAR(cleaned_personal_finance_data[[#This Row],[date]])</f>
        <v>2023</v>
      </c>
      <c r="I29" t="s">
        <v>32</v>
      </c>
    </row>
    <row r="30" spans="1:9" x14ac:dyDescent="0.25">
      <c r="A30">
        <v>28</v>
      </c>
      <c r="B30" s="1">
        <v>45248</v>
      </c>
      <c r="C30" t="s">
        <v>33</v>
      </c>
      <c r="D30">
        <v>44732</v>
      </c>
      <c r="E30" t="s">
        <v>7</v>
      </c>
      <c r="F30" t="s">
        <v>8</v>
      </c>
      <c r="G30">
        <f>MONTH(cleaned_personal_finance_data[[#This Row],[date]])</f>
        <v>11</v>
      </c>
      <c r="H30">
        <f>YEAR(cleaned_personal_finance_data[[#This Row],[date]])</f>
        <v>2023</v>
      </c>
      <c r="I30" t="s">
        <v>33</v>
      </c>
    </row>
    <row r="31" spans="1:9" x14ac:dyDescent="0.25">
      <c r="A31">
        <v>29</v>
      </c>
      <c r="B31" s="1">
        <v>45246</v>
      </c>
      <c r="C31" t="s">
        <v>25</v>
      </c>
      <c r="D31">
        <v>30</v>
      </c>
      <c r="E31" t="s">
        <v>15</v>
      </c>
      <c r="F31" t="s">
        <v>13</v>
      </c>
      <c r="G31">
        <f>MONTH(cleaned_personal_finance_data[[#This Row],[date]])</f>
        <v>11</v>
      </c>
      <c r="H31">
        <f>YEAR(cleaned_personal_finance_data[[#This Row],[date]])</f>
        <v>2023</v>
      </c>
      <c r="I31" t="s">
        <v>25</v>
      </c>
    </row>
    <row r="32" spans="1:9" x14ac:dyDescent="0.25">
      <c r="A32">
        <v>30</v>
      </c>
      <c r="B32" s="1">
        <v>45252</v>
      </c>
      <c r="C32" t="s">
        <v>34</v>
      </c>
      <c r="D32">
        <v>129</v>
      </c>
      <c r="E32" t="s">
        <v>15</v>
      </c>
      <c r="F32" t="s">
        <v>21</v>
      </c>
      <c r="G32">
        <f>MONTH(cleaned_personal_finance_data[[#This Row],[date]])</f>
        <v>11</v>
      </c>
      <c r="H32">
        <f>YEAR(cleaned_personal_finance_data[[#This Row],[date]])</f>
        <v>2023</v>
      </c>
      <c r="I32" t="s">
        <v>34</v>
      </c>
    </row>
    <row r="33" spans="1:9" x14ac:dyDescent="0.25">
      <c r="A33">
        <v>31</v>
      </c>
      <c r="B33" s="1">
        <v>45252</v>
      </c>
      <c r="C33" t="s">
        <v>35</v>
      </c>
      <c r="D33">
        <v>280</v>
      </c>
      <c r="E33" t="s">
        <v>15</v>
      </c>
      <c r="F33" t="s">
        <v>21</v>
      </c>
      <c r="G33">
        <f>MONTH(cleaned_personal_finance_data[[#This Row],[date]])</f>
        <v>11</v>
      </c>
      <c r="H33">
        <f>YEAR(cleaned_personal_finance_data[[#This Row],[date]])</f>
        <v>2023</v>
      </c>
      <c r="I33" t="s">
        <v>35</v>
      </c>
    </row>
    <row r="34" spans="1:9" x14ac:dyDescent="0.25">
      <c r="A34">
        <v>32</v>
      </c>
      <c r="B34" s="1">
        <v>45253</v>
      </c>
      <c r="C34" t="s">
        <v>28</v>
      </c>
      <c r="D34">
        <v>125</v>
      </c>
      <c r="E34" t="s">
        <v>15</v>
      </c>
      <c r="F34" t="s">
        <v>21</v>
      </c>
      <c r="G34">
        <f>MONTH(cleaned_personal_finance_data[[#This Row],[date]])</f>
        <v>11</v>
      </c>
      <c r="H34">
        <f>YEAR(cleaned_personal_finance_data[[#This Row],[date]])</f>
        <v>2023</v>
      </c>
      <c r="I34" t="s">
        <v>28</v>
      </c>
    </row>
    <row r="35" spans="1:9" x14ac:dyDescent="0.25">
      <c r="A35">
        <v>33</v>
      </c>
      <c r="B35" s="1">
        <v>45260</v>
      </c>
      <c r="C35" t="s">
        <v>6</v>
      </c>
      <c r="D35">
        <v>12734</v>
      </c>
      <c r="E35" t="s">
        <v>7</v>
      </c>
      <c r="F35" t="s">
        <v>8</v>
      </c>
      <c r="G35">
        <f>MONTH(cleaned_personal_finance_data[[#This Row],[date]])</f>
        <v>11</v>
      </c>
      <c r="H35">
        <f>YEAR(cleaned_personal_finance_data[[#This Row],[date]])</f>
        <v>2023</v>
      </c>
      <c r="I35" t="s">
        <v>318</v>
      </c>
    </row>
    <row r="36" spans="1:9" x14ac:dyDescent="0.25">
      <c r="A36">
        <v>34</v>
      </c>
      <c r="B36" s="1">
        <v>45262</v>
      </c>
      <c r="C36" t="s">
        <v>28</v>
      </c>
      <c r="D36">
        <v>125</v>
      </c>
      <c r="E36" t="s">
        <v>15</v>
      </c>
      <c r="F36" t="s">
        <v>21</v>
      </c>
      <c r="G36">
        <f>MONTH(cleaned_personal_finance_data[[#This Row],[date]])</f>
        <v>12</v>
      </c>
      <c r="H36">
        <f>YEAR(cleaned_personal_finance_data[[#This Row],[date]])</f>
        <v>2023</v>
      </c>
      <c r="I36" t="s">
        <v>28</v>
      </c>
    </row>
    <row r="37" spans="1:9" x14ac:dyDescent="0.25">
      <c r="A37">
        <v>35</v>
      </c>
      <c r="B37" s="1">
        <v>45263</v>
      </c>
      <c r="C37" t="s">
        <v>36</v>
      </c>
      <c r="D37">
        <v>265</v>
      </c>
      <c r="E37" t="s">
        <v>15</v>
      </c>
      <c r="F37" t="s">
        <v>13</v>
      </c>
      <c r="G37">
        <f>MONTH(cleaned_personal_finance_data[[#This Row],[date]])</f>
        <v>12</v>
      </c>
      <c r="H37">
        <f>YEAR(cleaned_personal_finance_data[[#This Row],[date]])</f>
        <v>2023</v>
      </c>
      <c r="I37" t="s">
        <v>329</v>
      </c>
    </row>
    <row r="38" spans="1:9" x14ac:dyDescent="0.25">
      <c r="A38">
        <v>36</v>
      </c>
      <c r="B38" s="1">
        <v>45264</v>
      </c>
      <c r="C38" t="s">
        <v>37</v>
      </c>
      <c r="D38">
        <v>25</v>
      </c>
      <c r="E38" t="s">
        <v>15</v>
      </c>
      <c r="F38" t="s">
        <v>13</v>
      </c>
      <c r="G38">
        <f>MONTH(cleaned_personal_finance_data[[#This Row],[date]])</f>
        <v>12</v>
      </c>
      <c r="H38">
        <f>YEAR(cleaned_personal_finance_data[[#This Row],[date]])</f>
        <v>2023</v>
      </c>
      <c r="I38" t="s">
        <v>47</v>
      </c>
    </row>
    <row r="39" spans="1:9" x14ac:dyDescent="0.25">
      <c r="A39">
        <v>37</v>
      </c>
      <c r="B39" s="1">
        <v>45264</v>
      </c>
      <c r="C39" t="s">
        <v>38</v>
      </c>
      <c r="D39">
        <v>1500</v>
      </c>
      <c r="E39" t="s">
        <v>15</v>
      </c>
      <c r="F39" t="s">
        <v>13</v>
      </c>
      <c r="G39">
        <f>MONTH(cleaned_personal_finance_data[[#This Row],[date]])</f>
        <v>12</v>
      </c>
      <c r="H39">
        <f>YEAR(cleaned_personal_finance_data[[#This Row],[date]])</f>
        <v>2023</v>
      </c>
      <c r="I39" t="s">
        <v>38</v>
      </c>
    </row>
    <row r="40" spans="1:9" x14ac:dyDescent="0.25">
      <c r="A40">
        <v>38</v>
      </c>
      <c r="B40" s="1">
        <v>45266</v>
      </c>
      <c r="C40" t="s">
        <v>24</v>
      </c>
      <c r="D40">
        <v>239</v>
      </c>
      <c r="E40" t="s">
        <v>15</v>
      </c>
      <c r="F40" t="s">
        <v>21</v>
      </c>
      <c r="G40">
        <f>MONTH(cleaned_personal_finance_data[[#This Row],[date]])</f>
        <v>12</v>
      </c>
      <c r="H40">
        <f>YEAR(cleaned_personal_finance_data[[#This Row],[date]])</f>
        <v>2023</v>
      </c>
      <c r="I40" t="s">
        <v>24</v>
      </c>
    </row>
    <row r="41" spans="1:9" x14ac:dyDescent="0.25">
      <c r="A41">
        <v>39</v>
      </c>
      <c r="B41" s="1">
        <v>45267</v>
      </c>
      <c r="C41" t="s">
        <v>29</v>
      </c>
      <c r="D41">
        <v>25</v>
      </c>
      <c r="E41" t="s">
        <v>15</v>
      </c>
      <c r="F41" t="s">
        <v>13</v>
      </c>
      <c r="G41">
        <f>MONTH(cleaned_personal_finance_data[[#This Row],[date]])</f>
        <v>12</v>
      </c>
      <c r="H41">
        <f>YEAR(cleaned_personal_finance_data[[#This Row],[date]])</f>
        <v>2023</v>
      </c>
      <c r="I41" t="s">
        <v>29</v>
      </c>
    </row>
    <row r="42" spans="1:9" x14ac:dyDescent="0.25">
      <c r="A42">
        <v>40</v>
      </c>
      <c r="B42" s="1">
        <v>45268</v>
      </c>
      <c r="C42" t="s">
        <v>28</v>
      </c>
      <c r="D42">
        <v>125</v>
      </c>
      <c r="E42" t="s">
        <v>15</v>
      </c>
      <c r="F42" t="s">
        <v>21</v>
      </c>
      <c r="G42">
        <f>MONTH(cleaned_personal_finance_data[[#This Row],[date]])</f>
        <v>12</v>
      </c>
      <c r="H42">
        <f>YEAR(cleaned_personal_finance_data[[#This Row],[date]])</f>
        <v>2023</v>
      </c>
      <c r="I42" t="s">
        <v>28</v>
      </c>
    </row>
    <row r="43" spans="1:9" x14ac:dyDescent="0.25">
      <c r="A43">
        <v>41</v>
      </c>
      <c r="B43" s="1">
        <v>45269</v>
      </c>
      <c r="C43" t="s">
        <v>39</v>
      </c>
      <c r="D43">
        <v>30</v>
      </c>
      <c r="E43" t="s">
        <v>15</v>
      </c>
      <c r="F43" t="s">
        <v>13</v>
      </c>
      <c r="G43">
        <f>MONTH(cleaned_personal_finance_data[[#This Row],[date]])</f>
        <v>12</v>
      </c>
      <c r="H43">
        <f>YEAR(cleaned_personal_finance_data[[#This Row],[date]])</f>
        <v>2023</v>
      </c>
      <c r="I43" t="s">
        <v>43</v>
      </c>
    </row>
    <row r="44" spans="1:9" x14ac:dyDescent="0.25">
      <c r="A44">
        <v>42</v>
      </c>
      <c r="B44" s="1">
        <v>45269</v>
      </c>
      <c r="C44" t="s">
        <v>40</v>
      </c>
      <c r="D44">
        <v>45</v>
      </c>
      <c r="E44" t="s">
        <v>15</v>
      </c>
      <c r="F44" t="s">
        <v>13</v>
      </c>
      <c r="G44">
        <f>MONTH(cleaned_personal_finance_data[[#This Row],[date]])</f>
        <v>12</v>
      </c>
      <c r="H44">
        <f>YEAR(cleaned_personal_finance_data[[#This Row],[date]])</f>
        <v>2023</v>
      </c>
      <c r="I44" t="s">
        <v>40</v>
      </c>
    </row>
    <row r="45" spans="1:9" x14ac:dyDescent="0.25">
      <c r="A45">
        <v>43</v>
      </c>
      <c r="B45" s="1">
        <v>45269</v>
      </c>
      <c r="C45" t="s">
        <v>29</v>
      </c>
      <c r="D45">
        <v>30</v>
      </c>
      <c r="E45" t="s">
        <v>15</v>
      </c>
      <c r="F45" t="s">
        <v>13</v>
      </c>
      <c r="G45">
        <f>MONTH(cleaned_personal_finance_data[[#This Row],[date]])</f>
        <v>12</v>
      </c>
      <c r="H45">
        <f>YEAR(cleaned_personal_finance_data[[#This Row],[date]])</f>
        <v>2023</v>
      </c>
      <c r="I45" t="s">
        <v>29</v>
      </c>
    </row>
    <row r="46" spans="1:9" x14ac:dyDescent="0.25">
      <c r="A46">
        <v>44</v>
      </c>
      <c r="B46" s="1">
        <v>45269</v>
      </c>
      <c r="C46" t="s">
        <v>41</v>
      </c>
      <c r="D46">
        <v>20</v>
      </c>
      <c r="E46" t="s">
        <v>15</v>
      </c>
      <c r="F46" t="s">
        <v>13</v>
      </c>
      <c r="G46">
        <f>MONTH(cleaned_personal_finance_data[[#This Row],[date]])</f>
        <v>12</v>
      </c>
      <c r="H46">
        <f>YEAR(cleaned_personal_finance_data[[#This Row],[date]])</f>
        <v>2023</v>
      </c>
      <c r="I46" t="s">
        <v>41</v>
      </c>
    </row>
    <row r="47" spans="1:9" x14ac:dyDescent="0.25">
      <c r="A47">
        <v>45</v>
      </c>
      <c r="B47" s="1">
        <v>45269</v>
      </c>
      <c r="C47" t="s">
        <v>42</v>
      </c>
      <c r="D47">
        <v>40</v>
      </c>
      <c r="E47" t="s">
        <v>15</v>
      </c>
      <c r="F47" t="s">
        <v>13</v>
      </c>
      <c r="G47">
        <f>MONTH(cleaned_personal_finance_data[[#This Row],[date]])</f>
        <v>12</v>
      </c>
      <c r="H47">
        <f>YEAR(cleaned_personal_finance_data[[#This Row],[date]])</f>
        <v>2023</v>
      </c>
      <c r="I47" t="s">
        <v>42</v>
      </c>
    </row>
    <row r="48" spans="1:9" x14ac:dyDescent="0.25">
      <c r="A48">
        <v>46</v>
      </c>
      <c r="B48" s="1">
        <v>45269</v>
      </c>
      <c r="C48" t="s">
        <v>43</v>
      </c>
      <c r="D48">
        <v>90</v>
      </c>
      <c r="E48" t="s">
        <v>15</v>
      </c>
      <c r="F48" t="s">
        <v>13</v>
      </c>
      <c r="G48">
        <f>MONTH(cleaned_personal_finance_data[[#This Row],[date]])</f>
        <v>12</v>
      </c>
      <c r="H48">
        <f>YEAR(cleaned_personal_finance_data[[#This Row],[date]])</f>
        <v>2023</v>
      </c>
      <c r="I48" t="s">
        <v>43</v>
      </c>
    </row>
    <row r="49" spans="1:9" x14ac:dyDescent="0.25">
      <c r="A49">
        <v>47</v>
      </c>
      <c r="B49" s="1">
        <v>45269</v>
      </c>
      <c r="C49" t="s">
        <v>44</v>
      </c>
      <c r="D49">
        <v>13</v>
      </c>
      <c r="E49" t="s">
        <v>15</v>
      </c>
      <c r="F49" t="s">
        <v>13</v>
      </c>
      <c r="G49">
        <f>MONTH(cleaned_personal_finance_data[[#This Row],[date]])</f>
        <v>12</v>
      </c>
      <c r="H49">
        <f>YEAR(cleaned_personal_finance_data[[#This Row],[date]])</f>
        <v>2023</v>
      </c>
      <c r="I49" t="s">
        <v>44</v>
      </c>
    </row>
    <row r="50" spans="1:9" x14ac:dyDescent="0.25">
      <c r="A50">
        <v>48</v>
      </c>
      <c r="B50" s="1">
        <v>45270</v>
      </c>
      <c r="C50" t="s">
        <v>45</v>
      </c>
      <c r="D50">
        <v>5000</v>
      </c>
      <c r="E50" t="s">
        <v>15</v>
      </c>
      <c r="F50" t="s">
        <v>13</v>
      </c>
      <c r="G50">
        <f>MONTH(cleaned_personal_finance_data[[#This Row],[date]])</f>
        <v>12</v>
      </c>
      <c r="H50">
        <f>YEAR(cleaned_personal_finance_data[[#This Row],[date]])</f>
        <v>2023</v>
      </c>
      <c r="I50" t="s">
        <v>145</v>
      </c>
    </row>
    <row r="51" spans="1:9" x14ac:dyDescent="0.25">
      <c r="A51">
        <v>49</v>
      </c>
      <c r="B51" s="1">
        <v>45270</v>
      </c>
      <c r="C51" t="s">
        <v>46</v>
      </c>
      <c r="D51">
        <v>2100</v>
      </c>
      <c r="E51" t="s">
        <v>15</v>
      </c>
      <c r="F51" t="s">
        <v>13</v>
      </c>
      <c r="G51">
        <f>MONTH(cleaned_personal_finance_data[[#This Row],[date]])</f>
        <v>12</v>
      </c>
      <c r="H51">
        <f>YEAR(cleaned_personal_finance_data[[#This Row],[date]])</f>
        <v>2023</v>
      </c>
      <c r="I51" t="s">
        <v>159</v>
      </c>
    </row>
    <row r="52" spans="1:9" x14ac:dyDescent="0.25">
      <c r="A52">
        <v>50</v>
      </c>
      <c r="B52" s="1">
        <v>45271</v>
      </c>
      <c r="C52" t="s">
        <v>47</v>
      </c>
      <c r="D52">
        <v>25</v>
      </c>
      <c r="E52" t="s">
        <v>15</v>
      </c>
      <c r="F52" t="s">
        <v>13</v>
      </c>
      <c r="G52">
        <f>MONTH(cleaned_personal_finance_data[[#This Row],[date]])</f>
        <v>12</v>
      </c>
      <c r="H52">
        <f>YEAR(cleaned_personal_finance_data[[#This Row],[date]])</f>
        <v>2023</v>
      </c>
      <c r="I52" t="s">
        <v>47</v>
      </c>
    </row>
    <row r="53" spans="1:9" x14ac:dyDescent="0.25">
      <c r="A53">
        <v>51</v>
      </c>
      <c r="B53" s="1">
        <v>45271</v>
      </c>
      <c r="C53" t="s">
        <v>29</v>
      </c>
      <c r="D53">
        <v>30</v>
      </c>
      <c r="E53" t="s">
        <v>15</v>
      </c>
      <c r="F53" t="s">
        <v>13</v>
      </c>
      <c r="G53">
        <f>MONTH(cleaned_personal_finance_data[[#This Row],[date]])</f>
        <v>12</v>
      </c>
      <c r="H53">
        <f>YEAR(cleaned_personal_finance_data[[#This Row],[date]])</f>
        <v>2023</v>
      </c>
      <c r="I53" t="s">
        <v>29</v>
      </c>
    </row>
    <row r="54" spans="1:9" x14ac:dyDescent="0.25">
      <c r="A54">
        <v>52</v>
      </c>
      <c r="B54" s="1">
        <v>45271</v>
      </c>
      <c r="C54" t="s">
        <v>48</v>
      </c>
      <c r="D54">
        <v>544</v>
      </c>
      <c r="E54" t="s">
        <v>15</v>
      </c>
      <c r="F54" t="s">
        <v>13</v>
      </c>
      <c r="G54">
        <f>MONTH(cleaned_personal_finance_data[[#This Row],[date]])</f>
        <v>12</v>
      </c>
      <c r="H54">
        <f>YEAR(cleaned_personal_finance_data[[#This Row],[date]])</f>
        <v>2023</v>
      </c>
      <c r="I54" t="s">
        <v>319</v>
      </c>
    </row>
    <row r="55" spans="1:9" x14ac:dyDescent="0.25">
      <c r="A55">
        <v>53</v>
      </c>
      <c r="B55" s="1">
        <v>45273</v>
      </c>
      <c r="C55" t="s">
        <v>49</v>
      </c>
      <c r="D55">
        <v>50</v>
      </c>
      <c r="E55" t="s">
        <v>15</v>
      </c>
      <c r="F55" t="s">
        <v>13</v>
      </c>
      <c r="G55">
        <f>MONTH(cleaned_personal_finance_data[[#This Row],[date]])</f>
        <v>12</v>
      </c>
      <c r="H55">
        <f>YEAR(cleaned_personal_finance_data[[#This Row],[date]])</f>
        <v>2023</v>
      </c>
      <c r="I55" t="s">
        <v>49</v>
      </c>
    </row>
    <row r="56" spans="1:9" x14ac:dyDescent="0.25">
      <c r="A56">
        <v>54</v>
      </c>
      <c r="B56" s="1">
        <v>45273</v>
      </c>
      <c r="C56" t="s">
        <v>29</v>
      </c>
      <c r="D56">
        <v>20</v>
      </c>
      <c r="E56" t="s">
        <v>15</v>
      </c>
      <c r="F56" t="s">
        <v>13</v>
      </c>
      <c r="G56">
        <f>MONTH(cleaned_personal_finance_data[[#This Row],[date]])</f>
        <v>12</v>
      </c>
      <c r="H56">
        <f>YEAR(cleaned_personal_finance_data[[#This Row],[date]])</f>
        <v>2023</v>
      </c>
      <c r="I56" t="s">
        <v>29</v>
      </c>
    </row>
    <row r="57" spans="1:9" x14ac:dyDescent="0.25">
      <c r="A57">
        <v>55</v>
      </c>
      <c r="B57" s="1">
        <v>45274</v>
      </c>
      <c r="C57" t="s">
        <v>6</v>
      </c>
      <c r="D57">
        <v>12732</v>
      </c>
      <c r="E57" t="s">
        <v>7</v>
      </c>
      <c r="F57" t="s">
        <v>8</v>
      </c>
      <c r="G57">
        <f>MONTH(cleaned_personal_finance_data[[#This Row],[date]])</f>
        <v>12</v>
      </c>
      <c r="H57">
        <f>YEAR(cleaned_personal_finance_data[[#This Row],[date]])</f>
        <v>2023</v>
      </c>
      <c r="I57" t="s">
        <v>318</v>
      </c>
    </row>
    <row r="58" spans="1:9" x14ac:dyDescent="0.25">
      <c r="A58">
        <v>56</v>
      </c>
      <c r="B58" s="1">
        <v>45274</v>
      </c>
      <c r="C58" t="s">
        <v>20</v>
      </c>
      <c r="D58">
        <v>3000</v>
      </c>
      <c r="E58" t="s">
        <v>10</v>
      </c>
      <c r="F58" t="s">
        <v>21</v>
      </c>
      <c r="G58">
        <f>MONTH(cleaned_personal_finance_data[[#This Row],[date]])</f>
        <v>12</v>
      </c>
      <c r="H58">
        <f>YEAR(cleaned_personal_finance_data[[#This Row],[date]])</f>
        <v>2023</v>
      </c>
      <c r="I58" t="s">
        <v>20</v>
      </c>
    </row>
    <row r="59" spans="1:9" x14ac:dyDescent="0.25">
      <c r="A59">
        <v>57</v>
      </c>
      <c r="B59" s="1">
        <v>45274</v>
      </c>
      <c r="C59" t="s">
        <v>20</v>
      </c>
      <c r="D59">
        <v>3000</v>
      </c>
      <c r="E59" t="s">
        <v>12</v>
      </c>
      <c r="F59" t="s">
        <v>21</v>
      </c>
      <c r="G59">
        <f>MONTH(cleaned_personal_finance_data[[#This Row],[date]])</f>
        <v>12</v>
      </c>
      <c r="H59">
        <f>YEAR(cleaned_personal_finance_data[[#This Row],[date]])</f>
        <v>2023</v>
      </c>
      <c r="I59" t="s">
        <v>20</v>
      </c>
    </row>
    <row r="60" spans="1:9" x14ac:dyDescent="0.25">
      <c r="A60">
        <v>58</v>
      </c>
      <c r="B60" s="1">
        <v>45274</v>
      </c>
      <c r="C60" t="s">
        <v>50</v>
      </c>
      <c r="D60">
        <v>599</v>
      </c>
      <c r="E60" t="s">
        <v>15</v>
      </c>
      <c r="F60" t="s">
        <v>21</v>
      </c>
      <c r="G60">
        <f>MONTH(cleaned_personal_finance_data[[#This Row],[date]])</f>
        <v>12</v>
      </c>
      <c r="H60">
        <f>YEAR(cleaned_personal_finance_data[[#This Row],[date]])</f>
        <v>2023</v>
      </c>
      <c r="I60" t="s">
        <v>50</v>
      </c>
    </row>
    <row r="61" spans="1:9" x14ac:dyDescent="0.25">
      <c r="A61">
        <v>59</v>
      </c>
      <c r="B61" s="1">
        <v>45275</v>
      </c>
      <c r="C61" t="s">
        <v>51</v>
      </c>
      <c r="D61">
        <v>30</v>
      </c>
      <c r="E61" t="s">
        <v>15</v>
      </c>
      <c r="F61" t="s">
        <v>13</v>
      </c>
      <c r="G61">
        <f>MONTH(cleaned_personal_finance_data[[#This Row],[date]])</f>
        <v>12</v>
      </c>
      <c r="H61">
        <f>YEAR(cleaned_personal_finance_data[[#This Row],[date]])</f>
        <v>2023</v>
      </c>
      <c r="I61" t="s">
        <v>43</v>
      </c>
    </row>
    <row r="62" spans="1:9" x14ac:dyDescent="0.25">
      <c r="A62">
        <v>60</v>
      </c>
      <c r="B62" s="1">
        <v>45275</v>
      </c>
      <c r="C62" t="s">
        <v>52</v>
      </c>
      <c r="D62">
        <v>15</v>
      </c>
      <c r="E62" t="s">
        <v>15</v>
      </c>
      <c r="F62" t="s">
        <v>13</v>
      </c>
      <c r="G62">
        <f>MONTH(cleaned_personal_finance_data[[#This Row],[date]])</f>
        <v>12</v>
      </c>
      <c r="H62">
        <f>YEAR(cleaned_personal_finance_data[[#This Row],[date]])</f>
        <v>2023</v>
      </c>
      <c r="I62" t="s">
        <v>43</v>
      </c>
    </row>
    <row r="63" spans="1:9" x14ac:dyDescent="0.25">
      <c r="A63">
        <v>61</v>
      </c>
      <c r="B63" s="1">
        <v>45275</v>
      </c>
      <c r="C63" t="s">
        <v>53</v>
      </c>
      <c r="D63">
        <v>120</v>
      </c>
      <c r="E63" t="s">
        <v>15</v>
      </c>
      <c r="F63" t="s">
        <v>13</v>
      </c>
      <c r="G63">
        <f>MONTH(cleaned_personal_finance_data[[#This Row],[date]])</f>
        <v>12</v>
      </c>
      <c r="H63">
        <f>YEAR(cleaned_personal_finance_data[[#This Row],[date]])</f>
        <v>2023</v>
      </c>
      <c r="I63" t="s">
        <v>43</v>
      </c>
    </row>
    <row r="64" spans="1:9" x14ac:dyDescent="0.25">
      <c r="A64">
        <v>62</v>
      </c>
      <c r="B64" s="1">
        <v>45275</v>
      </c>
      <c r="C64" t="s">
        <v>54</v>
      </c>
      <c r="D64">
        <v>142</v>
      </c>
      <c r="E64" t="s">
        <v>15</v>
      </c>
      <c r="F64" t="s">
        <v>13</v>
      </c>
      <c r="G64">
        <f>MONTH(cleaned_personal_finance_data[[#This Row],[date]])</f>
        <v>12</v>
      </c>
      <c r="H64">
        <f>YEAR(cleaned_personal_finance_data[[#This Row],[date]])</f>
        <v>2023</v>
      </c>
      <c r="I64" t="s">
        <v>54</v>
      </c>
    </row>
    <row r="65" spans="1:9" x14ac:dyDescent="0.25">
      <c r="A65">
        <v>63</v>
      </c>
      <c r="B65" s="1">
        <v>45275</v>
      </c>
      <c r="C65" t="s">
        <v>9</v>
      </c>
      <c r="D65">
        <v>19036</v>
      </c>
      <c r="E65" t="s">
        <v>10</v>
      </c>
      <c r="F65" t="s">
        <v>8</v>
      </c>
      <c r="G65">
        <f>MONTH(cleaned_personal_finance_data[[#This Row],[date]])</f>
        <v>12</v>
      </c>
      <c r="H65">
        <f>YEAR(cleaned_personal_finance_data[[#This Row],[date]])</f>
        <v>2023</v>
      </c>
      <c r="I65" t="s">
        <v>9</v>
      </c>
    </row>
    <row r="66" spans="1:9" x14ac:dyDescent="0.25">
      <c r="A66">
        <v>64</v>
      </c>
      <c r="B66" s="1">
        <v>45275</v>
      </c>
      <c r="C66" t="s">
        <v>11</v>
      </c>
      <c r="D66">
        <v>19000</v>
      </c>
      <c r="E66" t="s">
        <v>12</v>
      </c>
      <c r="F66" t="s">
        <v>13</v>
      </c>
      <c r="G66">
        <f>MONTH(cleaned_personal_finance_data[[#This Row],[date]])</f>
        <v>12</v>
      </c>
      <c r="H66">
        <f>YEAR(cleaned_personal_finance_data[[#This Row],[date]])</f>
        <v>2023</v>
      </c>
      <c r="I66" t="s">
        <v>11</v>
      </c>
    </row>
    <row r="67" spans="1:9" x14ac:dyDescent="0.25">
      <c r="A67">
        <v>65</v>
      </c>
      <c r="B67" s="1">
        <v>45275</v>
      </c>
      <c r="C67" t="s">
        <v>55</v>
      </c>
      <c r="D67">
        <v>1500</v>
      </c>
      <c r="E67" t="s">
        <v>15</v>
      </c>
      <c r="F67" t="s">
        <v>13</v>
      </c>
      <c r="G67">
        <f>MONTH(cleaned_personal_finance_data[[#This Row],[date]])</f>
        <v>12</v>
      </c>
      <c r="H67">
        <f>YEAR(cleaned_personal_finance_data[[#This Row],[date]])</f>
        <v>2023</v>
      </c>
      <c r="I67" t="s">
        <v>55</v>
      </c>
    </row>
    <row r="68" spans="1:9" x14ac:dyDescent="0.25">
      <c r="A68">
        <v>66</v>
      </c>
      <c r="B68" s="1">
        <v>45275</v>
      </c>
      <c r="C68" t="s">
        <v>56</v>
      </c>
      <c r="D68">
        <v>3600</v>
      </c>
      <c r="E68" t="s">
        <v>15</v>
      </c>
      <c r="F68" t="s">
        <v>13</v>
      </c>
      <c r="G68">
        <f>MONTH(cleaned_personal_finance_data[[#This Row],[date]])</f>
        <v>12</v>
      </c>
      <c r="H68">
        <f>YEAR(cleaned_personal_finance_data[[#This Row],[date]])</f>
        <v>2023</v>
      </c>
      <c r="I68" t="s">
        <v>56</v>
      </c>
    </row>
    <row r="69" spans="1:9" x14ac:dyDescent="0.25">
      <c r="A69">
        <v>67</v>
      </c>
      <c r="B69" s="1">
        <v>45275</v>
      </c>
      <c r="C69" t="s">
        <v>57</v>
      </c>
      <c r="D69">
        <v>2900</v>
      </c>
      <c r="E69" t="s">
        <v>15</v>
      </c>
      <c r="F69" t="s">
        <v>13</v>
      </c>
      <c r="G69">
        <f>MONTH(cleaned_personal_finance_data[[#This Row],[date]])</f>
        <v>12</v>
      </c>
      <c r="H69">
        <f>YEAR(cleaned_personal_finance_data[[#This Row],[date]])</f>
        <v>2023</v>
      </c>
      <c r="I69" t="s">
        <v>57</v>
      </c>
    </row>
    <row r="70" spans="1:9" x14ac:dyDescent="0.25">
      <c r="A70">
        <v>68</v>
      </c>
      <c r="B70" s="1">
        <v>45275</v>
      </c>
      <c r="C70" t="s">
        <v>58</v>
      </c>
      <c r="D70">
        <v>599</v>
      </c>
      <c r="E70" t="s">
        <v>15</v>
      </c>
      <c r="F70" t="s">
        <v>13</v>
      </c>
      <c r="G70">
        <f>MONTH(cleaned_personal_finance_data[[#This Row],[date]])</f>
        <v>12</v>
      </c>
      <c r="H70">
        <f>YEAR(cleaned_personal_finance_data[[#This Row],[date]])</f>
        <v>2023</v>
      </c>
      <c r="I70" t="s">
        <v>58</v>
      </c>
    </row>
    <row r="71" spans="1:9" x14ac:dyDescent="0.25">
      <c r="A71">
        <v>69</v>
      </c>
      <c r="B71" s="1">
        <v>45275</v>
      </c>
      <c r="C71" t="s">
        <v>59</v>
      </c>
      <c r="D71">
        <v>20</v>
      </c>
      <c r="E71" t="s">
        <v>15</v>
      </c>
      <c r="F71" t="s">
        <v>13</v>
      </c>
      <c r="G71">
        <f>MONTH(cleaned_personal_finance_data[[#This Row],[date]])</f>
        <v>12</v>
      </c>
      <c r="H71">
        <f>YEAR(cleaned_personal_finance_data[[#This Row],[date]])</f>
        <v>2023</v>
      </c>
      <c r="I71" t="s">
        <v>59</v>
      </c>
    </row>
    <row r="72" spans="1:9" x14ac:dyDescent="0.25">
      <c r="A72">
        <v>70</v>
      </c>
      <c r="B72" s="1">
        <v>45275</v>
      </c>
      <c r="C72" t="s">
        <v>60</v>
      </c>
      <c r="D72">
        <v>60</v>
      </c>
      <c r="E72" t="s">
        <v>15</v>
      </c>
      <c r="F72" t="s">
        <v>13</v>
      </c>
      <c r="G72">
        <f>MONTH(cleaned_personal_finance_data[[#This Row],[date]])</f>
        <v>12</v>
      </c>
      <c r="H72">
        <f>YEAR(cleaned_personal_finance_data[[#This Row],[date]])</f>
        <v>2023</v>
      </c>
      <c r="I72" t="s">
        <v>60</v>
      </c>
    </row>
    <row r="73" spans="1:9" x14ac:dyDescent="0.25">
      <c r="A73">
        <v>71</v>
      </c>
      <c r="B73" s="1">
        <v>45275</v>
      </c>
      <c r="C73" t="s">
        <v>61</v>
      </c>
      <c r="D73">
        <v>120</v>
      </c>
      <c r="E73" t="s">
        <v>15</v>
      </c>
      <c r="F73" t="s">
        <v>13</v>
      </c>
      <c r="G73">
        <f>MONTH(cleaned_personal_finance_data[[#This Row],[date]])</f>
        <v>12</v>
      </c>
      <c r="H73">
        <f>YEAR(cleaned_personal_finance_data[[#This Row],[date]])</f>
        <v>2023</v>
      </c>
      <c r="I73" t="s">
        <v>43</v>
      </c>
    </row>
    <row r="74" spans="1:9" x14ac:dyDescent="0.25">
      <c r="A74">
        <v>72</v>
      </c>
      <c r="B74" s="1">
        <v>45275</v>
      </c>
      <c r="C74" t="s">
        <v>62</v>
      </c>
      <c r="D74">
        <v>150</v>
      </c>
      <c r="E74" t="s">
        <v>15</v>
      </c>
      <c r="F74" t="s">
        <v>13</v>
      </c>
      <c r="G74">
        <f>MONTH(cleaned_personal_finance_data[[#This Row],[date]])</f>
        <v>12</v>
      </c>
      <c r="H74">
        <f>YEAR(cleaned_personal_finance_data[[#This Row],[date]])</f>
        <v>2023</v>
      </c>
      <c r="I74" t="s">
        <v>43</v>
      </c>
    </row>
    <row r="75" spans="1:9" x14ac:dyDescent="0.25">
      <c r="A75">
        <v>73</v>
      </c>
      <c r="B75" s="1">
        <v>45278</v>
      </c>
      <c r="C75" t="s">
        <v>37</v>
      </c>
      <c r="D75">
        <v>25</v>
      </c>
      <c r="E75" t="s">
        <v>15</v>
      </c>
      <c r="F75" t="s">
        <v>13</v>
      </c>
      <c r="G75">
        <f>MONTH(cleaned_personal_finance_data[[#This Row],[date]])</f>
        <v>12</v>
      </c>
      <c r="H75">
        <f>YEAR(cleaned_personal_finance_data[[#This Row],[date]])</f>
        <v>2023</v>
      </c>
      <c r="I75" t="s">
        <v>47</v>
      </c>
    </row>
    <row r="76" spans="1:9" x14ac:dyDescent="0.25">
      <c r="A76">
        <v>74</v>
      </c>
      <c r="B76" s="1">
        <v>45278</v>
      </c>
      <c r="C76" t="s">
        <v>63</v>
      </c>
      <c r="D76">
        <v>30</v>
      </c>
      <c r="E76" t="s">
        <v>15</v>
      </c>
      <c r="F76" t="s">
        <v>13</v>
      </c>
      <c r="G76">
        <f>MONTH(cleaned_personal_finance_data[[#This Row],[date]])</f>
        <v>12</v>
      </c>
      <c r="H76">
        <f>YEAR(cleaned_personal_finance_data[[#This Row],[date]])</f>
        <v>2023</v>
      </c>
      <c r="I76" t="s">
        <v>63</v>
      </c>
    </row>
    <row r="77" spans="1:9" x14ac:dyDescent="0.25">
      <c r="A77">
        <v>75</v>
      </c>
      <c r="B77" s="1">
        <v>45278</v>
      </c>
      <c r="C77" t="s">
        <v>35</v>
      </c>
      <c r="D77">
        <v>280</v>
      </c>
      <c r="E77" t="s">
        <v>15</v>
      </c>
      <c r="F77" t="s">
        <v>21</v>
      </c>
      <c r="G77">
        <f>MONTH(cleaned_personal_finance_data[[#This Row],[date]])</f>
        <v>12</v>
      </c>
      <c r="H77">
        <f>YEAR(cleaned_personal_finance_data[[#This Row],[date]])</f>
        <v>2023</v>
      </c>
      <c r="I77" t="s">
        <v>35</v>
      </c>
    </row>
    <row r="78" spans="1:9" x14ac:dyDescent="0.25">
      <c r="A78">
        <v>76</v>
      </c>
      <c r="B78" s="1">
        <v>45279</v>
      </c>
      <c r="C78" t="s">
        <v>64</v>
      </c>
      <c r="D78">
        <v>199</v>
      </c>
      <c r="E78" t="s">
        <v>15</v>
      </c>
      <c r="F78" t="s">
        <v>21</v>
      </c>
      <c r="G78">
        <f>MONTH(cleaned_personal_finance_data[[#This Row],[date]])</f>
        <v>12</v>
      </c>
      <c r="H78">
        <f>YEAR(cleaned_personal_finance_data[[#This Row],[date]])</f>
        <v>2023</v>
      </c>
      <c r="I78" t="s">
        <v>64</v>
      </c>
    </row>
    <row r="79" spans="1:9" x14ac:dyDescent="0.25">
      <c r="A79">
        <v>77</v>
      </c>
      <c r="B79" s="1">
        <v>45281</v>
      </c>
      <c r="C79" t="s">
        <v>65</v>
      </c>
      <c r="D79">
        <v>768</v>
      </c>
      <c r="E79" t="s">
        <v>15</v>
      </c>
      <c r="F79" t="s">
        <v>21</v>
      </c>
      <c r="G79">
        <f>MONTH(cleaned_personal_finance_data[[#This Row],[date]])</f>
        <v>12</v>
      </c>
      <c r="H79">
        <f>YEAR(cleaned_personal_finance_data[[#This Row],[date]])</f>
        <v>2023</v>
      </c>
      <c r="I79" t="s">
        <v>324</v>
      </c>
    </row>
    <row r="80" spans="1:9" x14ac:dyDescent="0.25">
      <c r="A80">
        <v>78</v>
      </c>
      <c r="B80" s="1">
        <v>45282</v>
      </c>
      <c r="C80" t="s">
        <v>34</v>
      </c>
      <c r="D80">
        <v>129</v>
      </c>
      <c r="E80" t="s">
        <v>15</v>
      </c>
      <c r="F80" t="s">
        <v>21</v>
      </c>
      <c r="G80">
        <f>MONTH(cleaned_personal_finance_data[[#This Row],[date]])</f>
        <v>12</v>
      </c>
      <c r="H80">
        <f>YEAR(cleaned_personal_finance_data[[#This Row],[date]])</f>
        <v>2023</v>
      </c>
      <c r="I80" t="s">
        <v>34</v>
      </c>
    </row>
    <row r="81" spans="1:9" x14ac:dyDescent="0.25">
      <c r="A81">
        <v>79</v>
      </c>
      <c r="B81" s="1">
        <v>45283</v>
      </c>
      <c r="C81" t="s">
        <v>51</v>
      </c>
      <c r="D81">
        <v>30</v>
      </c>
      <c r="E81" t="s">
        <v>15</v>
      </c>
      <c r="F81" t="s">
        <v>13</v>
      </c>
      <c r="G81">
        <f>MONTH(cleaned_personal_finance_data[[#This Row],[date]])</f>
        <v>12</v>
      </c>
      <c r="H81">
        <f>YEAR(cleaned_personal_finance_data[[#This Row],[date]])</f>
        <v>2023</v>
      </c>
      <c r="I81" t="s">
        <v>43</v>
      </c>
    </row>
    <row r="82" spans="1:9" x14ac:dyDescent="0.25">
      <c r="A82">
        <v>80</v>
      </c>
      <c r="B82" s="1">
        <v>45283</v>
      </c>
      <c r="C82" t="s">
        <v>66</v>
      </c>
      <c r="D82">
        <v>10</v>
      </c>
      <c r="E82" t="s">
        <v>15</v>
      </c>
      <c r="F82" t="s">
        <v>13</v>
      </c>
      <c r="G82">
        <f>MONTH(cleaned_personal_finance_data[[#This Row],[date]])</f>
        <v>12</v>
      </c>
      <c r="H82">
        <f>YEAR(cleaned_personal_finance_data[[#This Row],[date]])</f>
        <v>2023</v>
      </c>
      <c r="I82" t="s">
        <v>66</v>
      </c>
    </row>
    <row r="83" spans="1:9" x14ac:dyDescent="0.25">
      <c r="A83">
        <v>81</v>
      </c>
      <c r="B83" s="1">
        <v>45283</v>
      </c>
      <c r="C83" t="s">
        <v>67</v>
      </c>
      <c r="D83">
        <v>15</v>
      </c>
      <c r="E83" t="s">
        <v>15</v>
      </c>
      <c r="F83" t="s">
        <v>13</v>
      </c>
      <c r="G83">
        <f>MONTH(cleaned_personal_finance_data[[#This Row],[date]])</f>
        <v>12</v>
      </c>
      <c r="H83">
        <f>YEAR(cleaned_personal_finance_data[[#This Row],[date]])</f>
        <v>2023</v>
      </c>
      <c r="I83" t="s">
        <v>67</v>
      </c>
    </row>
    <row r="84" spans="1:9" x14ac:dyDescent="0.25">
      <c r="A84">
        <v>82</v>
      </c>
      <c r="B84" s="1">
        <v>45283</v>
      </c>
      <c r="C84" t="s">
        <v>68</v>
      </c>
      <c r="D84">
        <v>50</v>
      </c>
      <c r="E84" t="s">
        <v>15</v>
      </c>
      <c r="F84" t="s">
        <v>13</v>
      </c>
      <c r="G84">
        <f>MONTH(cleaned_personal_finance_data[[#This Row],[date]])</f>
        <v>12</v>
      </c>
      <c r="H84">
        <f>YEAR(cleaned_personal_finance_data[[#This Row],[date]])</f>
        <v>2023</v>
      </c>
      <c r="I84" t="s">
        <v>43</v>
      </c>
    </row>
    <row r="85" spans="1:9" x14ac:dyDescent="0.25">
      <c r="A85">
        <v>83</v>
      </c>
      <c r="B85" s="1">
        <v>45283</v>
      </c>
      <c r="C85" t="s">
        <v>69</v>
      </c>
      <c r="D85">
        <v>50</v>
      </c>
      <c r="E85" t="s">
        <v>15</v>
      </c>
      <c r="F85" t="s">
        <v>13</v>
      </c>
      <c r="G85">
        <f>MONTH(cleaned_personal_finance_data[[#This Row],[date]])</f>
        <v>12</v>
      </c>
      <c r="H85">
        <f>YEAR(cleaned_personal_finance_data[[#This Row],[date]])</f>
        <v>2023</v>
      </c>
      <c r="I85" t="s">
        <v>69</v>
      </c>
    </row>
    <row r="86" spans="1:9" x14ac:dyDescent="0.25">
      <c r="A86">
        <v>84</v>
      </c>
      <c r="B86" s="1">
        <v>45283</v>
      </c>
      <c r="C86" t="s">
        <v>67</v>
      </c>
      <c r="D86">
        <v>20</v>
      </c>
      <c r="E86" t="s">
        <v>15</v>
      </c>
      <c r="F86" t="s">
        <v>13</v>
      </c>
      <c r="G86">
        <f>MONTH(cleaned_personal_finance_data[[#This Row],[date]])</f>
        <v>12</v>
      </c>
      <c r="H86">
        <f>YEAR(cleaned_personal_finance_data[[#This Row],[date]])</f>
        <v>2023</v>
      </c>
      <c r="I86" t="s">
        <v>67</v>
      </c>
    </row>
    <row r="87" spans="1:9" x14ac:dyDescent="0.25">
      <c r="A87">
        <v>85</v>
      </c>
      <c r="B87" s="1">
        <v>45283</v>
      </c>
      <c r="C87" t="s">
        <v>70</v>
      </c>
      <c r="D87">
        <v>10</v>
      </c>
      <c r="E87" t="s">
        <v>15</v>
      </c>
      <c r="F87" t="s">
        <v>13</v>
      </c>
      <c r="G87">
        <f>MONTH(cleaned_personal_finance_data[[#This Row],[date]])</f>
        <v>12</v>
      </c>
      <c r="H87">
        <f>YEAR(cleaned_personal_finance_data[[#This Row],[date]])</f>
        <v>2023</v>
      </c>
      <c r="I87" t="s">
        <v>70</v>
      </c>
    </row>
    <row r="88" spans="1:9" x14ac:dyDescent="0.25">
      <c r="A88">
        <v>86</v>
      </c>
      <c r="B88" s="1">
        <v>45283</v>
      </c>
      <c r="C88" t="s">
        <v>71</v>
      </c>
      <c r="D88">
        <v>18000</v>
      </c>
      <c r="E88" t="s">
        <v>7</v>
      </c>
      <c r="F88" t="s">
        <v>13</v>
      </c>
      <c r="G88">
        <f>MONTH(cleaned_personal_finance_data[[#This Row],[date]])</f>
        <v>12</v>
      </c>
      <c r="H88">
        <f>YEAR(cleaned_personal_finance_data[[#This Row],[date]])</f>
        <v>2023</v>
      </c>
      <c r="I88" t="s">
        <v>71</v>
      </c>
    </row>
    <row r="89" spans="1:9" x14ac:dyDescent="0.25">
      <c r="A89">
        <v>87</v>
      </c>
      <c r="B89" s="1">
        <v>45283</v>
      </c>
      <c r="C89" t="s">
        <v>72</v>
      </c>
      <c r="D89">
        <v>600</v>
      </c>
      <c r="E89" t="s">
        <v>15</v>
      </c>
      <c r="F89" t="s">
        <v>13</v>
      </c>
      <c r="G89">
        <f>MONTH(cleaned_personal_finance_data[[#This Row],[date]])</f>
        <v>12</v>
      </c>
      <c r="H89">
        <f>YEAR(cleaned_personal_finance_data[[#This Row],[date]])</f>
        <v>2023</v>
      </c>
      <c r="I89" t="s">
        <v>72</v>
      </c>
    </row>
    <row r="90" spans="1:9" x14ac:dyDescent="0.25">
      <c r="A90">
        <v>88</v>
      </c>
      <c r="B90" s="1">
        <v>45283</v>
      </c>
      <c r="C90" t="s">
        <v>73</v>
      </c>
      <c r="D90">
        <v>150</v>
      </c>
      <c r="E90" t="s">
        <v>15</v>
      </c>
      <c r="F90" t="s">
        <v>13</v>
      </c>
      <c r="G90">
        <f>MONTH(cleaned_personal_finance_data[[#This Row],[date]])</f>
        <v>12</v>
      </c>
      <c r="H90">
        <f>YEAR(cleaned_personal_finance_data[[#This Row],[date]])</f>
        <v>2023</v>
      </c>
      <c r="I90" t="s">
        <v>43</v>
      </c>
    </row>
    <row r="91" spans="1:9" x14ac:dyDescent="0.25">
      <c r="A91">
        <v>89</v>
      </c>
      <c r="B91" s="1">
        <v>45283</v>
      </c>
      <c r="C91" t="s">
        <v>74</v>
      </c>
      <c r="D91">
        <v>20</v>
      </c>
      <c r="E91" t="s">
        <v>15</v>
      </c>
      <c r="F91" t="s">
        <v>13</v>
      </c>
      <c r="G91">
        <f>MONTH(cleaned_personal_finance_data[[#This Row],[date]])</f>
        <v>12</v>
      </c>
      <c r="H91">
        <f>YEAR(cleaned_personal_finance_data[[#This Row],[date]])</f>
        <v>2023</v>
      </c>
      <c r="I91" t="s">
        <v>74</v>
      </c>
    </row>
    <row r="92" spans="1:9" x14ac:dyDescent="0.25">
      <c r="A92">
        <v>90</v>
      </c>
      <c r="B92" s="1">
        <v>45283</v>
      </c>
      <c r="C92" t="s">
        <v>67</v>
      </c>
      <c r="D92">
        <v>15</v>
      </c>
      <c r="E92" t="s">
        <v>15</v>
      </c>
      <c r="F92" t="s">
        <v>13</v>
      </c>
      <c r="G92">
        <f>MONTH(cleaned_personal_finance_data[[#This Row],[date]])</f>
        <v>12</v>
      </c>
      <c r="H92">
        <f>YEAR(cleaned_personal_finance_data[[#This Row],[date]])</f>
        <v>2023</v>
      </c>
      <c r="I92" t="s">
        <v>67</v>
      </c>
    </row>
    <row r="93" spans="1:9" x14ac:dyDescent="0.25">
      <c r="A93">
        <v>91</v>
      </c>
      <c r="B93" s="1">
        <v>45283</v>
      </c>
      <c r="C93" t="s">
        <v>75</v>
      </c>
      <c r="D93">
        <v>15</v>
      </c>
      <c r="E93" t="s">
        <v>15</v>
      </c>
      <c r="F93" t="s">
        <v>13</v>
      </c>
      <c r="G93">
        <f>MONTH(cleaned_personal_finance_data[[#This Row],[date]])</f>
        <v>12</v>
      </c>
      <c r="H93">
        <f>YEAR(cleaned_personal_finance_data[[#This Row],[date]])</f>
        <v>2023</v>
      </c>
      <c r="I93" t="s">
        <v>43</v>
      </c>
    </row>
    <row r="94" spans="1:9" x14ac:dyDescent="0.25">
      <c r="A94">
        <v>92</v>
      </c>
      <c r="B94" s="1">
        <v>45283</v>
      </c>
      <c r="C94" t="s">
        <v>76</v>
      </c>
      <c r="D94">
        <v>50</v>
      </c>
      <c r="E94" t="s">
        <v>15</v>
      </c>
      <c r="F94" t="s">
        <v>13</v>
      </c>
      <c r="G94">
        <f>MONTH(cleaned_personal_finance_data[[#This Row],[date]])</f>
        <v>12</v>
      </c>
      <c r="H94">
        <f>YEAR(cleaned_personal_finance_data[[#This Row],[date]])</f>
        <v>2023</v>
      </c>
      <c r="I94" t="s">
        <v>43</v>
      </c>
    </row>
    <row r="95" spans="1:9" x14ac:dyDescent="0.25">
      <c r="A95">
        <v>93</v>
      </c>
      <c r="B95" s="1">
        <v>45283</v>
      </c>
      <c r="C95" t="s">
        <v>77</v>
      </c>
      <c r="D95">
        <v>3000</v>
      </c>
      <c r="E95" t="s">
        <v>15</v>
      </c>
      <c r="F95" t="s">
        <v>13</v>
      </c>
      <c r="G95">
        <f>MONTH(cleaned_personal_finance_data[[#This Row],[date]])</f>
        <v>12</v>
      </c>
      <c r="H95">
        <f>YEAR(cleaned_personal_finance_data[[#This Row],[date]])</f>
        <v>2023</v>
      </c>
      <c r="I95" t="s">
        <v>77</v>
      </c>
    </row>
    <row r="96" spans="1:9" x14ac:dyDescent="0.25">
      <c r="A96">
        <v>94</v>
      </c>
      <c r="B96" s="1">
        <v>45284</v>
      </c>
      <c r="C96" t="s">
        <v>78</v>
      </c>
      <c r="D96">
        <v>400</v>
      </c>
      <c r="E96" t="s">
        <v>15</v>
      </c>
      <c r="F96" t="s">
        <v>13</v>
      </c>
      <c r="G96">
        <f>MONTH(cleaned_personal_finance_data[[#This Row],[date]])</f>
        <v>12</v>
      </c>
      <c r="H96">
        <f>YEAR(cleaned_personal_finance_data[[#This Row],[date]])</f>
        <v>2023</v>
      </c>
      <c r="I96" t="s">
        <v>78</v>
      </c>
    </row>
    <row r="97" spans="1:9" x14ac:dyDescent="0.25">
      <c r="A97">
        <v>95</v>
      </c>
      <c r="B97" s="1">
        <v>45284</v>
      </c>
      <c r="C97" t="s">
        <v>79</v>
      </c>
      <c r="D97">
        <v>100</v>
      </c>
      <c r="E97" t="s">
        <v>15</v>
      </c>
      <c r="F97" t="s">
        <v>13</v>
      </c>
      <c r="G97">
        <f>MONTH(cleaned_personal_finance_data[[#This Row],[date]])</f>
        <v>12</v>
      </c>
      <c r="H97">
        <f>YEAR(cleaned_personal_finance_data[[#This Row],[date]])</f>
        <v>2023</v>
      </c>
      <c r="I97" t="s">
        <v>79</v>
      </c>
    </row>
    <row r="98" spans="1:9" x14ac:dyDescent="0.25">
      <c r="A98">
        <v>96</v>
      </c>
      <c r="B98" s="1">
        <v>45285</v>
      </c>
      <c r="C98" t="s">
        <v>78</v>
      </c>
      <c r="D98">
        <v>100</v>
      </c>
      <c r="E98" t="s">
        <v>15</v>
      </c>
      <c r="F98" t="s">
        <v>13</v>
      </c>
      <c r="G98">
        <f>MONTH(cleaned_personal_finance_data[[#This Row],[date]])</f>
        <v>12</v>
      </c>
      <c r="H98">
        <f>YEAR(cleaned_personal_finance_data[[#This Row],[date]])</f>
        <v>2023</v>
      </c>
      <c r="I98" t="s">
        <v>78</v>
      </c>
    </row>
    <row r="99" spans="1:9" x14ac:dyDescent="0.25">
      <c r="A99">
        <v>97</v>
      </c>
      <c r="B99" s="1">
        <v>45286</v>
      </c>
      <c r="C99" t="s">
        <v>64</v>
      </c>
      <c r="D99">
        <v>199</v>
      </c>
      <c r="E99" t="s">
        <v>15</v>
      </c>
      <c r="F99" t="s">
        <v>21</v>
      </c>
      <c r="G99">
        <f>MONTH(cleaned_personal_finance_data[[#This Row],[date]])</f>
        <v>12</v>
      </c>
      <c r="H99">
        <f>YEAR(cleaned_personal_finance_data[[#This Row],[date]])</f>
        <v>2023</v>
      </c>
      <c r="I99" t="s">
        <v>64</v>
      </c>
    </row>
    <row r="100" spans="1:9" x14ac:dyDescent="0.25">
      <c r="A100">
        <v>98</v>
      </c>
      <c r="B100" s="1">
        <v>45288</v>
      </c>
      <c r="C100" t="s">
        <v>51</v>
      </c>
      <c r="D100">
        <v>30</v>
      </c>
      <c r="E100" t="s">
        <v>15</v>
      </c>
      <c r="F100" t="s">
        <v>13</v>
      </c>
      <c r="G100">
        <f>MONTH(cleaned_personal_finance_data[[#This Row],[date]])</f>
        <v>12</v>
      </c>
      <c r="H100">
        <f>YEAR(cleaned_personal_finance_data[[#This Row],[date]])</f>
        <v>2023</v>
      </c>
      <c r="I100" t="s">
        <v>43</v>
      </c>
    </row>
    <row r="101" spans="1:9" x14ac:dyDescent="0.25">
      <c r="A101">
        <v>99</v>
      </c>
      <c r="B101" s="1">
        <v>45288</v>
      </c>
      <c r="C101" t="s">
        <v>80</v>
      </c>
      <c r="D101">
        <v>120</v>
      </c>
      <c r="E101" t="s">
        <v>15</v>
      </c>
      <c r="F101" t="s">
        <v>13</v>
      </c>
      <c r="G101">
        <f>MONTH(cleaned_personal_finance_data[[#This Row],[date]])</f>
        <v>12</v>
      </c>
      <c r="H101">
        <f>YEAR(cleaned_personal_finance_data[[#This Row],[date]])</f>
        <v>2023</v>
      </c>
      <c r="I101" t="s">
        <v>43</v>
      </c>
    </row>
    <row r="102" spans="1:9" x14ac:dyDescent="0.25">
      <c r="A102">
        <v>100</v>
      </c>
      <c r="B102" s="1">
        <v>45288</v>
      </c>
      <c r="C102" t="s">
        <v>81</v>
      </c>
      <c r="D102">
        <v>1375</v>
      </c>
      <c r="E102" t="s">
        <v>15</v>
      </c>
      <c r="F102" t="s">
        <v>13</v>
      </c>
      <c r="G102">
        <f>MONTH(cleaned_personal_finance_data[[#This Row],[date]])</f>
        <v>12</v>
      </c>
      <c r="H102">
        <f>YEAR(cleaned_personal_finance_data[[#This Row],[date]])</f>
        <v>2023</v>
      </c>
      <c r="I102" t="s">
        <v>81</v>
      </c>
    </row>
    <row r="103" spans="1:9" x14ac:dyDescent="0.25">
      <c r="A103">
        <v>101</v>
      </c>
      <c r="B103" s="1">
        <v>45288</v>
      </c>
      <c r="C103" t="s">
        <v>82</v>
      </c>
      <c r="D103">
        <v>157</v>
      </c>
      <c r="E103" t="s">
        <v>15</v>
      </c>
      <c r="F103" t="s">
        <v>13</v>
      </c>
      <c r="G103">
        <f>MONTH(cleaned_personal_finance_data[[#This Row],[date]])</f>
        <v>12</v>
      </c>
      <c r="H103">
        <f>YEAR(cleaned_personal_finance_data[[#This Row],[date]])</f>
        <v>2023</v>
      </c>
      <c r="I103" t="s">
        <v>82</v>
      </c>
    </row>
    <row r="104" spans="1:9" x14ac:dyDescent="0.25">
      <c r="A104">
        <v>102</v>
      </c>
      <c r="B104" s="1">
        <v>45288</v>
      </c>
      <c r="C104" t="s">
        <v>83</v>
      </c>
      <c r="D104">
        <v>2600</v>
      </c>
      <c r="E104" t="s">
        <v>15</v>
      </c>
      <c r="F104" t="s">
        <v>13</v>
      </c>
      <c r="G104">
        <f>MONTH(cleaned_personal_finance_data[[#This Row],[date]])</f>
        <v>12</v>
      </c>
      <c r="H104">
        <f>YEAR(cleaned_personal_finance_data[[#This Row],[date]])</f>
        <v>2023</v>
      </c>
      <c r="I104" t="s">
        <v>83</v>
      </c>
    </row>
    <row r="105" spans="1:9" x14ac:dyDescent="0.25">
      <c r="A105">
        <v>103</v>
      </c>
      <c r="B105" s="1">
        <v>45288</v>
      </c>
      <c r="C105" t="s">
        <v>84</v>
      </c>
      <c r="D105">
        <v>500</v>
      </c>
      <c r="E105" t="s">
        <v>15</v>
      </c>
      <c r="F105" t="s">
        <v>13</v>
      </c>
      <c r="G105">
        <f>MONTH(cleaned_personal_finance_data[[#This Row],[date]])</f>
        <v>12</v>
      </c>
      <c r="H105">
        <f>YEAR(cleaned_personal_finance_data[[#This Row],[date]])</f>
        <v>2023</v>
      </c>
      <c r="I105" t="s">
        <v>84</v>
      </c>
    </row>
    <row r="106" spans="1:9" x14ac:dyDescent="0.25">
      <c r="A106">
        <v>104</v>
      </c>
      <c r="B106" s="1">
        <v>45288</v>
      </c>
      <c r="C106" t="s">
        <v>85</v>
      </c>
      <c r="D106">
        <v>500</v>
      </c>
      <c r="E106" t="s">
        <v>15</v>
      </c>
      <c r="F106" t="s">
        <v>13</v>
      </c>
      <c r="G106">
        <f>MONTH(cleaned_personal_finance_data[[#This Row],[date]])</f>
        <v>12</v>
      </c>
      <c r="H106">
        <f>YEAR(cleaned_personal_finance_data[[#This Row],[date]])</f>
        <v>2023</v>
      </c>
      <c r="I106" t="s">
        <v>85</v>
      </c>
    </row>
    <row r="107" spans="1:9" x14ac:dyDescent="0.25">
      <c r="A107">
        <v>105</v>
      </c>
      <c r="B107" s="1">
        <v>45288</v>
      </c>
      <c r="C107" t="s">
        <v>61</v>
      </c>
      <c r="D107">
        <v>120</v>
      </c>
      <c r="E107" t="s">
        <v>15</v>
      </c>
      <c r="F107" t="s">
        <v>13</v>
      </c>
      <c r="G107">
        <f>MONTH(cleaned_personal_finance_data[[#This Row],[date]])</f>
        <v>12</v>
      </c>
      <c r="H107">
        <f>YEAR(cleaned_personal_finance_data[[#This Row],[date]])</f>
        <v>2023</v>
      </c>
      <c r="I107" t="s">
        <v>43</v>
      </c>
    </row>
    <row r="108" spans="1:9" x14ac:dyDescent="0.25">
      <c r="A108">
        <v>106</v>
      </c>
      <c r="B108" s="1">
        <v>45288</v>
      </c>
      <c r="C108" t="s">
        <v>6</v>
      </c>
      <c r="D108">
        <v>12733</v>
      </c>
      <c r="E108" t="s">
        <v>7</v>
      </c>
      <c r="F108" t="s">
        <v>8</v>
      </c>
      <c r="G108">
        <f>MONTH(cleaned_personal_finance_data[[#This Row],[date]])</f>
        <v>12</v>
      </c>
      <c r="H108">
        <f>YEAR(cleaned_personal_finance_data[[#This Row],[date]])</f>
        <v>2023</v>
      </c>
      <c r="I108" t="s">
        <v>318</v>
      </c>
    </row>
    <row r="109" spans="1:9" x14ac:dyDescent="0.25">
      <c r="A109">
        <v>107</v>
      </c>
      <c r="B109" s="1">
        <v>45291</v>
      </c>
      <c r="C109" t="s">
        <v>86</v>
      </c>
      <c r="D109">
        <v>160</v>
      </c>
      <c r="E109" t="s">
        <v>15</v>
      </c>
      <c r="F109" t="s">
        <v>13</v>
      </c>
      <c r="G109">
        <f>MONTH(cleaned_personal_finance_data[[#This Row],[date]])</f>
        <v>12</v>
      </c>
      <c r="H109">
        <f>YEAR(cleaned_personal_finance_data[[#This Row],[date]])</f>
        <v>2023</v>
      </c>
      <c r="I109" t="s">
        <v>262</v>
      </c>
    </row>
    <row r="110" spans="1:9" x14ac:dyDescent="0.25">
      <c r="A110">
        <v>108</v>
      </c>
      <c r="B110" s="1">
        <v>45292</v>
      </c>
      <c r="C110" t="s">
        <v>87</v>
      </c>
      <c r="D110">
        <v>200</v>
      </c>
      <c r="E110" t="s">
        <v>15</v>
      </c>
      <c r="F110" t="s">
        <v>13</v>
      </c>
      <c r="G110">
        <f>MONTH(cleaned_personal_finance_data[[#This Row],[date]])</f>
        <v>1</v>
      </c>
      <c r="H110">
        <f>YEAR(cleaned_personal_finance_data[[#This Row],[date]])</f>
        <v>2024</v>
      </c>
      <c r="I110" t="s">
        <v>87</v>
      </c>
    </row>
    <row r="111" spans="1:9" x14ac:dyDescent="0.25">
      <c r="A111">
        <v>109</v>
      </c>
      <c r="B111" s="1">
        <v>45295</v>
      </c>
      <c r="C111" t="s">
        <v>88</v>
      </c>
      <c r="D111">
        <v>784</v>
      </c>
      <c r="E111" t="s">
        <v>12</v>
      </c>
      <c r="F111" t="s">
        <v>21</v>
      </c>
      <c r="G111">
        <f>MONTH(cleaned_personal_finance_data[[#This Row],[date]])</f>
        <v>1</v>
      </c>
      <c r="H111">
        <f>YEAR(cleaned_personal_finance_data[[#This Row],[date]])</f>
        <v>2024</v>
      </c>
      <c r="I111" t="s">
        <v>20</v>
      </c>
    </row>
    <row r="112" spans="1:9" x14ac:dyDescent="0.25">
      <c r="A112">
        <v>110</v>
      </c>
      <c r="B112" s="1">
        <v>45297</v>
      </c>
      <c r="C112" t="s">
        <v>24</v>
      </c>
      <c r="D112">
        <v>239</v>
      </c>
      <c r="E112" t="s">
        <v>15</v>
      </c>
      <c r="F112" t="s">
        <v>21</v>
      </c>
      <c r="G112">
        <f>MONTH(cleaned_personal_finance_data[[#This Row],[date]])</f>
        <v>1</v>
      </c>
      <c r="H112">
        <f>YEAR(cleaned_personal_finance_data[[#This Row],[date]])</f>
        <v>2024</v>
      </c>
      <c r="I112" t="s">
        <v>24</v>
      </c>
    </row>
    <row r="113" spans="1:9" x14ac:dyDescent="0.25">
      <c r="A113">
        <v>111</v>
      </c>
      <c r="B113" s="1">
        <v>45298</v>
      </c>
      <c r="C113" t="s">
        <v>28</v>
      </c>
      <c r="D113">
        <v>125</v>
      </c>
      <c r="E113" t="s">
        <v>15</v>
      </c>
      <c r="F113" t="s">
        <v>21</v>
      </c>
      <c r="G113">
        <f>MONTH(cleaned_personal_finance_data[[#This Row],[date]])</f>
        <v>1</v>
      </c>
      <c r="H113">
        <f>YEAR(cleaned_personal_finance_data[[#This Row],[date]])</f>
        <v>2024</v>
      </c>
      <c r="I113" t="s">
        <v>28</v>
      </c>
    </row>
    <row r="114" spans="1:9" x14ac:dyDescent="0.25">
      <c r="A114">
        <v>112</v>
      </c>
      <c r="B114" s="1">
        <v>45298</v>
      </c>
      <c r="C114" t="s">
        <v>28</v>
      </c>
      <c r="D114">
        <v>50</v>
      </c>
      <c r="E114" t="s">
        <v>15</v>
      </c>
      <c r="F114" t="s">
        <v>21</v>
      </c>
      <c r="G114">
        <f>MONTH(cleaned_personal_finance_data[[#This Row],[date]])</f>
        <v>1</v>
      </c>
      <c r="H114">
        <f>YEAR(cleaned_personal_finance_data[[#This Row],[date]])</f>
        <v>2024</v>
      </c>
      <c r="I114" t="s">
        <v>28</v>
      </c>
    </row>
    <row r="115" spans="1:9" x14ac:dyDescent="0.25">
      <c r="A115">
        <v>113</v>
      </c>
      <c r="B115" s="1">
        <v>45298</v>
      </c>
      <c r="C115" t="s">
        <v>89</v>
      </c>
      <c r="D115">
        <v>380</v>
      </c>
      <c r="E115" t="s">
        <v>12</v>
      </c>
      <c r="F115" t="s">
        <v>21</v>
      </c>
      <c r="G115">
        <f>MONTH(cleaned_personal_finance_data[[#This Row],[date]])</f>
        <v>1</v>
      </c>
      <c r="H115">
        <f>YEAR(cleaned_personal_finance_data[[#This Row],[date]])</f>
        <v>2024</v>
      </c>
      <c r="I115" t="s">
        <v>20</v>
      </c>
    </row>
    <row r="116" spans="1:9" x14ac:dyDescent="0.25">
      <c r="A116">
        <v>114</v>
      </c>
      <c r="B116" s="1">
        <v>45298</v>
      </c>
      <c r="C116" t="s">
        <v>90</v>
      </c>
      <c r="D116">
        <v>34</v>
      </c>
      <c r="E116" t="s">
        <v>15</v>
      </c>
      <c r="F116" t="s">
        <v>21</v>
      </c>
      <c r="G116">
        <f>MONTH(cleaned_personal_finance_data[[#This Row],[date]])</f>
        <v>1</v>
      </c>
      <c r="H116">
        <f>YEAR(cleaned_personal_finance_data[[#This Row],[date]])</f>
        <v>2024</v>
      </c>
      <c r="I116" t="s">
        <v>324</v>
      </c>
    </row>
    <row r="117" spans="1:9" x14ac:dyDescent="0.25">
      <c r="A117">
        <v>115</v>
      </c>
      <c r="B117" s="1">
        <v>45299</v>
      </c>
      <c r="C117" t="s">
        <v>91</v>
      </c>
      <c r="D117">
        <v>392</v>
      </c>
      <c r="E117" t="s">
        <v>15</v>
      </c>
      <c r="F117" t="s">
        <v>13</v>
      </c>
      <c r="G117">
        <f>MONTH(cleaned_personal_finance_data[[#This Row],[date]])</f>
        <v>1</v>
      </c>
      <c r="H117">
        <f>YEAR(cleaned_personal_finance_data[[#This Row],[date]])</f>
        <v>2024</v>
      </c>
      <c r="I117" t="s">
        <v>319</v>
      </c>
    </row>
    <row r="118" spans="1:9" x14ac:dyDescent="0.25">
      <c r="A118">
        <v>116</v>
      </c>
      <c r="B118" s="1">
        <v>45299</v>
      </c>
      <c r="C118" t="s">
        <v>92</v>
      </c>
      <c r="D118">
        <v>1176</v>
      </c>
      <c r="E118" t="s">
        <v>10</v>
      </c>
      <c r="F118" t="s">
        <v>13</v>
      </c>
      <c r="G118">
        <f>MONTH(cleaned_personal_finance_data[[#This Row],[date]])</f>
        <v>1</v>
      </c>
      <c r="H118">
        <f>YEAR(cleaned_personal_finance_data[[#This Row],[date]])</f>
        <v>2024</v>
      </c>
      <c r="I118" t="s">
        <v>319</v>
      </c>
    </row>
    <row r="119" spans="1:9" x14ac:dyDescent="0.25">
      <c r="A119">
        <v>117</v>
      </c>
      <c r="B119" s="1">
        <v>45299</v>
      </c>
      <c r="C119" t="s">
        <v>28</v>
      </c>
      <c r="D119">
        <v>25</v>
      </c>
      <c r="E119" t="s">
        <v>15</v>
      </c>
      <c r="F119" t="s">
        <v>21</v>
      </c>
      <c r="G119">
        <f>MONTH(cleaned_personal_finance_data[[#This Row],[date]])</f>
        <v>1</v>
      </c>
      <c r="H119">
        <f>YEAR(cleaned_personal_finance_data[[#This Row],[date]])</f>
        <v>2024</v>
      </c>
      <c r="I119" t="s">
        <v>28</v>
      </c>
    </row>
    <row r="120" spans="1:9" x14ac:dyDescent="0.25">
      <c r="A120">
        <v>118</v>
      </c>
      <c r="B120" s="1">
        <v>45300</v>
      </c>
      <c r="C120" t="s">
        <v>28</v>
      </c>
      <c r="D120">
        <v>50</v>
      </c>
      <c r="E120" t="s">
        <v>15</v>
      </c>
      <c r="F120" t="s">
        <v>21</v>
      </c>
      <c r="G120">
        <f>MONTH(cleaned_personal_finance_data[[#This Row],[date]])</f>
        <v>1</v>
      </c>
      <c r="H120">
        <f>YEAR(cleaned_personal_finance_data[[#This Row],[date]])</f>
        <v>2024</v>
      </c>
      <c r="I120" t="s">
        <v>28</v>
      </c>
    </row>
    <row r="121" spans="1:9" x14ac:dyDescent="0.25">
      <c r="A121">
        <v>119</v>
      </c>
      <c r="B121" s="1">
        <v>45300</v>
      </c>
      <c r="C121" t="s">
        <v>93</v>
      </c>
      <c r="D121">
        <v>50</v>
      </c>
      <c r="E121" t="s">
        <v>15</v>
      </c>
      <c r="F121" t="s">
        <v>13</v>
      </c>
      <c r="G121">
        <f>MONTH(cleaned_personal_finance_data[[#This Row],[date]])</f>
        <v>1</v>
      </c>
      <c r="H121">
        <f>YEAR(cleaned_personal_finance_data[[#This Row],[date]])</f>
        <v>2024</v>
      </c>
      <c r="I121" t="s">
        <v>319</v>
      </c>
    </row>
    <row r="122" spans="1:9" x14ac:dyDescent="0.25">
      <c r="A122">
        <v>120</v>
      </c>
      <c r="B122" s="1">
        <v>45300</v>
      </c>
      <c r="C122" t="s">
        <v>94</v>
      </c>
      <c r="D122">
        <v>123</v>
      </c>
      <c r="E122" t="s">
        <v>15</v>
      </c>
      <c r="F122" t="s">
        <v>13</v>
      </c>
      <c r="G122">
        <f>MONTH(cleaned_personal_finance_data[[#This Row],[date]])</f>
        <v>1</v>
      </c>
      <c r="H122">
        <f>YEAR(cleaned_personal_finance_data[[#This Row],[date]])</f>
        <v>2024</v>
      </c>
      <c r="I122" t="s">
        <v>319</v>
      </c>
    </row>
    <row r="123" spans="1:9" x14ac:dyDescent="0.25">
      <c r="A123">
        <v>121</v>
      </c>
      <c r="B123" s="1">
        <v>45300</v>
      </c>
      <c r="C123" t="s">
        <v>95</v>
      </c>
      <c r="D123">
        <v>173</v>
      </c>
      <c r="E123" t="s">
        <v>12</v>
      </c>
      <c r="F123" t="s">
        <v>21</v>
      </c>
      <c r="G123">
        <f>MONTH(cleaned_personal_finance_data[[#This Row],[date]])</f>
        <v>1</v>
      </c>
      <c r="H123">
        <f>YEAR(cleaned_personal_finance_data[[#This Row],[date]])</f>
        <v>2024</v>
      </c>
      <c r="I123" t="s">
        <v>319</v>
      </c>
    </row>
    <row r="124" spans="1:9" x14ac:dyDescent="0.25">
      <c r="A124">
        <v>122</v>
      </c>
      <c r="B124" s="1">
        <v>45300</v>
      </c>
      <c r="C124" t="s">
        <v>95</v>
      </c>
      <c r="D124">
        <v>173</v>
      </c>
      <c r="E124" t="s">
        <v>10</v>
      </c>
      <c r="F124" t="s">
        <v>21</v>
      </c>
      <c r="G124">
        <f>MONTH(cleaned_personal_finance_data[[#This Row],[date]])</f>
        <v>1</v>
      </c>
      <c r="H124">
        <f>YEAR(cleaned_personal_finance_data[[#This Row],[date]])</f>
        <v>2024</v>
      </c>
      <c r="I124" t="s">
        <v>319</v>
      </c>
    </row>
    <row r="125" spans="1:9" x14ac:dyDescent="0.25">
      <c r="A125">
        <v>123</v>
      </c>
      <c r="B125" s="1">
        <v>45303</v>
      </c>
      <c r="C125" t="s">
        <v>96</v>
      </c>
      <c r="D125">
        <v>930</v>
      </c>
      <c r="E125" t="s">
        <v>15</v>
      </c>
      <c r="F125" t="s">
        <v>13</v>
      </c>
      <c r="G125">
        <f>MONTH(cleaned_personal_finance_data[[#This Row],[date]])</f>
        <v>1</v>
      </c>
      <c r="H125">
        <f>YEAR(cleaned_personal_finance_data[[#This Row],[date]])</f>
        <v>2024</v>
      </c>
      <c r="I125" t="s">
        <v>96</v>
      </c>
    </row>
    <row r="126" spans="1:9" x14ac:dyDescent="0.25">
      <c r="A126">
        <v>124</v>
      </c>
      <c r="B126" s="1">
        <v>45303</v>
      </c>
      <c r="C126" t="s">
        <v>97</v>
      </c>
      <c r="D126">
        <v>1990</v>
      </c>
      <c r="E126" t="s">
        <v>15</v>
      </c>
      <c r="F126" t="s">
        <v>13</v>
      </c>
      <c r="G126">
        <f>MONTH(cleaned_personal_finance_data[[#This Row],[date]])</f>
        <v>1</v>
      </c>
      <c r="H126">
        <f>YEAR(cleaned_personal_finance_data[[#This Row],[date]])</f>
        <v>2024</v>
      </c>
      <c r="I126" t="s">
        <v>97</v>
      </c>
    </row>
    <row r="127" spans="1:9" x14ac:dyDescent="0.25">
      <c r="A127">
        <v>125</v>
      </c>
      <c r="B127" s="1">
        <v>45303</v>
      </c>
      <c r="C127" t="s">
        <v>98</v>
      </c>
      <c r="D127">
        <v>695</v>
      </c>
      <c r="E127" t="s">
        <v>15</v>
      </c>
      <c r="F127" t="s">
        <v>13</v>
      </c>
      <c r="G127">
        <f>MONTH(cleaned_personal_finance_data[[#This Row],[date]])</f>
        <v>1</v>
      </c>
      <c r="H127">
        <f>YEAR(cleaned_personal_finance_data[[#This Row],[date]])</f>
        <v>2024</v>
      </c>
      <c r="I127" t="s">
        <v>98</v>
      </c>
    </row>
    <row r="128" spans="1:9" x14ac:dyDescent="0.25">
      <c r="A128">
        <v>126</v>
      </c>
      <c r="B128" s="1">
        <v>45303</v>
      </c>
      <c r="C128" t="s">
        <v>99</v>
      </c>
      <c r="D128">
        <v>77</v>
      </c>
      <c r="E128" t="s">
        <v>15</v>
      </c>
      <c r="F128" t="s">
        <v>13</v>
      </c>
      <c r="G128">
        <f>MONTH(cleaned_personal_finance_data[[#This Row],[date]])</f>
        <v>1</v>
      </c>
      <c r="H128">
        <f>YEAR(cleaned_personal_finance_data[[#This Row],[date]])</f>
        <v>2024</v>
      </c>
      <c r="I128" t="s">
        <v>99</v>
      </c>
    </row>
    <row r="129" spans="1:9" x14ac:dyDescent="0.25">
      <c r="A129">
        <v>127</v>
      </c>
      <c r="B129" s="1">
        <v>45303</v>
      </c>
      <c r="C129" t="s">
        <v>85</v>
      </c>
      <c r="D129">
        <v>300</v>
      </c>
      <c r="E129" t="s">
        <v>15</v>
      </c>
      <c r="F129" t="s">
        <v>13</v>
      </c>
      <c r="G129">
        <f>MONTH(cleaned_personal_finance_data[[#This Row],[date]])</f>
        <v>1</v>
      </c>
      <c r="H129">
        <f>YEAR(cleaned_personal_finance_data[[#This Row],[date]])</f>
        <v>2024</v>
      </c>
      <c r="I129" t="s">
        <v>85</v>
      </c>
    </row>
    <row r="130" spans="1:9" x14ac:dyDescent="0.25">
      <c r="A130">
        <v>128</v>
      </c>
      <c r="B130" s="1">
        <v>45303</v>
      </c>
      <c r="C130" t="s">
        <v>100</v>
      </c>
      <c r="D130">
        <v>10</v>
      </c>
      <c r="E130" t="s">
        <v>15</v>
      </c>
      <c r="F130" t="s">
        <v>13</v>
      </c>
      <c r="G130">
        <f>MONTH(cleaned_personal_finance_data[[#This Row],[date]])</f>
        <v>1</v>
      </c>
      <c r="H130">
        <f>YEAR(cleaned_personal_finance_data[[#This Row],[date]])</f>
        <v>2024</v>
      </c>
      <c r="I130" t="s">
        <v>43</v>
      </c>
    </row>
    <row r="131" spans="1:9" x14ac:dyDescent="0.25">
      <c r="A131">
        <v>129</v>
      </c>
      <c r="B131" s="1">
        <v>45303</v>
      </c>
      <c r="C131" t="s">
        <v>101</v>
      </c>
      <c r="D131">
        <v>600</v>
      </c>
      <c r="E131" t="s">
        <v>15</v>
      </c>
      <c r="F131" t="s">
        <v>13</v>
      </c>
      <c r="G131">
        <f>MONTH(cleaned_personal_finance_data[[#This Row],[date]])</f>
        <v>1</v>
      </c>
      <c r="H131">
        <f>YEAR(cleaned_personal_finance_data[[#This Row],[date]])</f>
        <v>2024</v>
      </c>
      <c r="I131" t="s">
        <v>43</v>
      </c>
    </row>
    <row r="132" spans="1:9" x14ac:dyDescent="0.25">
      <c r="A132">
        <v>130</v>
      </c>
      <c r="B132" s="1">
        <v>45303</v>
      </c>
      <c r="C132" t="s">
        <v>102</v>
      </c>
      <c r="D132">
        <v>1050</v>
      </c>
      <c r="E132" t="s">
        <v>15</v>
      </c>
      <c r="F132" t="s">
        <v>13</v>
      </c>
      <c r="G132">
        <f>MONTH(cleaned_personal_finance_data[[#This Row],[date]])</f>
        <v>1</v>
      </c>
      <c r="H132">
        <f>YEAR(cleaned_personal_finance_data[[#This Row],[date]])</f>
        <v>2024</v>
      </c>
      <c r="I132" t="s">
        <v>159</v>
      </c>
    </row>
    <row r="133" spans="1:9" x14ac:dyDescent="0.25">
      <c r="A133">
        <v>131</v>
      </c>
      <c r="B133" s="1">
        <v>45303</v>
      </c>
      <c r="C133" t="s">
        <v>35</v>
      </c>
      <c r="D133">
        <v>280</v>
      </c>
      <c r="E133" t="s">
        <v>15</v>
      </c>
      <c r="F133" t="s">
        <v>21</v>
      </c>
      <c r="G133">
        <f>MONTH(cleaned_personal_finance_data[[#This Row],[date]])</f>
        <v>1</v>
      </c>
      <c r="H133">
        <f>YEAR(cleaned_personal_finance_data[[#This Row],[date]])</f>
        <v>2024</v>
      </c>
      <c r="I133" t="s">
        <v>35</v>
      </c>
    </row>
    <row r="134" spans="1:9" x14ac:dyDescent="0.25">
      <c r="A134">
        <v>132</v>
      </c>
      <c r="B134" s="1">
        <v>45305</v>
      </c>
      <c r="C134" t="s">
        <v>103</v>
      </c>
      <c r="D134">
        <v>260</v>
      </c>
      <c r="E134" t="s">
        <v>15</v>
      </c>
      <c r="F134" t="s">
        <v>13</v>
      </c>
      <c r="G134">
        <f>MONTH(cleaned_personal_finance_data[[#This Row],[date]])</f>
        <v>1</v>
      </c>
      <c r="H134">
        <f>YEAR(cleaned_personal_finance_data[[#This Row],[date]])</f>
        <v>2024</v>
      </c>
      <c r="I134" t="s">
        <v>329</v>
      </c>
    </row>
    <row r="135" spans="1:9" x14ac:dyDescent="0.25">
      <c r="A135">
        <v>133</v>
      </c>
      <c r="B135" s="1">
        <v>45305</v>
      </c>
      <c r="C135" t="s">
        <v>6</v>
      </c>
      <c r="D135">
        <v>12732</v>
      </c>
      <c r="E135" t="s">
        <v>7</v>
      </c>
      <c r="F135" t="s">
        <v>8</v>
      </c>
      <c r="G135">
        <f>MONTH(cleaned_personal_finance_data[[#This Row],[date]])</f>
        <v>1</v>
      </c>
      <c r="H135">
        <f>YEAR(cleaned_personal_finance_data[[#This Row],[date]])</f>
        <v>2024</v>
      </c>
      <c r="I135" t="s">
        <v>318</v>
      </c>
    </row>
    <row r="136" spans="1:9" x14ac:dyDescent="0.25">
      <c r="A136">
        <v>134</v>
      </c>
      <c r="B136" s="1">
        <v>45306</v>
      </c>
      <c r="C136" t="s">
        <v>104</v>
      </c>
      <c r="D136">
        <v>300</v>
      </c>
      <c r="E136" t="s">
        <v>15</v>
      </c>
      <c r="F136" t="s">
        <v>13</v>
      </c>
      <c r="G136">
        <f>MONTH(cleaned_personal_finance_data[[#This Row],[date]])</f>
        <v>1</v>
      </c>
      <c r="H136">
        <f>YEAR(cleaned_personal_finance_data[[#This Row],[date]])</f>
        <v>2024</v>
      </c>
      <c r="I136" t="s">
        <v>104</v>
      </c>
    </row>
    <row r="137" spans="1:9" x14ac:dyDescent="0.25">
      <c r="A137">
        <v>135</v>
      </c>
      <c r="B137" s="1">
        <v>45306</v>
      </c>
      <c r="C137" t="s">
        <v>28</v>
      </c>
      <c r="D137">
        <v>125</v>
      </c>
      <c r="E137" t="s">
        <v>15</v>
      </c>
      <c r="F137" t="s">
        <v>21</v>
      </c>
      <c r="G137">
        <f>MONTH(cleaned_personal_finance_data[[#This Row],[date]])</f>
        <v>1</v>
      </c>
      <c r="H137">
        <f>YEAR(cleaned_personal_finance_data[[#This Row],[date]])</f>
        <v>2024</v>
      </c>
      <c r="I137" t="s">
        <v>28</v>
      </c>
    </row>
    <row r="138" spans="1:9" x14ac:dyDescent="0.25">
      <c r="A138">
        <v>136</v>
      </c>
      <c r="B138" s="1">
        <v>45308</v>
      </c>
      <c r="C138" t="s">
        <v>87</v>
      </c>
      <c r="D138">
        <v>200</v>
      </c>
      <c r="E138" t="s">
        <v>15</v>
      </c>
      <c r="F138" t="s">
        <v>13</v>
      </c>
      <c r="G138">
        <f>MONTH(cleaned_personal_finance_data[[#This Row],[date]])</f>
        <v>1</v>
      </c>
      <c r="H138">
        <f>YEAR(cleaned_personal_finance_data[[#This Row],[date]])</f>
        <v>2024</v>
      </c>
      <c r="I138" t="s">
        <v>87</v>
      </c>
    </row>
    <row r="139" spans="1:9" x14ac:dyDescent="0.25">
      <c r="A139">
        <v>137</v>
      </c>
      <c r="B139" s="1">
        <v>45309</v>
      </c>
      <c r="C139" t="s">
        <v>28</v>
      </c>
      <c r="D139">
        <v>125</v>
      </c>
      <c r="E139" t="s">
        <v>15</v>
      </c>
      <c r="F139" t="s">
        <v>21</v>
      </c>
      <c r="G139">
        <f>MONTH(cleaned_personal_finance_data[[#This Row],[date]])</f>
        <v>1</v>
      </c>
      <c r="H139">
        <f>YEAR(cleaned_personal_finance_data[[#This Row],[date]])</f>
        <v>2024</v>
      </c>
      <c r="I139" t="s">
        <v>28</v>
      </c>
    </row>
    <row r="140" spans="1:9" x14ac:dyDescent="0.25">
      <c r="A140">
        <v>138</v>
      </c>
      <c r="B140" s="1">
        <v>45310</v>
      </c>
      <c r="C140" t="s">
        <v>28</v>
      </c>
      <c r="D140">
        <v>125</v>
      </c>
      <c r="E140" t="s">
        <v>15</v>
      </c>
      <c r="F140" t="s">
        <v>21</v>
      </c>
      <c r="G140">
        <f>MONTH(cleaned_personal_finance_data[[#This Row],[date]])</f>
        <v>1</v>
      </c>
      <c r="H140">
        <f>YEAR(cleaned_personal_finance_data[[#This Row],[date]])</f>
        <v>2024</v>
      </c>
      <c r="I140" t="s">
        <v>28</v>
      </c>
    </row>
    <row r="141" spans="1:9" x14ac:dyDescent="0.25">
      <c r="A141">
        <v>139</v>
      </c>
      <c r="B141" s="1">
        <v>45311</v>
      </c>
      <c r="C141" t="s">
        <v>28</v>
      </c>
      <c r="D141">
        <v>125</v>
      </c>
      <c r="E141" t="s">
        <v>15</v>
      </c>
      <c r="F141" t="s">
        <v>21</v>
      </c>
      <c r="G141">
        <f>MONTH(cleaned_personal_finance_data[[#This Row],[date]])</f>
        <v>1</v>
      </c>
      <c r="H141">
        <f>YEAR(cleaned_personal_finance_data[[#This Row],[date]])</f>
        <v>2024</v>
      </c>
      <c r="I141" t="s">
        <v>28</v>
      </c>
    </row>
    <row r="142" spans="1:9" x14ac:dyDescent="0.25">
      <c r="A142">
        <v>140</v>
      </c>
      <c r="B142" s="1">
        <v>45312</v>
      </c>
      <c r="C142" t="s">
        <v>28</v>
      </c>
      <c r="D142">
        <v>125</v>
      </c>
      <c r="E142" t="s">
        <v>15</v>
      </c>
      <c r="F142" t="s">
        <v>21</v>
      </c>
      <c r="G142">
        <f>MONTH(cleaned_personal_finance_data[[#This Row],[date]])</f>
        <v>1</v>
      </c>
      <c r="H142">
        <f>YEAR(cleaned_personal_finance_data[[#This Row],[date]])</f>
        <v>2024</v>
      </c>
      <c r="I142" t="s">
        <v>28</v>
      </c>
    </row>
    <row r="143" spans="1:9" x14ac:dyDescent="0.25">
      <c r="A143">
        <v>141</v>
      </c>
      <c r="B143" s="1">
        <v>45313</v>
      </c>
      <c r="C143" t="s">
        <v>34</v>
      </c>
      <c r="D143">
        <v>129</v>
      </c>
      <c r="E143" t="s">
        <v>15</v>
      </c>
      <c r="F143" t="s">
        <v>21</v>
      </c>
      <c r="G143">
        <f>MONTH(cleaned_personal_finance_data[[#This Row],[date]])</f>
        <v>1</v>
      </c>
      <c r="H143">
        <f>YEAR(cleaned_personal_finance_data[[#This Row],[date]])</f>
        <v>2024</v>
      </c>
      <c r="I143" t="s">
        <v>34</v>
      </c>
    </row>
    <row r="144" spans="1:9" x14ac:dyDescent="0.25">
      <c r="A144">
        <v>142</v>
      </c>
      <c r="B144" s="1">
        <v>45313</v>
      </c>
      <c r="C144" t="s">
        <v>105</v>
      </c>
      <c r="D144">
        <v>50</v>
      </c>
      <c r="E144" t="s">
        <v>15</v>
      </c>
      <c r="F144" t="s">
        <v>13</v>
      </c>
      <c r="G144">
        <f>MONTH(cleaned_personal_finance_data[[#This Row],[date]])</f>
        <v>1</v>
      </c>
      <c r="H144">
        <f>YEAR(cleaned_personal_finance_data[[#This Row],[date]])</f>
        <v>2024</v>
      </c>
      <c r="I144" t="s">
        <v>105</v>
      </c>
    </row>
    <row r="145" spans="1:9" x14ac:dyDescent="0.25">
      <c r="A145">
        <v>143</v>
      </c>
      <c r="B145" s="1">
        <v>45315</v>
      </c>
      <c r="C145" t="s">
        <v>28</v>
      </c>
      <c r="D145">
        <v>125</v>
      </c>
      <c r="E145" t="s">
        <v>15</v>
      </c>
      <c r="F145" t="s">
        <v>21</v>
      </c>
      <c r="G145">
        <f>MONTH(cleaned_personal_finance_data[[#This Row],[date]])</f>
        <v>1</v>
      </c>
      <c r="H145">
        <f>YEAR(cleaned_personal_finance_data[[#This Row],[date]])</f>
        <v>2024</v>
      </c>
      <c r="I145" t="s">
        <v>28</v>
      </c>
    </row>
    <row r="146" spans="1:9" x14ac:dyDescent="0.25">
      <c r="A146">
        <v>144</v>
      </c>
      <c r="B146" s="1">
        <v>45315</v>
      </c>
      <c r="C146" t="s">
        <v>28</v>
      </c>
      <c r="D146">
        <v>25</v>
      </c>
      <c r="E146" t="s">
        <v>15</v>
      </c>
      <c r="F146" t="s">
        <v>21</v>
      </c>
      <c r="G146">
        <f>MONTH(cleaned_personal_finance_data[[#This Row],[date]])</f>
        <v>1</v>
      </c>
      <c r="H146">
        <f>YEAR(cleaned_personal_finance_data[[#This Row],[date]])</f>
        <v>2024</v>
      </c>
      <c r="I146" t="s">
        <v>28</v>
      </c>
    </row>
    <row r="147" spans="1:9" x14ac:dyDescent="0.25">
      <c r="A147">
        <v>145</v>
      </c>
      <c r="B147" s="1">
        <v>45316</v>
      </c>
      <c r="C147" t="s">
        <v>28</v>
      </c>
      <c r="D147">
        <v>125</v>
      </c>
      <c r="E147" t="s">
        <v>15</v>
      </c>
      <c r="F147" t="s">
        <v>21</v>
      </c>
      <c r="G147">
        <f>MONTH(cleaned_personal_finance_data[[#This Row],[date]])</f>
        <v>1</v>
      </c>
      <c r="H147">
        <f>YEAR(cleaned_personal_finance_data[[#This Row],[date]])</f>
        <v>2024</v>
      </c>
      <c r="I147" t="s">
        <v>28</v>
      </c>
    </row>
    <row r="148" spans="1:9" x14ac:dyDescent="0.25">
      <c r="A148">
        <v>146</v>
      </c>
      <c r="B148" s="1">
        <v>45319</v>
      </c>
      <c r="C148" t="s">
        <v>6</v>
      </c>
      <c r="D148">
        <v>12734</v>
      </c>
      <c r="E148" t="s">
        <v>7</v>
      </c>
      <c r="F148" t="s">
        <v>8</v>
      </c>
      <c r="G148">
        <f>MONTH(cleaned_personal_finance_data[[#This Row],[date]])</f>
        <v>1</v>
      </c>
      <c r="H148">
        <f>YEAR(cleaned_personal_finance_data[[#This Row],[date]])</f>
        <v>2024</v>
      </c>
      <c r="I148" t="s">
        <v>318</v>
      </c>
    </row>
    <row r="149" spans="1:9" x14ac:dyDescent="0.25">
      <c r="A149">
        <v>147</v>
      </c>
      <c r="B149" s="1">
        <v>45320</v>
      </c>
      <c r="C149" t="s">
        <v>51</v>
      </c>
      <c r="D149">
        <v>30</v>
      </c>
      <c r="E149" t="s">
        <v>15</v>
      </c>
      <c r="F149" t="s">
        <v>13</v>
      </c>
      <c r="G149">
        <f>MONTH(cleaned_personal_finance_data[[#This Row],[date]])</f>
        <v>1</v>
      </c>
      <c r="H149">
        <f>YEAR(cleaned_personal_finance_data[[#This Row],[date]])</f>
        <v>2024</v>
      </c>
      <c r="I149" t="s">
        <v>43</v>
      </c>
    </row>
    <row r="150" spans="1:9" x14ac:dyDescent="0.25">
      <c r="A150">
        <v>148</v>
      </c>
      <c r="B150" s="1">
        <v>45320</v>
      </c>
      <c r="C150" t="s">
        <v>54</v>
      </c>
      <c r="D150">
        <v>45</v>
      </c>
      <c r="E150" t="s">
        <v>15</v>
      </c>
      <c r="F150" t="s">
        <v>13</v>
      </c>
      <c r="G150">
        <f>MONTH(cleaned_personal_finance_data[[#This Row],[date]])</f>
        <v>1</v>
      </c>
      <c r="H150">
        <f>YEAR(cleaned_personal_finance_data[[#This Row],[date]])</f>
        <v>2024</v>
      </c>
      <c r="I150" t="s">
        <v>54</v>
      </c>
    </row>
    <row r="151" spans="1:9" x14ac:dyDescent="0.25">
      <c r="A151">
        <v>149</v>
      </c>
      <c r="B151" s="1">
        <v>45320</v>
      </c>
      <c r="C151" t="s">
        <v>106</v>
      </c>
      <c r="D151">
        <v>85</v>
      </c>
      <c r="E151" t="s">
        <v>15</v>
      </c>
      <c r="F151" t="s">
        <v>13</v>
      </c>
      <c r="G151">
        <f>MONTH(cleaned_personal_finance_data[[#This Row],[date]])</f>
        <v>1</v>
      </c>
      <c r="H151">
        <f>YEAR(cleaned_personal_finance_data[[#This Row],[date]])</f>
        <v>2024</v>
      </c>
      <c r="I151" t="s">
        <v>106</v>
      </c>
    </row>
    <row r="152" spans="1:9" x14ac:dyDescent="0.25">
      <c r="A152">
        <v>150</v>
      </c>
      <c r="B152" s="1">
        <v>45320</v>
      </c>
      <c r="C152" t="s">
        <v>107</v>
      </c>
      <c r="D152">
        <v>35</v>
      </c>
      <c r="E152" t="s">
        <v>15</v>
      </c>
      <c r="F152" t="s">
        <v>13</v>
      </c>
      <c r="G152">
        <f>MONTH(cleaned_personal_finance_data[[#This Row],[date]])</f>
        <v>1</v>
      </c>
      <c r="H152">
        <f>YEAR(cleaned_personal_finance_data[[#This Row],[date]])</f>
        <v>2024</v>
      </c>
      <c r="I152" t="s">
        <v>107</v>
      </c>
    </row>
    <row r="153" spans="1:9" x14ac:dyDescent="0.25">
      <c r="A153">
        <v>151</v>
      </c>
      <c r="B153" s="1">
        <v>45320</v>
      </c>
      <c r="C153" t="s">
        <v>76</v>
      </c>
      <c r="D153">
        <v>30</v>
      </c>
      <c r="E153" t="s">
        <v>15</v>
      </c>
      <c r="F153" t="s">
        <v>13</v>
      </c>
      <c r="G153">
        <f>MONTH(cleaned_personal_finance_data[[#This Row],[date]])</f>
        <v>1</v>
      </c>
      <c r="H153">
        <f>YEAR(cleaned_personal_finance_data[[#This Row],[date]])</f>
        <v>2024</v>
      </c>
      <c r="I153" t="s">
        <v>43</v>
      </c>
    </row>
    <row r="154" spans="1:9" x14ac:dyDescent="0.25">
      <c r="A154">
        <v>152</v>
      </c>
      <c r="B154" s="1">
        <v>45321</v>
      </c>
      <c r="C154" t="s">
        <v>51</v>
      </c>
      <c r="D154">
        <v>30</v>
      </c>
      <c r="E154" t="s">
        <v>15</v>
      </c>
      <c r="F154" t="s">
        <v>13</v>
      </c>
      <c r="G154">
        <f>MONTH(cleaned_personal_finance_data[[#This Row],[date]])</f>
        <v>1</v>
      </c>
      <c r="H154">
        <f>YEAR(cleaned_personal_finance_data[[#This Row],[date]])</f>
        <v>2024</v>
      </c>
      <c r="I154" t="s">
        <v>43</v>
      </c>
    </row>
    <row r="155" spans="1:9" x14ac:dyDescent="0.25">
      <c r="A155">
        <v>153</v>
      </c>
      <c r="B155" s="1">
        <v>45321</v>
      </c>
      <c r="C155" t="s">
        <v>54</v>
      </c>
      <c r="D155">
        <v>45</v>
      </c>
      <c r="E155" t="s">
        <v>15</v>
      </c>
      <c r="F155" t="s">
        <v>13</v>
      </c>
      <c r="G155">
        <f>MONTH(cleaned_personal_finance_data[[#This Row],[date]])</f>
        <v>1</v>
      </c>
      <c r="H155">
        <f>YEAR(cleaned_personal_finance_data[[#This Row],[date]])</f>
        <v>2024</v>
      </c>
      <c r="I155" t="s">
        <v>54</v>
      </c>
    </row>
    <row r="156" spans="1:9" x14ac:dyDescent="0.25">
      <c r="A156">
        <v>154</v>
      </c>
      <c r="B156" s="1">
        <v>45321</v>
      </c>
      <c r="C156" t="s">
        <v>108</v>
      </c>
      <c r="D156">
        <v>15</v>
      </c>
      <c r="E156" t="s">
        <v>15</v>
      </c>
      <c r="F156" t="s">
        <v>13</v>
      </c>
      <c r="G156">
        <f>MONTH(cleaned_personal_finance_data[[#This Row],[date]])</f>
        <v>1</v>
      </c>
      <c r="H156">
        <f>YEAR(cleaned_personal_finance_data[[#This Row],[date]])</f>
        <v>2024</v>
      </c>
      <c r="I156" t="s">
        <v>43</v>
      </c>
    </row>
    <row r="157" spans="1:9" x14ac:dyDescent="0.25">
      <c r="A157">
        <v>155</v>
      </c>
      <c r="B157" s="1">
        <v>45321</v>
      </c>
      <c r="C157" t="s">
        <v>106</v>
      </c>
      <c r="D157">
        <v>58</v>
      </c>
      <c r="E157" t="s">
        <v>15</v>
      </c>
      <c r="F157" t="s">
        <v>13</v>
      </c>
      <c r="G157">
        <f>MONTH(cleaned_personal_finance_data[[#This Row],[date]])</f>
        <v>1</v>
      </c>
      <c r="H157">
        <f>YEAR(cleaned_personal_finance_data[[#This Row],[date]])</f>
        <v>2024</v>
      </c>
      <c r="I157" t="s">
        <v>106</v>
      </c>
    </row>
    <row r="158" spans="1:9" x14ac:dyDescent="0.25">
      <c r="A158">
        <v>156</v>
      </c>
      <c r="B158" s="1">
        <v>45321</v>
      </c>
      <c r="C158" t="s">
        <v>29</v>
      </c>
      <c r="D158">
        <v>15</v>
      </c>
      <c r="E158" t="s">
        <v>15</v>
      </c>
      <c r="F158" t="s">
        <v>13</v>
      </c>
      <c r="G158">
        <f>MONTH(cleaned_personal_finance_data[[#This Row],[date]])</f>
        <v>1</v>
      </c>
      <c r="H158">
        <f>YEAR(cleaned_personal_finance_data[[#This Row],[date]])</f>
        <v>2024</v>
      </c>
      <c r="I158" t="s">
        <v>29</v>
      </c>
    </row>
    <row r="159" spans="1:9" x14ac:dyDescent="0.25">
      <c r="A159">
        <v>157</v>
      </c>
      <c r="B159" s="1">
        <v>45321</v>
      </c>
      <c r="C159" t="s">
        <v>107</v>
      </c>
      <c r="D159">
        <v>20</v>
      </c>
      <c r="E159" t="s">
        <v>15</v>
      </c>
      <c r="F159" t="s">
        <v>13</v>
      </c>
      <c r="G159">
        <f>MONTH(cleaned_personal_finance_data[[#This Row],[date]])</f>
        <v>1</v>
      </c>
      <c r="H159">
        <f>YEAR(cleaned_personal_finance_data[[#This Row],[date]])</f>
        <v>2024</v>
      </c>
      <c r="I159" t="s">
        <v>107</v>
      </c>
    </row>
    <row r="160" spans="1:9" x14ac:dyDescent="0.25">
      <c r="A160">
        <v>158</v>
      </c>
      <c r="B160" s="1">
        <v>45321</v>
      </c>
      <c r="C160" t="s">
        <v>109</v>
      </c>
      <c r="D160">
        <v>30</v>
      </c>
      <c r="E160" t="s">
        <v>15</v>
      </c>
      <c r="F160" t="s">
        <v>13</v>
      </c>
      <c r="G160">
        <f>MONTH(cleaned_personal_finance_data[[#This Row],[date]])</f>
        <v>1</v>
      </c>
      <c r="H160">
        <f>YEAR(cleaned_personal_finance_data[[#This Row],[date]])</f>
        <v>2024</v>
      </c>
      <c r="I160" t="s">
        <v>43</v>
      </c>
    </row>
    <row r="161" spans="1:9" x14ac:dyDescent="0.25">
      <c r="A161">
        <v>159</v>
      </c>
      <c r="B161" s="1">
        <v>45322</v>
      </c>
      <c r="C161" t="s">
        <v>29</v>
      </c>
      <c r="D161">
        <v>25</v>
      </c>
      <c r="E161" t="s">
        <v>15</v>
      </c>
      <c r="F161" t="s">
        <v>13</v>
      </c>
      <c r="G161">
        <f>MONTH(cleaned_personal_finance_data[[#This Row],[date]])</f>
        <v>1</v>
      </c>
      <c r="H161">
        <f>YEAR(cleaned_personal_finance_data[[#This Row],[date]])</f>
        <v>2024</v>
      </c>
      <c r="I161" t="s">
        <v>29</v>
      </c>
    </row>
    <row r="162" spans="1:9" x14ac:dyDescent="0.25">
      <c r="A162">
        <v>160</v>
      </c>
      <c r="B162" s="1">
        <v>45322</v>
      </c>
      <c r="C162" t="s">
        <v>28</v>
      </c>
      <c r="D162">
        <v>125</v>
      </c>
      <c r="E162" t="s">
        <v>15</v>
      </c>
      <c r="F162" t="s">
        <v>21</v>
      </c>
      <c r="G162">
        <f>MONTH(cleaned_personal_finance_data[[#This Row],[date]])</f>
        <v>1</v>
      </c>
      <c r="H162">
        <f>YEAR(cleaned_personal_finance_data[[#This Row],[date]])</f>
        <v>2024</v>
      </c>
      <c r="I162" t="s">
        <v>28</v>
      </c>
    </row>
    <row r="163" spans="1:9" x14ac:dyDescent="0.25">
      <c r="A163">
        <v>161</v>
      </c>
      <c r="B163" s="1">
        <v>45323</v>
      </c>
      <c r="C163" t="s">
        <v>28</v>
      </c>
      <c r="D163">
        <v>125</v>
      </c>
      <c r="E163" t="s">
        <v>15</v>
      </c>
      <c r="F163" t="s">
        <v>21</v>
      </c>
      <c r="G163">
        <f>MONTH(cleaned_personal_finance_data[[#This Row],[date]])</f>
        <v>2</v>
      </c>
      <c r="H163">
        <f>YEAR(cleaned_personal_finance_data[[#This Row],[date]])</f>
        <v>2024</v>
      </c>
      <c r="I163" t="s">
        <v>28</v>
      </c>
    </row>
    <row r="164" spans="1:9" x14ac:dyDescent="0.25">
      <c r="A164">
        <v>162</v>
      </c>
      <c r="B164" s="1">
        <v>45323</v>
      </c>
      <c r="C164" t="s">
        <v>50</v>
      </c>
      <c r="D164">
        <v>599</v>
      </c>
      <c r="E164" t="s">
        <v>15</v>
      </c>
      <c r="F164" t="s">
        <v>21</v>
      </c>
      <c r="G164">
        <f>MONTH(cleaned_personal_finance_data[[#This Row],[date]])</f>
        <v>2</v>
      </c>
      <c r="H164">
        <f>YEAR(cleaned_personal_finance_data[[#This Row],[date]])</f>
        <v>2024</v>
      </c>
      <c r="I164" t="s">
        <v>50</v>
      </c>
    </row>
    <row r="165" spans="1:9" x14ac:dyDescent="0.25">
      <c r="A165">
        <v>163</v>
      </c>
      <c r="B165" s="1">
        <v>45323</v>
      </c>
      <c r="C165" t="s">
        <v>28</v>
      </c>
      <c r="D165">
        <v>50</v>
      </c>
      <c r="E165" t="s">
        <v>15</v>
      </c>
      <c r="F165" t="s">
        <v>21</v>
      </c>
      <c r="G165">
        <f>MONTH(cleaned_personal_finance_data[[#This Row],[date]])</f>
        <v>2</v>
      </c>
      <c r="H165">
        <f>YEAR(cleaned_personal_finance_data[[#This Row],[date]])</f>
        <v>2024</v>
      </c>
      <c r="I165" t="s">
        <v>28</v>
      </c>
    </row>
    <row r="166" spans="1:9" x14ac:dyDescent="0.25">
      <c r="A166">
        <v>164</v>
      </c>
      <c r="B166" s="1">
        <v>45323</v>
      </c>
      <c r="C166" t="s">
        <v>28</v>
      </c>
      <c r="D166">
        <v>50</v>
      </c>
      <c r="E166" t="s">
        <v>15</v>
      </c>
      <c r="F166" t="s">
        <v>21</v>
      </c>
      <c r="G166">
        <f>MONTH(cleaned_personal_finance_data[[#This Row],[date]])</f>
        <v>2</v>
      </c>
      <c r="H166">
        <f>YEAR(cleaned_personal_finance_data[[#This Row],[date]])</f>
        <v>2024</v>
      </c>
      <c r="I166" t="s">
        <v>28</v>
      </c>
    </row>
    <row r="167" spans="1:9" x14ac:dyDescent="0.25">
      <c r="A167">
        <v>165</v>
      </c>
      <c r="B167" s="1">
        <v>45325</v>
      </c>
      <c r="C167" t="s">
        <v>51</v>
      </c>
      <c r="D167">
        <v>30</v>
      </c>
      <c r="E167" t="s">
        <v>15</v>
      </c>
      <c r="F167" t="s">
        <v>13</v>
      </c>
      <c r="G167">
        <f>MONTH(cleaned_personal_finance_data[[#This Row],[date]])</f>
        <v>2</v>
      </c>
      <c r="H167">
        <f>YEAR(cleaned_personal_finance_data[[#This Row],[date]])</f>
        <v>2024</v>
      </c>
      <c r="I167" t="s">
        <v>43</v>
      </c>
    </row>
    <row r="168" spans="1:9" x14ac:dyDescent="0.25">
      <c r="A168">
        <v>166</v>
      </c>
      <c r="B168" s="1">
        <v>45325</v>
      </c>
      <c r="C168" t="s">
        <v>54</v>
      </c>
      <c r="D168">
        <v>45</v>
      </c>
      <c r="E168" t="s">
        <v>15</v>
      </c>
      <c r="F168" t="s">
        <v>13</v>
      </c>
      <c r="G168">
        <f>MONTH(cleaned_personal_finance_data[[#This Row],[date]])</f>
        <v>2</v>
      </c>
      <c r="H168">
        <f>YEAR(cleaned_personal_finance_data[[#This Row],[date]])</f>
        <v>2024</v>
      </c>
      <c r="I168" t="s">
        <v>54</v>
      </c>
    </row>
    <row r="169" spans="1:9" x14ac:dyDescent="0.25">
      <c r="A169">
        <v>167</v>
      </c>
      <c r="B169" s="1">
        <v>45325</v>
      </c>
      <c r="C169" t="s">
        <v>66</v>
      </c>
      <c r="D169">
        <v>10</v>
      </c>
      <c r="E169" t="s">
        <v>15</v>
      </c>
      <c r="F169" t="s">
        <v>13</v>
      </c>
      <c r="G169">
        <f>MONTH(cleaned_personal_finance_data[[#This Row],[date]])</f>
        <v>2</v>
      </c>
      <c r="H169">
        <f>YEAR(cleaned_personal_finance_data[[#This Row],[date]])</f>
        <v>2024</v>
      </c>
      <c r="I169" t="s">
        <v>66</v>
      </c>
    </row>
    <row r="170" spans="1:9" x14ac:dyDescent="0.25">
      <c r="A170">
        <v>168</v>
      </c>
      <c r="B170" s="1">
        <v>45325</v>
      </c>
      <c r="C170" t="s">
        <v>106</v>
      </c>
      <c r="D170">
        <v>40</v>
      </c>
      <c r="E170" t="s">
        <v>15</v>
      </c>
      <c r="F170" t="s">
        <v>13</v>
      </c>
      <c r="G170">
        <f>MONTH(cleaned_personal_finance_data[[#This Row],[date]])</f>
        <v>2</v>
      </c>
      <c r="H170">
        <f>YEAR(cleaned_personal_finance_data[[#This Row],[date]])</f>
        <v>2024</v>
      </c>
      <c r="I170" t="s">
        <v>106</v>
      </c>
    </row>
    <row r="171" spans="1:9" x14ac:dyDescent="0.25">
      <c r="A171">
        <v>169</v>
      </c>
      <c r="B171" s="1">
        <v>45325</v>
      </c>
      <c r="C171" t="s">
        <v>76</v>
      </c>
      <c r="D171">
        <v>50</v>
      </c>
      <c r="E171" t="s">
        <v>15</v>
      </c>
      <c r="F171" t="s">
        <v>13</v>
      </c>
      <c r="G171">
        <f>MONTH(cleaned_personal_finance_data[[#This Row],[date]])</f>
        <v>2</v>
      </c>
      <c r="H171">
        <f>YEAR(cleaned_personal_finance_data[[#This Row],[date]])</f>
        <v>2024</v>
      </c>
      <c r="I171" t="s">
        <v>43</v>
      </c>
    </row>
    <row r="172" spans="1:9" x14ac:dyDescent="0.25">
      <c r="A172">
        <v>170</v>
      </c>
      <c r="B172" s="1">
        <v>45325</v>
      </c>
      <c r="C172" t="s">
        <v>78</v>
      </c>
      <c r="D172">
        <v>200</v>
      </c>
      <c r="E172" t="s">
        <v>15</v>
      </c>
      <c r="F172" t="s">
        <v>13</v>
      </c>
      <c r="G172">
        <f>MONTH(cleaned_personal_finance_data[[#This Row],[date]])</f>
        <v>2</v>
      </c>
      <c r="H172">
        <f>YEAR(cleaned_personal_finance_data[[#This Row],[date]])</f>
        <v>2024</v>
      </c>
      <c r="I172" t="s">
        <v>78</v>
      </c>
    </row>
    <row r="173" spans="1:9" x14ac:dyDescent="0.25">
      <c r="A173">
        <v>171</v>
      </c>
      <c r="B173" s="1">
        <v>45328</v>
      </c>
      <c r="C173" t="s">
        <v>38</v>
      </c>
      <c r="D173">
        <v>1500</v>
      </c>
      <c r="E173" t="s">
        <v>15</v>
      </c>
      <c r="F173" t="s">
        <v>13</v>
      </c>
      <c r="G173">
        <f>MONTH(cleaned_personal_finance_data[[#This Row],[date]])</f>
        <v>2</v>
      </c>
      <c r="H173">
        <f>YEAR(cleaned_personal_finance_data[[#This Row],[date]])</f>
        <v>2024</v>
      </c>
      <c r="I173" t="s">
        <v>38</v>
      </c>
    </row>
    <row r="174" spans="1:9" x14ac:dyDescent="0.25">
      <c r="A174">
        <v>172</v>
      </c>
      <c r="B174" s="1">
        <v>45329</v>
      </c>
      <c r="C174" t="s">
        <v>51</v>
      </c>
      <c r="D174">
        <v>30</v>
      </c>
      <c r="E174" t="s">
        <v>15</v>
      </c>
      <c r="F174" t="s">
        <v>13</v>
      </c>
      <c r="G174">
        <f>MONTH(cleaned_personal_finance_data[[#This Row],[date]])</f>
        <v>2</v>
      </c>
      <c r="H174">
        <f>YEAR(cleaned_personal_finance_data[[#This Row],[date]])</f>
        <v>2024</v>
      </c>
      <c r="I174" t="s">
        <v>43</v>
      </c>
    </row>
    <row r="175" spans="1:9" x14ac:dyDescent="0.25">
      <c r="A175">
        <v>173</v>
      </c>
      <c r="B175" s="1">
        <v>45329</v>
      </c>
      <c r="C175" t="s">
        <v>54</v>
      </c>
      <c r="D175">
        <v>45</v>
      </c>
      <c r="E175" t="s">
        <v>15</v>
      </c>
      <c r="F175" t="s">
        <v>13</v>
      </c>
      <c r="G175">
        <f>MONTH(cleaned_personal_finance_data[[#This Row],[date]])</f>
        <v>2</v>
      </c>
      <c r="H175">
        <f>YEAR(cleaned_personal_finance_data[[#This Row],[date]])</f>
        <v>2024</v>
      </c>
      <c r="I175" t="s">
        <v>54</v>
      </c>
    </row>
    <row r="176" spans="1:9" x14ac:dyDescent="0.25">
      <c r="A176">
        <v>174</v>
      </c>
      <c r="B176" s="1">
        <v>45329</v>
      </c>
      <c r="C176" t="s">
        <v>110</v>
      </c>
      <c r="D176">
        <v>120</v>
      </c>
      <c r="E176" t="s">
        <v>15</v>
      </c>
      <c r="F176" t="s">
        <v>13</v>
      </c>
      <c r="G176">
        <f>MONTH(cleaned_personal_finance_data[[#This Row],[date]])</f>
        <v>2</v>
      </c>
      <c r="H176">
        <f>YEAR(cleaned_personal_finance_data[[#This Row],[date]])</f>
        <v>2024</v>
      </c>
      <c r="I176" t="s">
        <v>43</v>
      </c>
    </row>
    <row r="177" spans="1:9" x14ac:dyDescent="0.25">
      <c r="A177">
        <v>175</v>
      </c>
      <c r="B177" s="1">
        <v>45329</v>
      </c>
      <c r="C177" t="s">
        <v>111</v>
      </c>
      <c r="D177">
        <v>1099</v>
      </c>
      <c r="E177" t="s">
        <v>15</v>
      </c>
      <c r="F177" t="s">
        <v>8</v>
      </c>
      <c r="G177">
        <f>MONTH(cleaned_personal_finance_data[[#This Row],[date]])</f>
        <v>2</v>
      </c>
      <c r="H177">
        <f>YEAR(cleaned_personal_finance_data[[#This Row],[date]])</f>
        <v>2024</v>
      </c>
      <c r="I177" t="s">
        <v>111</v>
      </c>
    </row>
    <row r="178" spans="1:9" x14ac:dyDescent="0.25">
      <c r="A178">
        <v>176</v>
      </c>
      <c r="B178" s="1">
        <v>45329</v>
      </c>
      <c r="C178" t="s">
        <v>112</v>
      </c>
      <c r="D178">
        <v>837</v>
      </c>
      <c r="E178" t="s">
        <v>15</v>
      </c>
      <c r="F178" t="s">
        <v>8</v>
      </c>
      <c r="G178">
        <f>MONTH(cleaned_personal_finance_data[[#This Row],[date]])</f>
        <v>2</v>
      </c>
      <c r="H178">
        <f>YEAR(cleaned_personal_finance_data[[#This Row],[date]])</f>
        <v>2024</v>
      </c>
      <c r="I178" t="s">
        <v>269</v>
      </c>
    </row>
    <row r="179" spans="1:9" x14ac:dyDescent="0.25">
      <c r="A179">
        <v>177</v>
      </c>
      <c r="B179" s="1">
        <v>45329</v>
      </c>
      <c r="C179" t="s">
        <v>113</v>
      </c>
      <c r="D179">
        <v>75</v>
      </c>
      <c r="E179" t="s">
        <v>15</v>
      </c>
      <c r="F179" t="s">
        <v>13</v>
      </c>
      <c r="G179">
        <f>MONTH(cleaned_personal_finance_data[[#This Row],[date]])</f>
        <v>2</v>
      </c>
      <c r="H179">
        <f>YEAR(cleaned_personal_finance_data[[#This Row],[date]])</f>
        <v>2024</v>
      </c>
      <c r="I179" t="s">
        <v>320</v>
      </c>
    </row>
    <row r="180" spans="1:9" x14ac:dyDescent="0.25">
      <c r="A180">
        <v>178</v>
      </c>
      <c r="B180" s="1">
        <v>45329</v>
      </c>
      <c r="C180" t="s">
        <v>114</v>
      </c>
      <c r="D180">
        <v>25</v>
      </c>
      <c r="E180" t="s">
        <v>15</v>
      </c>
      <c r="F180" t="s">
        <v>13</v>
      </c>
      <c r="G180">
        <f>MONTH(cleaned_personal_finance_data[[#This Row],[date]])</f>
        <v>2</v>
      </c>
      <c r="H180">
        <f>YEAR(cleaned_personal_finance_data[[#This Row],[date]])</f>
        <v>2024</v>
      </c>
      <c r="I180" t="s">
        <v>114</v>
      </c>
    </row>
    <row r="181" spans="1:9" x14ac:dyDescent="0.25">
      <c r="A181">
        <v>179</v>
      </c>
      <c r="B181" s="1">
        <v>45329</v>
      </c>
      <c r="C181" t="s">
        <v>115</v>
      </c>
      <c r="D181">
        <v>98</v>
      </c>
      <c r="E181" t="s">
        <v>15</v>
      </c>
      <c r="F181" t="s">
        <v>13</v>
      </c>
      <c r="G181">
        <f>MONTH(cleaned_personal_finance_data[[#This Row],[date]])</f>
        <v>2</v>
      </c>
      <c r="H181">
        <f>YEAR(cleaned_personal_finance_data[[#This Row],[date]])</f>
        <v>2024</v>
      </c>
      <c r="I181" t="s">
        <v>115</v>
      </c>
    </row>
    <row r="182" spans="1:9" x14ac:dyDescent="0.25">
      <c r="A182">
        <v>180</v>
      </c>
      <c r="B182" s="1">
        <v>45329</v>
      </c>
      <c r="C182" t="s">
        <v>106</v>
      </c>
      <c r="D182">
        <v>85</v>
      </c>
      <c r="E182" t="s">
        <v>15</v>
      </c>
      <c r="F182" t="s">
        <v>13</v>
      </c>
      <c r="G182">
        <f>MONTH(cleaned_personal_finance_data[[#This Row],[date]])</f>
        <v>2</v>
      </c>
      <c r="H182">
        <f>YEAR(cleaned_personal_finance_data[[#This Row],[date]])</f>
        <v>2024</v>
      </c>
      <c r="I182" t="s">
        <v>106</v>
      </c>
    </row>
    <row r="183" spans="1:9" x14ac:dyDescent="0.25">
      <c r="A183">
        <v>181</v>
      </c>
      <c r="B183" s="1">
        <v>45329</v>
      </c>
      <c r="C183" t="s">
        <v>9</v>
      </c>
      <c r="D183">
        <v>1500</v>
      </c>
      <c r="E183" t="s">
        <v>10</v>
      </c>
      <c r="F183" t="s">
        <v>8</v>
      </c>
      <c r="G183">
        <f>MONTH(cleaned_personal_finance_data[[#This Row],[date]])</f>
        <v>2</v>
      </c>
      <c r="H183">
        <f>YEAR(cleaned_personal_finance_data[[#This Row],[date]])</f>
        <v>2024</v>
      </c>
      <c r="I183" t="s">
        <v>9</v>
      </c>
    </row>
    <row r="184" spans="1:9" x14ac:dyDescent="0.25">
      <c r="A184">
        <v>182</v>
      </c>
      <c r="B184" s="1">
        <v>45329</v>
      </c>
      <c r="C184" t="s">
        <v>9</v>
      </c>
      <c r="D184">
        <v>1500</v>
      </c>
      <c r="E184" t="s">
        <v>12</v>
      </c>
      <c r="F184" t="s">
        <v>13</v>
      </c>
      <c r="G184">
        <f>MONTH(cleaned_personal_finance_data[[#This Row],[date]])</f>
        <v>2</v>
      </c>
      <c r="H184">
        <f>YEAR(cleaned_personal_finance_data[[#This Row],[date]])</f>
        <v>2024</v>
      </c>
      <c r="I184" t="s">
        <v>9</v>
      </c>
    </row>
    <row r="185" spans="1:9" x14ac:dyDescent="0.25">
      <c r="A185">
        <v>183</v>
      </c>
      <c r="B185" s="1">
        <v>45329</v>
      </c>
      <c r="C185" t="s">
        <v>85</v>
      </c>
      <c r="D185">
        <v>300</v>
      </c>
      <c r="E185" t="s">
        <v>15</v>
      </c>
      <c r="F185" t="s">
        <v>13</v>
      </c>
      <c r="G185">
        <f>MONTH(cleaned_personal_finance_data[[#This Row],[date]])</f>
        <v>2</v>
      </c>
      <c r="H185">
        <f>YEAR(cleaned_personal_finance_data[[#This Row],[date]])</f>
        <v>2024</v>
      </c>
      <c r="I185" t="s">
        <v>85</v>
      </c>
    </row>
    <row r="186" spans="1:9" x14ac:dyDescent="0.25">
      <c r="A186">
        <v>184</v>
      </c>
      <c r="B186" s="1">
        <v>45329</v>
      </c>
      <c r="C186" t="s">
        <v>116</v>
      </c>
      <c r="D186">
        <v>300</v>
      </c>
      <c r="E186" t="s">
        <v>15</v>
      </c>
      <c r="F186" t="s">
        <v>13</v>
      </c>
      <c r="G186">
        <f>MONTH(cleaned_personal_finance_data[[#This Row],[date]])</f>
        <v>2</v>
      </c>
      <c r="H186">
        <f>YEAR(cleaned_personal_finance_data[[#This Row],[date]])</f>
        <v>2024</v>
      </c>
      <c r="I186" t="s">
        <v>116</v>
      </c>
    </row>
    <row r="187" spans="1:9" x14ac:dyDescent="0.25">
      <c r="A187">
        <v>185</v>
      </c>
      <c r="B187" s="1">
        <v>45329</v>
      </c>
      <c r="C187" t="s">
        <v>81</v>
      </c>
      <c r="D187">
        <v>348</v>
      </c>
      <c r="E187" t="s">
        <v>15</v>
      </c>
      <c r="F187" t="s">
        <v>13</v>
      </c>
      <c r="G187">
        <f>MONTH(cleaned_personal_finance_data[[#This Row],[date]])</f>
        <v>2</v>
      </c>
      <c r="H187">
        <f>YEAR(cleaned_personal_finance_data[[#This Row],[date]])</f>
        <v>2024</v>
      </c>
      <c r="I187" t="s">
        <v>81</v>
      </c>
    </row>
    <row r="188" spans="1:9" x14ac:dyDescent="0.25">
      <c r="A188">
        <v>186</v>
      </c>
      <c r="B188" s="1">
        <v>45329</v>
      </c>
      <c r="C188" t="s">
        <v>117</v>
      </c>
      <c r="D188">
        <v>200</v>
      </c>
      <c r="E188" t="s">
        <v>15</v>
      </c>
      <c r="F188" t="s">
        <v>13</v>
      </c>
      <c r="G188">
        <f>MONTH(cleaned_personal_finance_data[[#This Row],[date]])</f>
        <v>2</v>
      </c>
      <c r="H188">
        <f>YEAR(cleaned_personal_finance_data[[#This Row],[date]])</f>
        <v>2024</v>
      </c>
      <c r="I188" t="s">
        <v>117</v>
      </c>
    </row>
    <row r="189" spans="1:9" x14ac:dyDescent="0.25">
      <c r="A189">
        <v>187</v>
      </c>
      <c r="B189" s="1">
        <v>45329</v>
      </c>
      <c r="C189" t="s">
        <v>118</v>
      </c>
      <c r="D189">
        <v>10</v>
      </c>
      <c r="E189" t="s">
        <v>15</v>
      </c>
      <c r="F189" t="s">
        <v>13</v>
      </c>
      <c r="G189">
        <f>MONTH(cleaned_personal_finance_data[[#This Row],[date]])</f>
        <v>2</v>
      </c>
      <c r="H189">
        <f>YEAR(cleaned_personal_finance_data[[#This Row],[date]])</f>
        <v>2024</v>
      </c>
      <c r="I189" t="s">
        <v>43</v>
      </c>
    </row>
    <row r="190" spans="1:9" x14ac:dyDescent="0.25">
      <c r="A190">
        <v>188</v>
      </c>
      <c r="B190" s="1">
        <v>45329</v>
      </c>
      <c r="C190" t="s">
        <v>119</v>
      </c>
      <c r="D190">
        <v>130</v>
      </c>
      <c r="E190" t="s">
        <v>15</v>
      </c>
      <c r="F190" t="s">
        <v>13</v>
      </c>
      <c r="G190">
        <f>MONTH(cleaned_personal_finance_data[[#This Row],[date]])</f>
        <v>2</v>
      </c>
      <c r="H190">
        <f>YEAR(cleaned_personal_finance_data[[#This Row],[date]])</f>
        <v>2024</v>
      </c>
      <c r="I190" t="s">
        <v>43</v>
      </c>
    </row>
    <row r="191" spans="1:9" x14ac:dyDescent="0.25">
      <c r="A191">
        <v>189</v>
      </c>
      <c r="B191" s="1">
        <v>45329</v>
      </c>
      <c r="C191" t="s">
        <v>20</v>
      </c>
      <c r="D191">
        <v>3000</v>
      </c>
      <c r="E191" t="s">
        <v>12</v>
      </c>
      <c r="F191" t="s">
        <v>21</v>
      </c>
      <c r="G191">
        <f>MONTH(cleaned_personal_finance_data[[#This Row],[date]])</f>
        <v>2</v>
      </c>
      <c r="H191">
        <f>YEAR(cleaned_personal_finance_data[[#This Row],[date]])</f>
        <v>2024</v>
      </c>
      <c r="I191" t="s">
        <v>20</v>
      </c>
    </row>
    <row r="192" spans="1:9" x14ac:dyDescent="0.25">
      <c r="A192">
        <v>190</v>
      </c>
      <c r="B192" s="1">
        <v>45329</v>
      </c>
      <c r="C192" t="s">
        <v>20</v>
      </c>
      <c r="D192">
        <v>3000</v>
      </c>
      <c r="E192" t="s">
        <v>10</v>
      </c>
      <c r="F192" t="s">
        <v>13</v>
      </c>
      <c r="G192">
        <f>MONTH(cleaned_personal_finance_data[[#This Row],[date]])</f>
        <v>2</v>
      </c>
      <c r="H192">
        <f>YEAR(cleaned_personal_finance_data[[#This Row],[date]])</f>
        <v>2024</v>
      </c>
      <c r="I192" t="s">
        <v>20</v>
      </c>
    </row>
    <row r="193" spans="1:9" x14ac:dyDescent="0.25">
      <c r="A193">
        <v>191</v>
      </c>
      <c r="B193" s="1">
        <v>45329</v>
      </c>
      <c r="C193" t="s">
        <v>24</v>
      </c>
      <c r="D193">
        <v>239</v>
      </c>
      <c r="E193" t="s">
        <v>15</v>
      </c>
      <c r="F193" t="s">
        <v>21</v>
      </c>
      <c r="G193">
        <f>MONTH(cleaned_personal_finance_data[[#This Row],[date]])</f>
        <v>2</v>
      </c>
      <c r="H193">
        <f>YEAR(cleaned_personal_finance_data[[#This Row],[date]])</f>
        <v>2024</v>
      </c>
      <c r="I193" t="s">
        <v>24</v>
      </c>
    </row>
    <row r="194" spans="1:9" x14ac:dyDescent="0.25">
      <c r="A194">
        <v>192</v>
      </c>
      <c r="B194" s="1">
        <v>45331</v>
      </c>
      <c r="C194" t="s">
        <v>120</v>
      </c>
      <c r="D194">
        <v>2000</v>
      </c>
      <c r="E194" t="s">
        <v>15</v>
      </c>
      <c r="F194" t="s">
        <v>13</v>
      </c>
      <c r="G194">
        <f>MONTH(cleaned_personal_finance_data[[#This Row],[date]])</f>
        <v>2</v>
      </c>
      <c r="H194">
        <f>YEAR(cleaned_personal_finance_data[[#This Row],[date]])</f>
        <v>2024</v>
      </c>
      <c r="I194" t="s">
        <v>159</v>
      </c>
    </row>
    <row r="195" spans="1:9" x14ac:dyDescent="0.25">
      <c r="A195">
        <v>193</v>
      </c>
      <c r="B195" s="1">
        <v>45331</v>
      </c>
      <c r="C195" t="s">
        <v>121</v>
      </c>
      <c r="D195">
        <v>5000</v>
      </c>
      <c r="E195" t="s">
        <v>15</v>
      </c>
      <c r="F195" t="s">
        <v>13</v>
      </c>
      <c r="G195">
        <f>MONTH(cleaned_personal_finance_data[[#This Row],[date]])</f>
        <v>2</v>
      </c>
      <c r="H195">
        <f>YEAR(cleaned_personal_finance_data[[#This Row],[date]])</f>
        <v>2024</v>
      </c>
      <c r="I195" t="s">
        <v>145</v>
      </c>
    </row>
    <row r="196" spans="1:9" x14ac:dyDescent="0.25">
      <c r="A196">
        <v>194</v>
      </c>
      <c r="B196" s="1">
        <v>45331</v>
      </c>
      <c r="C196" t="s">
        <v>64</v>
      </c>
      <c r="D196">
        <v>199</v>
      </c>
      <c r="E196" t="s">
        <v>15</v>
      </c>
      <c r="F196" t="s">
        <v>21</v>
      </c>
      <c r="G196">
        <f>MONTH(cleaned_personal_finance_data[[#This Row],[date]])</f>
        <v>2</v>
      </c>
      <c r="H196">
        <f>YEAR(cleaned_personal_finance_data[[#This Row],[date]])</f>
        <v>2024</v>
      </c>
      <c r="I196" t="s">
        <v>64</v>
      </c>
    </row>
    <row r="197" spans="1:9" x14ac:dyDescent="0.25">
      <c r="A197">
        <v>195</v>
      </c>
      <c r="B197" s="1">
        <v>45331</v>
      </c>
      <c r="C197" t="s">
        <v>122</v>
      </c>
      <c r="D197">
        <v>280</v>
      </c>
      <c r="E197" t="s">
        <v>15</v>
      </c>
      <c r="F197" t="s">
        <v>21</v>
      </c>
      <c r="G197">
        <f>MONTH(cleaned_personal_finance_data[[#This Row],[date]])</f>
        <v>2</v>
      </c>
      <c r="H197">
        <f>YEAR(cleaned_personal_finance_data[[#This Row],[date]])</f>
        <v>2024</v>
      </c>
      <c r="I197" t="s">
        <v>324</v>
      </c>
    </row>
    <row r="198" spans="1:9" x14ac:dyDescent="0.25">
      <c r="A198">
        <v>196</v>
      </c>
      <c r="B198" s="1">
        <v>45331</v>
      </c>
      <c r="C198" t="s">
        <v>64</v>
      </c>
      <c r="D198">
        <v>199</v>
      </c>
      <c r="E198" t="s">
        <v>15</v>
      </c>
      <c r="F198" t="s">
        <v>21</v>
      </c>
      <c r="G198">
        <f>MONTH(cleaned_personal_finance_data[[#This Row],[date]])</f>
        <v>2</v>
      </c>
      <c r="H198">
        <f>YEAR(cleaned_personal_finance_data[[#This Row],[date]])</f>
        <v>2024</v>
      </c>
      <c r="I198" t="s">
        <v>64</v>
      </c>
    </row>
    <row r="199" spans="1:9" x14ac:dyDescent="0.25">
      <c r="A199">
        <v>197</v>
      </c>
      <c r="B199" s="1">
        <v>45332</v>
      </c>
      <c r="C199" t="s">
        <v>103</v>
      </c>
      <c r="D199">
        <v>260</v>
      </c>
      <c r="E199" t="s">
        <v>15</v>
      </c>
      <c r="F199" t="s">
        <v>13</v>
      </c>
      <c r="G199">
        <f>MONTH(cleaned_personal_finance_data[[#This Row],[date]])</f>
        <v>2</v>
      </c>
      <c r="H199">
        <f>YEAR(cleaned_personal_finance_data[[#This Row],[date]])</f>
        <v>2024</v>
      </c>
      <c r="I199" t="s">
        <v>329</v>
      </c>
    </row>
    <row r="200" spans="1:9" x14ac:dyDescent="0.25">
      <c r="A200">
        <v>198</v>
      </c>
      <c r="B200" s="1">
        <v>45334</v>
      </c>
      <c r="C200" t="s">
        <v>37</v>
      </c>
      <c r="D200">
        <v>48</v>
      </c>
      <c r="E200" t="s">
        <v>15</v>
      </c>
      <c r="F200" t="s">
        <v>13</v>
      </c>
      <c r="G200">
        <f>MONTH(cleaned_personal_finance_data[[#This Row],[date]])</f>
        <v>2</v>
      </c>
      <c r="H200">
        <f>YEAR(cleaned_personal_finance_data[[#This Row],[date]])</f>
        <v>2024</v>
      </c>
      <c r="I200" t="s">
        <v>47</v>
      </c>
    </row>
    <row r="201" spans="1:9" x14ac:dyDescent="0.25">
      <c r="A201">
        <v>199</v>
      </c>
      <c r="B201" s="1">
        <v>45337</v>
      </c>
      <c r="C201" t="s">
        <v>123</v>
      </c>
      <c r="D201">
        <v>25</v>
      </c>
      <c r="E201" t="s">
        <v>15</v>
      </c>
      <c r="F201" t="s">
        <v>13</v>
      </c>
      <c r="G201">
        <f>MONTH(cleaned_personal_finance_data[[#This Row],[date]])</f>
        <v>2</v>
      </c>
      <c r="H201">
        <f>YEAR(cleaned_personal_finance_data[[#This Row],[date]])</f>
        <v>2024</v>
      </c>
      <c r="I201" t="s">
        <v>43</v>
      </c>
    </row>
    <row r="202" spans="1:9" x14ac:dyDescent="0.25">
      <c r="A202">
        <v>200</v>
      </c>
      <c r="B202" s="1">
        <v>45337</v>
      </c>
      <c r="C202" t="s">
        <v>124</v>
      </c>
      <c r="D202">
        <v>180</v>
      </c>
      <c r="E202" t="s">
        <v>15</v>
      </c>
      <c r="F202" t="s">
        <v>13</v>
      </c>
      <c r="G202">
        <f>MONTH(cleaned_personal_finance_data[[#This Row],[date]])</f>
        <v>2</v>
      </c>
      <c r="H202">
        <f>YEAR(cleaned_personal_finance_data[[#This Row],[date]])</f>
        <v>2024</v>
      </c>
      <c r="I202" t="s">
        <v>124</v>
      </c>
    </row>
    <row r="203" spans="1:9" x14ac:dyDescent="0.25">
      <c r="A203">
        <v>201</v>
      </c>
      <c r="B203" s="1">
        <v>45337</v>
      </c>
      <c r="C203" t="s">
        <v>107</v>
      </c>
      <c r="D203">
        <v>68</v>
      </c>
      <c r="E203" t="s">
        <v>15</v>
      </c>
      <c r="F203" t="s">
        <v>13</v>
      </c>
      <c r="G203">
        <f>MONTH(cleaned_personal_finance_data[[#This Row],[date]])</f>
        <v>2</v>
      </c>
      <c r="H203">
        <f>YEAR(cleaned_personal_finance_data[[#This Row],[date]])</f>
        <v>2024</v>
      </c>
      <c r="I203" t="s">
        <v>107</v>
      </c>
    </row>
    <row r="204" spans="1:9" x14ac:dyDescent="0.25">
      <c r="A204">
        <v>202</v>
      </c>
      <c r="B204" s="1">
        <v>45337</v>
      </c>
      <c r="C204" t="s">
        <v>6</v>
      </c>
      <c r="D204">
        <v>12597</v>
      </c>
      <c r="E204" t="s">
        <v>7</v>
      </c>
      <c r="F204" t="s">
        <v>8</v>
      </c>
      <c r="G204">
        <f>MONTH(cleaned_personal_finance_data[[#This Row],[date]])</f>
        <v>2</v>
      </c>
      <c r="H204">
        <f>YEAR(cleaned_personal_finance_data[[#This Row],[date]])</f>
        <v>2024</v>
      </c>
      <c r="I204" t="s">
        <v>318</v>
      </c>
    </row>
    <row r="205" spans="1:9" x14ac:dyDescent="0.25">
      <c r="A205">
        <v>203</v>
      </c>
      <c r="B205" s="1">
        <v>45337</v>
      </c>
      <c r="C205" t="s">
        <v>18</v>
      </c>
      <c r="D205">
        <v>28</v>
      </c>
      <c r="E205" t="s">
        <v>15</v>
      </c>
      <c r="F205" t="s">
        <v>8</v>
      </c>
      <c r="G205">
        <f>MONTH(cleaned_personal_finance_data[[#This Row],[date]])</f>
        <v>2</v>
      </c>
      <c r="H205">
        <f>YEAR(cleaned_personal_finance_data[[#This Row],[date]])</f>
        <v>2024</v>
      </c>
      <c r="I205" t="s">
        <v>18</v>
      </c>
    </row>
    <row r="206" spans="1:9" x14ac:dyDescent="0.25">
      <c r="A206">
        <v>204</v>
      </c>
      <c r="B206" s="1">
        <v>45337</v>
      </c>
      <c r="C206" t="s">
        <v>125</v>
      </c>
      <c r="D206">
        <v>144</v>
      </c>
      <c r="E206" t="s">
        <v>15</v>
      </c>
      <c r="F206" t="s">
        <v>21</v>
      </c>
      <c r="G206">
        <f>MONTH(cleaned_personal_finance_data[[#This Row],[date]])</f>
        <v>2</v>
      </c>
      <c r="H206">
        <f>YEAR(cleaned_personal_finance_data[[#This Row],[date]])</f>
        <v>2024</v>
      </c>
      <c r="I206" t="s">
        <v>324</v>
      </c>
    </row>
    <row r="207" spans="1:9" x14ac:dyDescent="0.25">
      <c r="A207">
        <v>205</v>
      </c>
      <c r="B207" s="1">
        <v>45338</v>
      </c>
      <c r="C207" t="s">
        <v>107</v>
      </c>
      <c r="D207">
        <v>50</v>
      </c>
      <c r="E207" t="s">
        <v>15</v>
      </c>
      <c r="F207" t="s">
        <v>13</v>
      </c>
      <c r="G207">
        <f>MONTH(cleaned_personal_finance_data[[#This Row],[date]])</f>
        <v>2</v>
      </c>
      <c r="H207">
        <f>YEAR(cleaned_personal_finance_data[[#This Row],[date]])</f>
        <v>2024</v>
      </c>
      <c r="I207" t="s">
        <v>107</v>
      </c>
    </row>
    <row r="208" spans="1:9" x14ac:dyDescent="0.25">
      <c r="A208">
        <v>206</v>
      </c>
      <c r="B208" s="1">
        <v>45338</v>
      </c>
      <c r="C208" t="s">
        <v>64</v>
      </c>
      <c r="D208">
        <v>199</v>
      </c>
      <c r="E208" t="s">
        <v>15</v>
      </c>
      <c r="F208" t="s">
        <v>21</v>
      </c>
      <c r="G208">
        <f>MONTH(cleaned_personal_finance_data[[#This Row],[date]])</f>
        <v>2</v>
      </c>
      <c r="H208">
        <f>YEAR(cleaned_personal_finance_data[[#This Row],[date]])</f>
        <v>2024</v>
      </c>
      <c r="I208" t="s">
        <v>64</v>
      </c>
    </row>
    <row r="209" spans="1:9" x14ac:dyDescent="0.25">
      <c r="A209">
        <v>207</v>
      </c>
      <c r="B209" s="1">
        <v>45338</v>
      </c>
      <c r="C209" t="s">
        <v>126</v>
      </c>
      <c r="D209">
        <v>199</v>
      </c>
      <c r="E209" t="s">
        <v>15</v>
      </c>
      <c r="F209" t="s">
        <v>21</v>
      </c>
      <c r="G209">
        <f>MONTH(cleaned_personal_finance_data[[#This Row],[date]])</f>
        <v>2</v>
      </c>
      <c r="H209">
        <f>YEAR(cleaned_personal_finance_data[[#This Row],[date]])</f>
        <v>2024</v>
      </c>
      <c r="I209" t="s">
        <v>324</v>
      </c>
    </row>
    <row r="210" spans="1:9" x14ac:dyDescent="0.25">
      <c r="A210">
        <v>208</v>
      </c>
      <c r="B210" s="1">
        <v>45342</v>
      </c>
      <c r="C210" t="s">
        <v>127</v>
      </c>
      <c r="D210">
        <v>90</v>
      </c>
      <c r="E210" t="s">
        <v>15</v>
      </c>
      <c r="F210" t="s">
        <v>13</v>
      </c>
      <c r="G210">
        <f>MONTH(cleaned_personal_finance_data[[#This Row],[date]])</f>
        <v>2</v>
      </c>
      <c r="H210">
        <f>YEAR(cleaned_personal_finance_data[[#This Row],[date]])</f>
        <v>2024</v>
      </c>
      <c r="I210" t="s">
        <v>262</v>
      </c>
    </row>
    <row r="211" spans="1:9" x14ac:dyDescent="0.25">
      <c r="A211">
        <v>209</v>
      </c>
      <c r="B211" s="1">
        <v>45343</v>
      </c>
      <c r="C211" t="s">
        <v>35</v>
      </c>
      <c r="D211">
        <v>280</v>
      </c>
      <c r="E211" t="s">
        <v>15</v>
      </c>
      <c r="F211" t="s">
        <v>21</v>
      </c>
      <c r="G211">
        <f>MONTH(cleaned_personal_finance_data[[#This Row],[date]])</f>
        <v>2</v>
      </c>
      <c r="H211">
        <f>YEAR(cleaned_personal_finance_data[[#This Row],[date]])</f>
        <v>2024</v>
      </c>
      <c r="I211" t="s">
        <v>35</v>
      </c>
    </row>
    <row r="212" spans="1:9" x14ac:dyDescent="0.25">
      <c r="A212">
        <v>210</v>
      </c>
      <c r="B212" s="1">
        <v>45344</v>
      </c>
      <c r="C212" t="s">
        <v>28</v>
      </c>
      <c r="D212">
        <v>129</v>
      </c>
      <c r="E212" t="s">
        <v>15</v>
      </c>
      <c r="F212" t="s">
        <v>21</v>
      </c>
      <c r="G212">
        <f>MONTH(cleaned_personal_finance_data[[#This Row],[date]])</f>
        <v>2</v>
      </c>
      <c r="H212">
        <f>YEAR(cleaned_personal_finance_data[[#This Row],[date]])</f>
        <v>2024</v>
      </c>
      <c r="I212" t="s">
        <v>28</v>
      </c>
    </row>
    <row r="213" spans="1:9" x14ac:dyDescent="0.25">
      <c r="A213">
        <v>211</v>
      </c>
      <c r="B213" s="1">
        <v>45346</v>
      </c>
      <c r="C213" t="s">
        <v>37</v>
      </c>
      <c r="D213">
        <v>48</v>
      </c>
      <c r="E213" t="s">
        <v>15</v>
      </c>
      <c r="F213" t="s">
        <v>13</v>
      </c>
      <c r="G213">
        <f>MONTH(cleaned_personal_finance_data[[#This Row],[date]])</f>
        <v>2</v>
      </c>
      <c r="H213">
        <f>YEAR(cleaned_personal_finance_data[[#This Row],[date]])</f>
        <v>2024</v>
      </c>
      <c r="I213" t="s">
        <v>47</v>
      </c>
    </row>
    <row r="214" spans="1:9" x14ac:dyDescent="0.25">
      <c r="A214">
        <v>212</v>
      </c>
      <c r="B214" s="1">
        <v>45349</v>
      </c>
      <c r="C214" t="s">
        <v>51</v>
      </c>
      <c r="D214">
        <v>30</v>
      </c>
      <c r="E214" t="s">
        <v>15</v>
      </c>
      <c r="F214" t="s">
        <v>13</v>
      </c>
      <c r="G214">
        <f>MONTH(cleaned_personal_finance_data[[#This Row],[date]])</f>
        <v>2</v>
      </c>
      <c r="H214">
        <f>YEAR(cleaned_personal_finance_data[[#This Row],[date]])</f>
        <v>2024</v>
      </c>
      <c r="I214" t="s">
        <v>43</v>
      </c>
    </row>
    <row r="215" spans="1:9" x14ac:dyDescent="0.25">
      <c r="A215">
        <v>213</v>
      </c>
      <c r="B215" s="1">
        <v>45349</v>
      </c>
      <c r="C215" t="s">
        <v>54</v>
      </c>
      <c r="D215">
        <v>45</v>
      </c>
      <c r="E215" t="s">
        <v>15</v>
      </c>
      <c r="F215" t="s">
        <v>13</v>
      </c>
      <c r="G215">
        <f>MONTH(cleaned_personal_finance_data[[#This Row],[date]])</f>
        <v>2</v>
      </c>
      <c r="H215">
        <f>YEAR(cleaned_personal_finance_data[[#This Row],[date]])</f>
        <v>2024</v>
      </c>
      <c r="I215" t="s">
        <v>54</v>
      </c>
    </row>
    <row r="216" spans="1:9" x14ac:dyDescent="0.25">
      <c r="A216">
        <v>214</v>
      </c>
      <c r="B216" s="1">
        <v>45349</v>
      </c>
      <c r="C216" t="s">
        <v>80</v>
      </c>
      <c r="D216">
        <v>130</v>
      </c>
      <c r="E216" t="s">
        <v>15</v>
      </c>
      <c r="F216" t="s">
        <v>13</v>
      </c>
      <c r="G216">
        <f>MONTH(cleaned_personal_finance_data[[#This Row],[date]])</f>
        <v>2</v>
      </c>
      <c r="H216">
        <f>YEAR(cleaned_personal_finance_data[[#This Row],[date]])</f>
        <v>2024</v>
      </c>
      <c r="I216" t="s">
        <v>43</v>
      </c>
    </row>
    <row r="217" spans="1:9" x14ac:dyDescent="0.25">
      <c r="A217">
        <v>215</v>
      </c>
      <c r="B217" s="1">
        <v>45349</v>
      </c>
      <c r="C217" t="s">
        <v>128</v>
      </c>
      <c r="D217">
        <v>13</v>
      </c>
      <c r="E217" t="s">
        <v>15</v>
      </c>
      <c r="F217" t="s">
        <v>13</v>
      </c>
      <c r="G217">
        <f>MONTH(cleaned_personal_finance_data[[#This Row],[date]])</f>
        <v>2</v>
      </c>
      <c r="H217">
        <f>YEAR(cleaned_personal_finance_data[[#This Row],[date]])</f>
        <v>2024</v>
      </c>
      <c r="I217" t="s">
        <v>43</v>
      </c>
    </row>
    <row r="218" spans="1:9" x14ac:dyDescent="0.25">
      <c r="A218">
        <v>216</v>
      </c>
      <c r="B218" s="1">
        <v>45349</v>
      </c>
      <c r="C218" t="s">
        <v>129</v>
      </c>
      <c r="D218">
        <v>13</v>
      </c>
      <c r="E218" t="s">
        <v>15</v>
      </c>
      <c r="F218" t="s">
        <v>13</v>
      </c>
      <c r="G218">
        <f>MONTH(cleaned_personal_finance_data[[#This Row],[date]])</f>
        <v>2</v>
      </c>
      <c r="H218">
        <f>YEAR(cleaned_personal_finance_data[[#This Row],[date]])</f>
        <v>2024</v>
      </c>
      <c r="I218" t="s">
        <v>43</v>
      </c>
    </row>
    <row r="219" spans="1:9" x14ac:dyDescent="0.25">
      <c r="A219">
        <v>217</v>
      </c>
      <c r="B219" s="1">
        <v>45349</v>
      </c>
      <c r="C219" t="s">
        <v>106</v>
      </c>
      <c r="D219">
        <v>157</v>
      </c>
      <c r="E219" t="s">
        <v>15</v>
      </c>
      <c r="F219" t="s">
        <v>13</v>
      </c>
      <c r="G219">
        <f>MONTH(cleaned_personal_finance_data[[#This Row],[date]])</f>
        <v>2</v>
      </c>
      <c r="H219">
        <f>YEAR(cleaned_personal_finance_data[[#This Row],[date]])</f>
        <v>2024</v>
      </c>
      <c r="I219" t="s">
        <v>106</v>
      </c>
    </row>
    <row r="220" spans="1:9" x14ac:dyDescent="0.25">
      <c r="A220">
        <v>218</v>
      </c>
      <c r="B220" s="1">
        <v>45349</v>
      </c>
      <c r="C220" t="s">
        <v>130</v>
      </c>
      <c r="D220">
        <v>899</v>
      </c>
      <c r="E220" t="s">
        <v>15</v>
      </c>
      <c r="F220" t="s">
        <v>13</v>
      </c>
      <c r="G220">
        <f>MONTH(cleaned_personal_finance_data[[#This Row],[date]])</f>
        <v>2</v>
      </c>
      <c r="H220">
        <f>YEAR(cleaned_personal_finance_data[[#This Row],[date]])</f>
        <v>2024</v>
      </c>
      <c r="I220" t="s">
        <v>130</v>
      </c>
    </row>
    <row r="221" spans="1:9" x14ac:dyDescent="0.25">
      <c r="A221">
        <v>219</v>
      </c>
      <c r="B221" s="1">
        <v>45349</v>
      </c>
      <c r="C221" t="s">
        <v>61</v>
      </c>
      <c r="D221">
        <v>130</v>
      </c>
      <c r="E221" t="s">
        <v>15</v>
      </c>
      <c r="F221" t="s">
        <v>13</v>
      </c>
      <c r="G221">
        <f>MONTH(cleaned_personal_finance_data[[#This Row],[date]])</f>
        <v>2</v>
      </c>
      <c r="H221">
        <f>YEAR(cleaned_personal_finance_data[[#This Row],[date]])</f>
        <v>2024</v>
      </c>
      <c r="I221" t="s">
        <v>43</v>
      </c>
    </row>
    <row r="222" spans="1:9" x14ac:dyDescent="0.25">
      <c r="A222">
        <v>220</v>
      </c>
      <c r="B222" s="1">
        <v>45349</v>
      </c>
      <c r="C222" t="s">
        <v>76</v>
      </c>
      <c r="D222">
        <v>100</v>
      </c>
      <c r="E222" t="s">
        <v>15</v>
      </c>
      <c r="F222" t="s">
        <v>13</v>
      </c>
      <c r="G222">
        <f>MONTH(cleaned_personal_finance_data[[#This Row],[date]])</f>
        <v>2</v>
      </c>
      <c r="H222">
        <f>YEAR(cleaned_personal_finance_data[[#This Row],[date]])</f>
        <v>2024</v>
      </c>
      <c r="I222" t="s">
        <v>43</v>
      </c>
    </row>
    <row r="223" spans="1:9" x14ac:dyDescent="0.25">
      <c r="A223">
        <v>221</v>
      </c>
      <c r="B223" s="1">
        <v>45351</v>
      </c>
      <c r="C223" t="s">
        <v>131</v>
      </c>
      <c r="D223">
        <v>12598</v>
      </c>
      <c r="E223" t="s">
        <v>7</v>
      </c>
      <c r="F223" t="s">
        <v>8</v>
      </c>
      <c r="G223">
        <f>MONTH(cleaned_personal_finance_data[[#This Row],[date]])</f>
        <v>2</v>
      </c>
      <c r="H223">
        <f>YEAR(cleaned_personal_finance_data[[#This Row],[date]])</f>
        <v>2024</v>
      </c>
      <c r="I223" t="s">
        <v>318</v>
      </c>
    </row>
    <row r="224" spans="1:9" x14ac:dyDescent="0.25">
      <c r="A224">
        <v>222</v>
      </c>
      <c r="B224" s="1">
        <v>45353</v>
      </c>
      <c r="C224" t="s">
        <v>132</v>
      </c>
      <c r="D224">
        <v>20</v>
      </c>
      <c r="E224" t="s">
        <v>15</v>
      </c>
      <c r="F224" t="s">
        <v>13</v>
      </c>
      <c r="G224">
        <f>MONTH(cleaned_personal_finance_data[[#This Row],[date]])</f>
        <v>3</v>
      </c>
      <c r="H224">
        <f>YEAR(cleaned_personal_finance_data[[#This Row],[date]])</f>
        <v>2024</v>
      </c>
      <c r="I224" t="s">
        <v>262</v>
      </c>
    </row>
    <row r="225" spans="1:9" x14ac:dyDescent="0.25">
      <c r="A225">
        <v>223</v>
      </c>
      <c r="B225" s="1">
        <v>45353</v>
      </c>
      <c r="C225" t="s">
        <v>28</v>
      </c>
      <c r="D225">
        <v>125</v>
      </c>
      <c r="E225" t="s">
        <v>15</v>
      </c>
      <c r="F225" t="s">
        <v>21</v>
      </c>
      <c r="G225">
        <f>MONTH(cleaned_personal_finance_data[[#This Row],[date]])</f>
        <v>3</v>
      </c>
      <c r="H225">
        <f>YEAR(cleaned_personal_finance_data[[#This Row],[date]])</f>
        <v>2024</v>
      </c>
      <c r="I225" t="s">
        <v>28</v>
      </c>
    </row>
    <row r="226" spans="1:9" x14ac:dyDescent="0.25">
      <c r="A226">
        <v>224</v>
      </c>
      <c r="B226" s="1">
        <v>45354</v>
      </c>
      <c r="C226" t="s">
        <v>103</v>
      </c>
      <c r="D226">
        <v>260</v>
      </c>
      <c r="E226" t="s">
        <v>15</v>
      </c>
      <c r="F226" t="s">
        <v>13</v>
      </c>
      <c r="G226">
        <f>MONTH(cleaned_personal_finance_data[[#This Row],[date]])</f>
        <v>3</v>
      </c>
      <c r="H226">
        <f>YEAR(cleaned_personal_finance_data[[#This Row],[date]])</f>
        <v>2024</v>
      </c>
      <c r="I226" t="s">
        <v>329</v>
      </c>
    </row>
    <row r="227" spans="1:9" x14ac:dyDescent="0.25">
      <c r="A227">
        <v>225</v>
      </c>
      <c r="B227" s="1">
        <v>45354</v>
      </c>
      <c r="C227" t="s">
        <v>133</v>
      </c>
      <c r="D227">
        <v>2560</v>
      </c>
      <c r="E227" t="s">
        <v>15</v>
      </c>
      <c r="F227" t="s">
        <v>13</v>
      </c>
      <c r="G227">
        <f>MONTH(cleaned_personal_finance_data[[#This Row],[date]])</f>
        <v>3</v>
      </c>
      <c r="H227">
        <f>YEAR(cleaned_personal_finance_data[[#This Row],[date]])</f>
        <v>2024</v>
      </c>
      <c r="I227" t="s">
        <v>159</v>
      </c>
    </row>
    <row r="228" spans="1:9" x14ac:dyDescent="0.25">
      <c r="A228">
        <v>226</v>
      </c>
      <c r="B228" s="1">
        <v>45354</v>
      </c>
      <c r="C228" t="s">
        <v>134</v>
      </c>
      <c r="D228">
        <v>5000</v>
      </c>
      <c r="E228" t="s">
        <v>15</v>
      </c>
      <c r="F228" t="s">
        <v>13</v>
      </c>
      <c r="G228">
        <f>MONTH(cleaned_personal_finance_data[[#This Row],[date]])</f>
        <v>3</v>
      </c>
      <c r="H228">
        <f>YEAR(cleaned_personal_finance_data[[#This Row],[date]])</f>
        <v>2024</v>
      </c>
      <c r="I228" t="s">
        <v>145</v>
      </c>
    </row>
    <row r="229" spans="1:9" x14ac:dyDescent="0.25">
      <c r="A229">
        <v>227</v>
      </c>
      <c r="B229" s="1">
        <v>45354</v>
      </c>
      <c r="C229" t="s">
        <v>38</v>
      </c>
      <c r="D229">
        <v>1500</v>
      </c>
      <c r="E229" t="s">
        <v>15</v>
      </c>
      <c r="F229" t="s">
        <v>13</v>
      </c>
      <c r="G229">
        <f>MONTH(cleaned_personal_finance_data[[#This Row],[date]])</f>
        <v>3</v>
      </c>
      <c r="H229">
        <f>YEAR(cleaned_personal_finance_data[[#This Row],[date]])</f>
        <v>2024</v>
      </c>
      <c r="I229" t="s">
        <v>38</v>
      </c>
    </row>
    <row r="230" spans="1:9" x14ac:dyDescent="0.25">
      <c r="A230">
        <v>228</v>
      </c>
      <c r="B230" s="1">
        <v>45354</v>
      </c>
      <c r="C230" t="s">
        <v>135</v>
      </c>
      <c r="D230">
        <v>30</v>
      </c>
      <c r="E230" t="s">
        <v>15</v>
      </c>
      <c r="F230" t="s">
        <v>13</v>
      </c>
      <c r="G230">
        <f>MONTH(cleaned_personal_finance_data[[#This Row],[date]])</f>
        <v>3</v>
      </c>
      <c r="H230">
        <f>YEAR(cleaned_personal_finance_data[[#This Row],[date]])</f>
        <v>2024</v>
      </c>
      <c r="I230" t="s">
        <v>135</v>
      </c>
    </row>
    <row r="231" spans="1:9" x14ac:dyDescent="0.25">
      <c r="A231">
        <v>229</v>
      </c>
      <c r="B231" s="1">
        <v>45356</v>
      </c>
      <c r="C231" t="s">
        <v>37</v>
      </c>
      <c r="D231">
        <v>48</v>
      </c>
      <c r="E231" t="s">
        <v>15</v>
      </c>
      <c r="F231" t="s">
        <v>13</v>
      </c>
      <c r="G231">
        <f>MONTH(cleaned_personal_finance_data[[#This Row],[date]])</f>
        <v>3</v>
      </c>
      <c r="H231">
        <f>YEAR(cleaned_personal_finance_data[[#This Row],[date]])</f>
        <v>2024</v>
      </c>
      <c r="I231" t="s">
        <v>47</v>
      </c>
    </row>
    <row r="232" spans="1:9" x14ac:dyDescent="0.25">
      <c r="A232">
        <v>230</v>
      </c>
      <c r="B232" s="1">
        <v>45356</v>
      </c>
      <c r="C232" t="s">
        <v>28</v>
      </c>
      <c r="D232">
        <v>50</v>
      </c>
      <c r="E232" t="s">
        <v>15</v>
      </c>
      <c r="F232" t="s">
        <v>21</v>
      </c>
      <c r="G232">
        <f>MONTH(cleaned_personal_finance_data[[#This Row],[date]])</f>
        <v>3</v>
      </c>
      <c r="H232">
        <f>YEAR(cleaned_personal_finance_data[[#This Row],[date]])</f>
        <v>2024</v>
      </c>
      <c r="I232" t="s">
        <v>28</v>
      </c>
    </row>
    <row r="233" spans="1:9" x14ac:dyDescent="0.25">
      <c r="A233">
        <v>231</v>
      </c>
      <c r="B233" s="1">
        <v>45356</v>
      </c>
      <c r="C233" t="s">
        <v>28</v>
      </c>
      <c r="D233">
        <v>125</v>
      </c>
      <c r="E233" t="s">
        <v>15</v>
      </c>
      <c r="F233" t="s">
        <v>21</v>
      </c>
      <c r="G233">
        <f>MONTH(cleaned_personal_finance_data[[#This Row],[date]])</f>
        <v>3</v>
      </c>
      <c r="H233">
        <f>YEAR(cleaned_personal_finance_data[[#This Row],[date]])</f>
        <v>2024</v>
      </c>
      <c r="I233" t="s">
        <v>28</v>
      </c>
    </row>
    <row r="234" spans="1:9" x14ac:dyDescent="0.25">
      <c r="A234">
        <v>232</v>
      </c>
      <c r="B234" s="1">
        <v>45357</v>
      </c>
      <c r="C234" t="s">
        <v>24</v>
      </c>
      <c r="D234">
        <v>239</v>
      </c>
      <c r="E234" t="s">
        <v>15</v>
      </c>
      <c r="F234" t="s">
        <v>21</v>
      </c>
      <c r="G234">
        <f>MONTH(cleaned_personal_finance_data[[#This Row],[date]])</f>
        <v>3</v>
      </c>
      <c r="H234">
        <f>YEAR(cleaned_personal_finance_data[[#This Row],[date]])</f>
        <v>2024</v>
      </c>
      <c r="I234" t="s">
        <v>24</v>
      </c>
    </row>
    <row r="235" spans="1:9" x14ac:dyDescent="0.25">
      <c r="A235">
        <v>233</v>
      </c>
      <c r="B235" s="1">
        <v>45361</v>
      </c>
      <c r="C235" t="s">
        <v>136</v>
      </c>
      <c r="D235">
        <v>19900</v>
      </c>
      <c r="E235" t="s">
        <v>10</v>
      </c>
      <c r="F235" t="s">
        <v>8</v>
      </c>
      <c r="G235">
        <f>MONTH(cleaned_personal_finance_data[[#This Row],[date]])</f>
        <v>3</v>
      </c>
      <c r="H235">
        <f>YEAR(cleaned_personal_finance_data[[#This Row],[date]])</f>
        <v>2024</v>
      </c>
      <c r="I235" t="s">
        <v>136</v>
      </c>
    </row>
    <row r="236" spans="1:9" x14ac:dyDescent="0.25">
      <c r="A236">
        <v>234</v>
      </c>
      <c r="B236" s="1">
        <v>45361</v>
      </c>
      <c r="C236" t="s">
        <v>137</v>
      </c>
      <c r="D236">
        <v>36</v>
      </c>
      <c r="E236" t="s">
        <v>15</v>
      </c>
      <c r="F236" t="s">
        <v>8</v>
      </c>
      <c r="G236">
        <f>MONTH(cleaned_personal_finance_data[[#This Row],[date]])</f>
        <v>3</v>
      </c>
      <c r="H236">
        <f>YEAR(cleaned_personal_finance_data[[#This Row],[date]])</f>
        <v>2024</v>
      </c>
      <c r="I236" t="s">
        <v>137</v>
      </c>
    </row>
    <row r="237" spans="1:9" x14ac:dyDescent="0.25">
      <c r="A237">
        <v>235</v>
      </c>
      <c r="B237" s="1">
        <v>45361</v>
      </c>
      <c r="C237" t="s">
        <v>138</v>
      </c>
      <c r="D237">
        <v>7000</v>
      </c>
      <c r="E237" t="s">
        <v>15</v>
      </c>
      <c r="F237" t="s">
        <v>13</v>
      </c>
      <c r="G237">
        <f>MONTH(cleaned_personal_finance_data[[#This Row],[date]])</f>
        <v>3</v>
      </c>
      <c r="H237">
        <f>YEAR(cleaned_personal_finance_data[[#This Row],[date]])</f>
        <v>2024</v>
      </c>
      <c r="I237" t="s">
        <v>138</v>
      </c>
    </row>
    <row r="238" spans="1:9" x14ac:dyDescent="0.25">
      <c r="A238">
        <v>236</v>
      </c>
      <c r="B238" s="1">
        <v>45365</v>
      </c>
      <c r="C238" t="s">
        <v>131</v>
      </c>
      <c r="D238">
        <v>12579</v>
      </c>
      <c r="E238" t="s">
        <v>7</v>
      </c>
      <c r="F238" t="s">
        <v>8</v>
      </c>
      <c r="G238">
        <f>MONTH(cleaned_personal_finance_data[[#This Row],[date]])</f>
        <v>3</v>
      </c>
      <c r="H238">
        <f>YEAR(cleaned_personal_finance_data[[#This Row],[date]])</f>
        <v>2024</v>
      </c>
      <c r="I238" t="s">
        <v>318</v>
      </c>
    </row>
    <row r="239" spans="1:9" x14ac:dyDescent="0.25">
      <c r="A239">
        <v>237</v>
      </c>
      <c r="B239" s="1">
        <v>45365</v>
      </c>
      <c r="C239" t="s">
        <v>50</v>
      </c>
      <c r="D239">
        <v>599</v>
      </c>
      <c r="E239" t="s">
        <v>15</v>
      </c>
      <c r="F239" t="s">
        <v>21</v>
      </c>
      <c r="G239">
        <f>MONTH(cleaned_personal_finance_data[[#This Row],[date]])</f>
        <v>3</v>
      </c>
      <c r="H239">
        <f>YEAR(cleaned_personal_finance_data[[#This Row],[date]])</f>
        <v>2024</v>
      </c>
      <c r="I239" t="s">
        <v>50</v>
      </c>
    </row>
    <row r="240" spans="1:9" x14ac:dyDescent="0.25">
      <c r="A240">
        <v>238</v>
      </c>
      <c r="B240" s="1">
        <v>45369</v>
      </c>
      <c r="C240" t="s">
        <v>25</v>
      </c>
      <c r="D240">
        <v>30</v>
      </c>
      <c r="E240" t="s">
        <v>15</v>
      </c>
      <c r="F240" t="s">
        <v>13</v>
      </c>
      <c r="G240">
        <f>MONTH(cleaned_personal_finance_data[[#This Row],[date]])</f>
        <v>3</v>
      </c>
      <c r="H240">
        <f>YEAR(cleaned_personal_finance_data[[#This Row],[date]])</f>
        <v>2024</v>
      </c>
      <c r="I240" t="s">
        <v>25</v>
      </c>
    </row>
    <row r="241" spans="1:9" x14ac:dyDescent="0.25">
      <c r="A241">
        <v>239</v>
      </c>
      <c r="B241" s="1">
        <v>45373</v>
      </c>
      <c r="C241" t="s">
        <v>34</v>
      </c>
      <c r="D241">
        <v>129</v>
      </c>
      <c r="E241" t="s">
        <v>15</v>
      </c>
      <c r="F241" t="s">
        <v>21</v>
      </c>
      <c r="G241">
        <f>MONTH(cleaned_personal_finance_data[[#This Row],[date]])</f>
        <v>3</v>
      </c>
      <c r="H241">
        <f>YEAR(cleaned_personal_finance_data[[#This Row],[date]])</f>
        <v>2024</v>
      </c>
      <c r="I241" t="s">
        <v>34</v>
      </c>
    </row>
    <row r="242" spans="1:9" x14ac:dyDescent="0.25">
      <c r="A242">
        <v>240</v>
      </c>
      <c r="B242" s="1">
        <v>45374</v>
      </c>
      <c r="C242" t="s">
        <v>20</v>
      </c>
      <c r="D242">
        <v>3000</v>
      </c>
      <c r="E242" t="s">
        <v>10</v>
      </c>
      <c r="F242" t="s">
        <v>13</v>
      </c>
      <c r="G242">
        <f>MONTH(cleaned_personal_finance_data[[#This Row],[date]])</f>
        <v>3</v>
      </c>
      <c r="H242">
        <f>YEAR(cleaned_personal_finance_data[[#This Row],[date]])</f>
        <v>2024</v>
      </c>
      <c r="I242" t="s">
        <v>20</v>
      </c>
    </row>
    <row r="243" spans="1:9" x14ac:dyDescent="0.25">
      <c r="A243">
        <v>241</v>
      </c>
      <c r="B243" s="1">
        <v>45374</v>
      </c>
      <c r="C243" t="s">
        <v>20</v>
      </c>
      <c r="D243">
        <v>3000</v>
      </c>
      <c r="E243" t="s">
        <v>12</v>
      </c>
      <c r="F243" t="s">
        <v>21</v>
      </c>
      <c r="G243">
        <f>MONTH(cleaned_personal_finance_data[[#This Row],[date]])</f>
        <v>3</v>
      </c>
      <c r="H243">
        <f>YEAR(cleaned_personal_finance_data[[#This Row],[date]])</f>
        <v>2024</v>
      </c>
      <c r="I243" t="s">
        <v>20</v>
      </c>
    </row>
    <row r="244" spans="1:9" x14ac:dyDescent="0.25">
      <c r="A244">
        <v>242</v>
      </c>
      <c r="B244" s="1">
        <v>45374</v>
      </c>
      <c r="C244" t="s">
        <v>35</v>
      </c>
      <c r="D244">
        <v>280</v>
      </c>
      <c r="E244" t="s">
        <v>15</v>
      </c>
      <c r="F244" t="s">
        <v>21</v>
      </c>
      <c r="G244">
        <f>MONTH(cleaned_personal_finance_data[[#This Row],[date]])</f>
        <v>3</v>
      </c>
      <c r="H244">
        <f>YEAR(cleaned_personal_finance_data[[#This Row],[date]])</f>
        <v>2024</v>
      </c>
      <c r="I244" t="s">
        <v>35</v>
      </c>
    </row>
    <row r="245" spans="1:9" x14ac:dyDescent="0.25">
      <c r="A245">
        <v>243</v>
      </c>
      <c r="B245" s="1">
        <v>45378</v>
      </c>
      <c r="C245" t="s">
        <v>139</v>
      </c>
      <c r="D245">
        <v>25</v>
      </c>
      <c r="E245" t="s">
        <v>15</v>
      </c>
      <c r="F245" t="s">
        <v>13</v>
      </c>
      <c r="G245">
        <f>MONTH(cleaned_personal_finance_data[[#This Row],[date]])</f>
        <v>3</v>
      </c>
      <c r="H245">
        <f>YEAR(cleaned_personal_finance_data[[#This Row],[date]])</f>
        <v>2024</v>
      </c>
      <c r="I245" t="s">
        <v>139</v>
      </c>
    </row>
    <row r="246" spans="1:9" x14ac:dyDescent="0.25">
      <c r="A246">
        <v>244</v>
      </c>
      <c r="B246" s="1">
        <v>45378</v>
      </c>
      <c r="C246" t="s">
        <v>127</v>
      </c>
      <c r="D246">
        <v>90</v>
      </c>
      <c r="E246" t="s">
        <v>15</v>
      </c>
      <c r="F246" t="s">
        <v>13</v>
      </c>
      <c r="G246">
        <f>MONTH(cleaned_personal_finance_data[[#This Row],[date]])</f>
        <v>3</v>
      </c>
      <c r="H246">
        <f>YEAR(cleaned_personal_finance_data[[#This Row],[date]])</f>
        <v>2024</v>
      </c>
      <c r="I246" t="s">
        <v>262</v>
      </c>
    </row>
    <row r="247" spans="1:9" x14ac:dyDescent="0.25">
      <c r="A247">
        <v>245</v>
      </c>
      <c r="B247" s="1">
        <v>45378</v>
      </c>
      <c r="C247" t="s">
        <v>18</v>
      </c>
      <c r="D247">
        <v>56</v>
      </c>
      <c r="E247" t="s">
        <v>15</v>
      </c>
      <c r="F247" t="s">
        <v>13</v>
      </c>
      <c r="G247">
        <f>MONTH(cleaned_personal_finance_data[[#This Row],[date]])</f>
        <v>3</v>
      </c>
      <c r="H247">
        <f>YEAR(cleaned_personal_finance_data[[#This Row],[date]])</f>
        <v>2024</v>
      </c>
      <c r="I247" t="s">
        <v>18</v>
      </c>
    </row>
    <row r="248" spans="1:9" x14ac:dyDescent="0.25">
      <c r="A248">
        <v>246</v>
      </c>
      <c r="B248" s="1">
        <v>45378</v>
      </c>
      <c r="C248" t="s">
        <v>131</v>
      </c>
      <c r="D248">
        <v>12616</v>
      </c>
      <c r="E248" t="s">
        <v>7</v>
      </c>
      <c r="F248" t="s">
        <v>8</v>
      </c>
      <c r="G248">
        <f>MONTH(cleaned_personal_finance_data[[#This Row],[date]])</f>
        <v>3</v>
      </c>
      <c r="H248">
        <f>YEAR(cleaned_personal_finance_data[[#This Row],[date]])</f>
        <v>2024</v>
      </c>
      <c r="I248" t="s">
        <v>318</v>
      </c>
    </row>
    <row r="249" spans="1:9" x14ac:dyDescent="0.25">
      <c r="A249">
        <v>247</v>
      </c>
      <c r="B249" s="1">
        <v>45378</v>
      </c>
      <c r="C249" t="s">
        <v>64</v>
      </c>
      <c r="D249">
        <v>199</v>
      </c>
      <c r="E249" t="s">
        <v>15</v>
      </c>
      <c r="F249" t="s">
        <v>21</v>
      </c>
      <c r="G249">
        <f>MONTH(cleaned_personal_finance_data[[#This Row],[date]])</f>
        <v>3</v>
      </c>
      <c r="H249">
        <f>YEAR(cleaned_personal_finance_data[[#This Row],[date]])</f>
        <v>2024</v>
      </c>
      <c r="I249" t="s">
        <v>64</v>
      </c>
    </row>
    <row r="250" spans="1:9" x14ac:dyDescent="0.25">
      <c r="A250">
        <v>248</v>
      </c>
      <c r="B250" s="1">
        <v>45381</v>
      </c>
      <c r="C250" t="s">
        <v>140</v>
      </c>
      <c r="D250">
        <v>200</v>
      </c>
      <c r="E250" t="s">
        <v>15</v>
      </c>
      <c r="F250" t="s">
        <v>13</v>
      </c>
      <c r="G250">
        <f>MONTH(cleaned_personal_finance_data[[#This Row],[date]])</f>
        <v>3</v>
      </c>
      <c r="H250">
        <f>YEAR(cleaned_personal_finance_data[[#This Row],[date]])</f>
        <v>2024</v>
      </c>
      <c r="I250" t="s">
        <v>140</v>
      </c>
    </row>
    <row r="251" spans="1:9" x14ac:dyDescent="0.25">
      <c r="A251">
        <v>249</v>
      </c>
      <c r="B251" s="1">
        <v>45381</v>
      </c>
      <c r="C251" t="s">
        <v>141</v>
      </c>
      <c r="D251">
        <v>50</v>
      </c>
      <c r="E251" t="s">
        <v>15</v>
      </c>
      <c r="F251" t="s">
        <v>13</v>
      </c>
      <c r="G251">
        <f>MONTH(cleaned_personal_finance_data[[#This Row],[date]])</f>
        <v>3</v>
      </c>
      <c r="H251">
        <f>YEAR(cleaned_personal_finance_data[[#This Row],[date]])</f>
        <v>2024</v>
      </c>
      <c r="I251" t="s">
        <v>141</v>
      </c>
    </row>
    <row r="252" spans="1:9" x14ac:dyDescent="0.25">
      <c r="A252">
        <v>250</v>
      </c>
      <c r="B252" s="1">
        <v>45382</v>
      </c>
      <c r="C252" t="s">
        <v>142</v>
      </c>
      <c r="D252">
        <v>8</v>
      </c>
      <c r="E252" t="s">
        <v>15</v>
      </c>
      <c r="F252" t="s">
        <v>13</v>
      </c>
      <c r="G252">
        <f>MONTH(cleaned_personal_finance_data[[#This Row],[date]])</f>
        <v>3</v>
      </c>
      <c r="H252">
        <f>YEAR(cleaned_personal_finance_data[[#This Row],[date]])</f>
        <v>2024</v>
      </c>
      <c r="I252" t="s">
        <v>237</v>
      </c>
    </row>
    <row r="253" spans="1:9" x14ac:dyDescent="0.25">
      <c r="A253">
        <v>251</v>
      </c>
      <c r="B253" s="1">
        <v>45382</v>
      </c>
      <c r="C253" t="s">
        <v>36</v>
      </c>
      <c r="D253">
        <v>130</v>
      </c>
      <c r="E253" t="s">
        <v>15</v>
      </c>
      <c r="F253" t="s">
        <v>13</v>
      </c>
      <c r="G253">
        <f>MONTH(cleaned_personal_finance_data[[#This Row],[date]])</f>
        <v>3</v>
      </c>
      <c r="H253">
        <f>YEAR(cleaned_personal_finance_data[[#This Row],[date]])</f>
        <v>2024</v>
      </c>
      <c r="I253" t="s">
        <v>329</v>
      </c>
    </row>
    <row r="254" spans="1:9" x14ac:dyDescent="0.25">
      <c r="A254">
        <v>252</v>
      </c>
      <c r="B254" s="1">
        <v>45384</v>
      </c>
      <c r="C254" t="s">
        <v>38</v>
      </c>
      <c r="D254">
        <v>1500</v>
      </c>
      <c r="E254" t="s">
        <v>15</v>
      </c>
      <c r="F254" t="s">
        <v>13</v>
      </c>
      <c r="G254">
        <f>MONTH(cleaned_personal_finance_data[[#This Row],[date]])</f>
        <v>4</v>
      </c>
      <c r="H254">
        <f>YEAR(cleaned_personal_finance_data[[#This Row],[date]])</f>
        <v>2024</v>
      </c>
      <c r="I254" t="s">
        <v>38</v>
      </c>
    </row>
    <row r="255" spans="1:9" x14ac:dyDescent="0.25">
      <c r="A255">
        <v>253</v>
      </c>
      <c r="B255" s="1">
        <v>45384</v>
      </c>
      <c r="C255" t="s">
        <v>28</v>
      </c>
      <c r="D255">
        <v>50</v>
      </c>
      <c r="E255" t="s">
        <v>15</v>
      </c>
      <c r="F255" t="s">
        <v>21</v>
      </c>
      <c r="G255">
        <f>MONTH(cleaned_personal_finance_data[[#This Row],[date]])</f>
        <v>4</v>
      </c>
      <c r="H255">
        <f>YEAR(cleaned_personal_finance_data[[#This Row],[date]])</f>
        <v>2024</v>
      </c>
      <c r="I255" t="s">
        <v>28</v>
      </c>
    </row>
    <row r="256" spans="1:9" x14ac:dyDescent="0.25">
      <c r="A256">
        <v>254</v>
      </c>
      <c r="B256" s="1">
        <v>45387</v>
      </c>
      <c r="C256" t="s">
        <v>28</v>
      </c>
      <c r="D256">
        <v>125</v>
      </c>
      <c r="E256" t="s">
        <v>15</v>
      </c>
      <c r="F256" t="s">
        <v>21</v>
      </c>
      <c r="G256">
        <f>MONTH(cleaned_personal_finance_data[[#This Row],[date]])</f>
        <v>4</v>
      </c>
      <c r="H256">
        <f>YEAR(cleaned_personal_finance_data[[#This Row],[date]])</f>
        <v>2024</v>
      </c>
      <c r="I256" t="s">
        <v>28</v>
      </c>
    </row>
    <row r="257" spans="1:9" x14ac:dyDescent="0.25">
      <c r="A257">
        <v>255</v>
      </c>
      <c r="B257" s="1">
        <v>45387</v>
      </c>
      <c r="C257" t="s">
        <v>143</v>
      </c>
      <c r="D257">
        <v>40</v>
      </c>
      <c r="E257" t="s">
        <v>15</v>
      </c>
      <c r="F257" t="s">
        <v>13</v>
      </c>
      <c r="G257">
        <f>MONTH(cleaned_personal_finance_data[[#This Row],[date]])</f>
        <v>4</v>
      </c>
      <c r="H257">
        <f>YEAR(cleaned_personal_finance_data[[#This Row],[date]])</f>
        <v>2024</v>
      </c>
      <c r="I257" t="s">
        <v>143</v>
      </c>
    </row>
    <row r="258" spans="1:9" x14ac:dyDescent="0.25">
      <c r="A258">
        <v>256</v>
      </c>
      <c r="B258" s="1">
        <v>45388</v>
      </c>
      <c r="C258" t="s">
        <v>24</v>
      </c>
      <c r="D258">
        <v>239</v>
      </c>
      <c r="E258" t="s">
        <v>15</v>
      </c>
      <c r="F258" t="s">
        <v>21</v>
      </c>
      <c r="G258">
        <f>MONTH(cleaned_personal_finance_data[[#This Row],[date]])</f>
        <v>4</v>
      </c>
      <c r="H258">
        <f>YEAR(cleaned_personal_finance_data[[#This Row],[date]])</f>
        <v>2024</v>
      </c>
      <c r="I258" t="s">
        <v>24</v>
      </c>
    </row>
    <row r="259" spans="1:9" x14ac:dyDescent="0.25">
      <c r="A259">
        <v>257</v>
      </c>
      <c r="B259" s="1">
        <v>45389</v>
      </c>
      <c r="C259" t="s">
        <v>144</v>
      </c>
      <c r="D259">
        <v>2560</v>
      </c>
      <c r="E259" t="s">
        <v>15</v>
      </c>
      <c r="F259" t="s">
        <v>13</v>
      </c>
      <c r="G259">
        <f>MONTH(cleaned_personal_finance_data[[#This Row],[date]])</f>
        <v>4</v>
      </c>
      <c r="H259">
        <f>YEAR(cleaned_personal_finance_data[[#This Row],[date]])</f>
        <v>2024</v>
      </c>
      <c r="I259" t="s">
        <v>159</v>
      </c>
    </row>
    <row r="260" spans="1:9" x14ac:dyDescent="0.25">
      <c r="A260">
        <v>258</v>
      </c>
      <c r="B260" s="1">
        <v>45389</v>
      </c>
      <c r="C260" t="s">
        <v>145</v>
      </c>
      <c r="D260">
        <v>5000</v>
      </c>
      <c r="E260" t="s">
        <v>15</v>
      </c>
      <c r="F260" t="s">
        <v>13</v>
      </c>
      <c r="G260">
        <f>MONTH(cleaned_personal_finance_data[[#This Row],[date]])</f>
        <v>4</v>
      </c>
      <c r="H260">
        <f>YEAR(cleaned_personal_finance_data[[#This Row],[date]])</f>
        <v>2024</v>
      </c>
      <c r="I260" t="s">
        <v>145</v>
      </c>
    </row>
    <row r="261" spans="1:9" x14ac:dyDescent="0.25">
      <c r="A261">
        <v>259</v>
      </c>
      <c r="B261" s="1">
        <v>45391</v>
      </c>
      <c r="C261" t="s">
        <v>146</v>
      </c>
      <c r="D261">
        <v>50</v>
      </c>
      <c r="E261" t="s">
        <v>15</v>
      </c>
      <c r="F261" t="s">
        <v>13</v>
      </c>
      <c r="G261">
        <f>MONTH(cleaned_personal_finance_data[[#This Row],[date]])</f>
        <v>4</v>
      </c>
      <c r="H261">
        <f>YEAR(cleaned_personal_finance_data[[#This Row],[date]])</f>
        <v>2024</v>
      </c>
      <c r="I261" t="s">
        <v>146</v>
      </c>
    </row>
    <row r="262" spans="1:9" x14ac:dyDescent="0.25">
      <c r="A262">
        <v>260</v>
      </c>
      <c r="B262" s="1">
        <v>45391</v>
      </c>
      <c r="C262" t="s">
        <v>136</v>
      </c>
      <c r="D262">
        <v>12995</v>
      </c>
      <c r="E262" t="s">
        <v>10</v>
      </c>
      <c r="F262" t="s">
        <v>8</v>
      </c>
      <c r="G262">
        <f>MONTH(cleaned_personal_finance_data[[#This Row],[date]])</f>
        <v>4</v>
      </c>
      <c r="H262">
        <f>YEAR(cleaned_personal_finance_data[[#This Row],[date]])</f>
        <v>2024</v>
      </c>
      <c r="I262" t="s">
        <v>136</v>
      </c>
    </row>
    <row r="263" spans="1:9" x14ac:dyDescent="0.25">
      <c r="A263">
        <v>261</v>
      </c>
      <c r="B263" s="1">
        <v>45391</v>
      </c>
      <c r="C263" t="s">
        <v>137</v>
      </c>
      <c r="D263">
        <v>100</v>
      </c>
      <c r="E263" t="s">
        <v>15</v>
      </c>
      <c r="F263" t="s">
        <v>13</v>
      </c>
      <c r="G263">
        <f>MONTH(cleaned_personal_finance_data[[#This Row],[date]])</f>
        <v>4</v>
      </c>
      <c r="H263">
        <f>YEAR(cleaned_personal_finance_data[[#This Row],[date]])</f>
        <v>2024</v>
      </c>
      <c r="I263" t="s">
        <v>137</v>
      </c>
    </row>
    <row r="264" spans="1:9" x14ac:dyDescent="0.25">
      <c r="A264">
        <v>262</v>
      </c>
      <c r="B264" s="1">
        <v>45391</v>
      </c>
      <c r="C264" t="s">
        <v>147</v>
      </c>
      <c r="D264">
        <v>6000</v>
      </c>
      <c r="E264" t="s">
        <v>7</v>
      </c>
      <c r="F264" t="s">
        <v>8</v>
      </c>
      <c r="G264">
        <f>MONTH(cleaned_personal_finance_data[[#This Row],[date]])</f>
        <v>4</v>
      </c>
      <c r="H264">
        <f>YEAR(cleaned_personal_finance_data[[#This Row],[date]])</f>
        <v>2024</v>
      </c>
      <c r="I264" t="s">
        <v>147</v>
      </c>
    </row>
    <row r="265" spans="1:9" x14ac:dyDescent="0.25">
      <c r="A265">
        <v>263</v>
      </c>
      <c r="B265" s="1">
        <v>45392</v>
      </c>
      <c r="C265" t="s">
        <v>127</v>
      </c>
      <c r="D265">
        <v>80</v>
      </c>
      <c r="E265" t="s">
        <v>15</v>
      </c>
      <c r="F265" t="s">
        <v>13</v>
      </c>
      <c r="G265">
        <f>MONTH(cleaned_personal_finance_data[[#This Row],[date]])</f>
        <v>4</v>
      </c>
      <c r="H265">
        <f>YEAR(cleaned_personal_finance_data[[#This Row],[date]])</f>
        <v>2024</v>
      </c>
      <c r="I265" t="s">
        <v>262</v>
      </c>
    </row>
    <row r="266" spans="1:9" x14ac:dyDescent="0.25">
      <c r="A266">
        <v>264</v>
      </c>
      <c r="B266" s="1">
        <v>45397</v>
      </c>
      <c r="C266" t="s">
        <v>131</v>
      </c>
      <c r="D266">
        <v>13615</v>
      </c>
      <c r="E266" t="s">
        <v>7</v>
      </c>
      <c r="F266" t="s">
        <v>8</v>
      </c>
      <c r="G266">
        <f>MONTH(cleaned_personal_finance_data[[#This Row],[date]])</f>
        <v>4</v>
      </c>
      <c r="H266">
        <f>YEAR(cleaned_personal_finance_data[[#This Row],[date]])</f>
        <v>2024</v>
      </c>
      <c r="I266" t="s">
        <v>318</v>
      </c>
    </row>
    <row r="267" spans="1:9" x14ac:dyDescent="0.25">
      <c r="A267">
        <v>265</v>
      </c>
      <c r="B267" s="1">
        <v>45398</v>
      </c>
      <c r="C267" t="s">
        <v>36</v>
      </c>
      <c r="D267">
        <v>130</v>
      </c>
      <c r="E267" t="s">
        <v>15</v>
      </c>
      <c r="F267" t="s">
        <v>13</v>
      </c>
      <c r="G267">
        <f>MONTH(cleaned_personal_finance_data[[#This Row],[date]])</f>
        <v>4</v>
      </c>
      <c r="H267">
        <f>YEAR(cleaned_personal_finance_data[[#This Row],[date]])</f>
        <v>2024</v>
      </c>
      <c r="I267" t="s">
        <v>329</v>
      </c>
    </row>
    <row r="268" spans="1:9" x14ac:dyDescent="0.25">
      <c r="A268">
        <v>266</v>
      </c>
      <c r="B268" s="1">
        <v>45398</v>
      </c>
      <c r="C268" t="s">
        <v>148</v>
      </c>
      <c r="D268">
        <v>43</v>
      </c>
      <c r="E268" t="s">
        <v>15</v>
      </c>
      <c r="F268" t="s">
        <v>13</v>
      </c>
      <c r="G268">
        <f>MONTH(cleaned_personal_finance_data[[#This Row],[date]])</f>
        <v>4</v>
      </c>
      <c r="H268">
        <f>YEAR(cleaned_personal_finance_data[[#This Row],[date]])</f>
        <v>2024</v>
      </c>
      <c r="I268" t="s">
        <v>237</v>
      </c>
    </row>
    <row r="269" spans="1:9" x14ac:dyDescent="0.25">
      <c r="A269">
        <v>267</v>
      </c>
      <c r="B269" s="1">
        <v>45398</v>
      </c>
      <c r="C269" t="s">
        <v>37</v>
      </c>
      <c r="D269">
        <v>25</v>
      </c>
      <c r="E269" t="s">
        <v>15</v>
      </c>
      <c r="F269" t="s">
        <v>13</v>
      </c>
      <c r="G269">
        <f>MONTH(cleaned_personal_finance_data[[#This Row],[date]])</f>
        <v>4</v>
      </c>
      <c r="H269">
        <f>YEAR(cleaned_personal_finance_data[[#This Row],[date]])</f>
        <v>2024</v>
      </c>
      <c r="I269" t="s">
        <v>47</v>
      </c>
    </row>
    <row r="270" spans="1:9" x14ac:dyDescent="0.25">
      <c r="A270">
        <v>268</v>
      </c>
      <c r="B270" s="1">
        <v>45398</v>
      </c>
      <c r="C270" t="s">
        <v>28</v>
      </c>
      <c r="D270">
        <v>125</v>
      </c>
      <c r="E270" t="s">
        <v>15</v>
      </c>
      <c r="F270" t="s">
        <v>21</v>
      </c>
      <c r="G270">
        <f>MONTH(cleaned_personal_finance_data[[#This Row],[date]])</f>
        <v>4</v>
      </c>
      <c r="H270">
        <f>YEAR(cleaned_personal_finance_data[[#This Row],[date]])</f>
        <v>2024</v>
      </c>
      <c r="I270" t="s">
        <v>28</v>
      </c>
    </row>
    <row r="271" spans="1:9" x14ac:dyDescent="0.25">
      <c r="A271">
        <v>269</v>
      </c>
      <c r="B271" s="1">
        <v>45402</v>
      </c>
      <c r="C271" t="s">
        <v>50</v>
      </c>
      <c r="D271">
        <v>599</v>
      </c>
      <c r="E271" t="s">
        <v>15</v>
      </c>
      <c r="F271" t="s">
        <v>21</v>
      </c>
      <c r="G271">
        <f>MONTH(cleaned_personal_finance_data[[#This Row],[date]])</f>
        <v>4</v>
      </c>
      <c r="H271">
        <f>YEAR(cleaned_personal_finance_data[[#This Row],[date]])</f>
        <v>2024</v>
      </c>
      <c r="I271" t="s">
        <v>50</v>
      </c>
    </row>
    <row r="272" spans="1:9" x14ac:dyDescent="0.25">
      <c r="A272">
        <v>270</v>
      </c>
      <c r="B272" s="1">
        <v>45403</v>
      </c>
      <c r="C272" t="s">
        <v>37</v>
      </c>
      <c r="D272">
        <v>25</v>
      </c>
      <c r="E272" t="s">
        <v>15</v>
      </c>
      <c r="F272" t="s">
        <v>13</v>
      </c>
      <c r="G272">
        <f>MONTH(cleaned_personal_finance_data[[#This Row],[date]])</f>
        <v>4</v>
      </c>
      <c r="H272">
        <f>YEAR(cleaned_personal_finance_data[[#This Row],[date]])</f>
        <v>2024</v>
      </c>
      <c r="I272" t="s">
        <v>47</v>
      </c>
    </row>
    <row r="273" spans="1:9" x14ac:dyDescent="0.25">
      <c r="A273">
        <v>271</v>
      </c>
      <c r="B273" s="1">
        <v>45403</v>
      </c>
      <c r="C273" t="s">
        <v>35</v>
      </c>
      <c r="D273">
        <v>280</v>
      </c>
      <c r="E273" t="s">
        <v>15</v>
      </c>
      <c r="F273" t="s">
        <v>21</v>
      </c>
      <c r="G273">
        <f>MONTH(cleaned_personal_finance_data[[#This Row],[date]])</f>
        <v>4</v>
      </c>
      <c r="H273">
        <f>YEAR(cleaned_personal_finance_data[[#This Row],[date]])</f>
        <v>2024</v>
      </c>
      <c r="I273" t="s">
        <v>35</v>
      </c>
    </row>
    <row r="274" spans="1:9" x14ac:dyDescent="0.25">
      <c r="A274">
        <v>272</v>
      </c>
      <c r="B274" s="1">
        <v>45404</v>
      </c>
      <c r="C274" t="s">
        <v>34</v>
      </c>
      <c r="D274">
        <v>129</v>
      </c>
      <c r="E274" t="s">
        <v>15</v>
      </c>
      <c r="F274" t="s">
        <v>21</v>
      </c>
      <c r="G274">
        <f>MONTH(cleaned_personal_finance_data[[#This Row],[date]])</f>
        <v>4</v>
      </c>
      <c r="H274">
        <f>YEAR(cleaned_personal_finance_data[[#This Row],[date]])</f>
        <v>2024</v>
      </c>
      <c r="I274" t="s">
        <v>34</v>
      </c>
    </row>
    <row r="275" spans="1:9" x14ac:dyDescent="0.25">
      <c r="A275">
        <v>273</v>
      </c>
      <c r="B275" s="1">
        <v>45404</v>
      </c>
      <c r="C275" t="s">
        <v>64</v>
      </c>
      <c r="D275">
        <v>199</v>
      </c>
      <c r="E275" t="s">
        <v>15</v>
      </c>
      <c r="F275" t="s">
        <v>21</v>
      </c>
      <c r="G275">
        <f>MONTH(cleaned_personal_finance_data[[#This Row],[date]])</f>
        <v>4</v>
      </c>
      <c r="H275">
        <f>YEAR(cleaned_personal_finance_data[[#This Row],[date]])</f>
        <v>2024</v>
      </c>
      <c r="I275" t="s">
        <v>64</v>
      </c>
    </row>
    <row r="276" spans="1:9" x14ac:dyDescent="0.25">
      <c r="A276">
        <v>274</v>
      </c>
      <c r="B276" s="1">
        <v>45412</v>
      </c>
      <c r="C276" t="s">
        <v>149</v>
      </c>
      <c r="D276">
        <v>500</v>
      </c>
      <c r="E276" t="s">
        <v>15</v>
      </c>
      <c r="F276" t="s">
        <v>21</v>
      </c>
      <c r="G276">
        <f>MONTH(cleaned_personal_finance_data[[#This Row],[date]])</f>
        <v>4</v>
      </c>
      <c r="H276">
        <f>YEAR(cleaned_personal_finance_data[[#This Row],[date]])</f>
        <v>2024</v>
      </c>
      <c r="I276" t="s">
        <v>149</v>
      </c>
    </row>
    <row r="277" spans="1:9" x14ac:dyDescent="0.25">
      <c r="A277">
        <v>275</v>
      </c>
      <c r="B277" s="1">
        <v>45412</v>
      </c>
      <c r="C277" t="s">
        <v>150</v>
      </c>
      <c r="D277">
        <v>1000</v>
      </c>
      <c r="E277" t="s">
        <v>15</v>
      </c>
      <c r="F277" t="s">
        <v>13</v>
      </c>
      <c r="G277">
        <f>MONTH(cleaned_personal_finance_data[[#This Row],[date]])</f>
        <v>4</v>
      </c>
      <c r="H277">
        <f>YEAR(cleaned_personal_finance_data[[#This Row],[date]])</f>
        <v>2024</v>
      </c>
      <c r="I277" t="s">
        <v>150</v>
      </c>
    </row>
    <row r="278" spans="1:9" x14ac:dyDescent="0.25">
      <c r="A278">
        <v>276</v>
      </c>
      <c r="B278" s="1">
        <v>45412</v>
      </c>
      <c r="C278" t="s">
        <v>151</v>
      </c>
      <c r="D278">
        <v>2000</v>
      </c>
      <c r="E278" t="s">
        <v>15</v>
      </c>
      <c r="F278" t="s">
        <v>13</v>
      </c>
      <c r="G278">
        <f>MONTH(cleaned_personal_finance_data[[#This Row],[date]])</f>
        <v>4</v>
      </c>
      <c r="H278">
        <f>YEAR(cleaned_personal_finance_data[[#This Row],[date]])</f>
        <v>2024</v>
      </c>
      <c r="I278" t="s">
        <v>151</v>
      </c>
    </row>
    <row r="279" spans="1:9" x14ac:dyDescent="0.25">
      <c r="A279">
        <v>277</v>
      </c>
      <c r="B279" s="1">
        <v>45412</v>
      </c>
      <c r="C279" t="s">
        <v>152</v>
      </c>
      <c r="D279">
        <v>1000</v>
      </c>
      <c r="E279" t="s">
        <v>15</v>
      </c>
      <c r="F279" t="s">
        <v>13</v>
      </c>
      <c r="G279">
        <f>MONTH(cleaned_personal_finance_data[[#This Row],[date]])</f>
        <v>4</v>
      </c>
      <c r="H279">
        <f>YEAR(cleaned_personal_finance_data[[#This Row],[date]])</f>
        <v>2024</v>
      </c>
      <c r="I279" t="s">
        <v>152</v>
      </c>
    </row>
    <row r="280" spans="1:9" x14ac:dyDescent="0.25">
      <c r="A280">
        <v>278</v>
      </c>
      <c r="B280" s="1">
        <v>45412</v>
      </c>
      <c r="C280" t="s">
        <v>6</v>
      </c>
      <c r="D280">
        <v>12616</v>
      </c>
      <c r="E280" t="s">
        <v>7</v>
      </c>
      <c r="F280" t="s">
        <v>8</v>
      </c>
      <c r="G280">
        <f>MONTH(cleaned_personal_finance_data[[#This Row],[date]])</f>
        <v>4</v>
      </c>
      <c r="H280">
        <f>YEAR(cleaned_personal_finance_data[[#This Row],[date]])</f>
        <v>2024</v>
      </c>
      <c r="I280" t="s">
        <v>318</v>
      </c>
    </row>
    <row r="281" spans="1:9" x14ac:dyDescent="0.25">
      <c r="A281">
        <v>279</v>
      </c>
      <c r="B281" s="1">
        <v>45412</v>
      </c>
      <c r="C281" t="s">
        <v>103</v>
      </c>
      <c r="D281">
        <v>260</v>
      </c>
      <c r="E281" t="s">
        <v>15</v>
      </c>
      <c r="F281" t="s">
        <v>13</v>
      </c>
      <c r="G281">
        <f>MONTH(cleaned_personal_finance_data[[#This Row],[date]])</f>
        <v>4</v>
      </c>
      <c r="H281">
        <f>YEAR(cleaned_personal_finance_data[[#This Row],[date]])</f>
        <v>2024</v>
      </c>
      <c r="I281" t="s">
        <v>329</v>
      </c>
    </row>
    <row r="282" spans="1:9" x14ac:dyDescent="0.25">
      <c r="A282">
        <v>280</v>
      </c>
      <c r="B282" s="1">
        <v>45415</v>
      </c>
      <c r="C282" t="s">
        <v>38</v>
      </c>
      <c r="D282">
        <v>1700</v>
      </c>
      <c r="E282" t="s">
        <v>15</v>
      </c>
      <c r="F282" t="s">
        <v>13</v>
      </c>
      <c r="G282">
        <f>MONTH(cleaned_personal_finance_data[[#This Row],[date]])</f>
        <v>5</v>
      </c>
      <c r="H282">
        <f>YEAR(cleaned_personal_finance_data[[#This Row],[date]])</f>
        <v>2024</v>
      </c>
      <c r="I282" t="s">
        <v>38</v>
      </c>
    </row>
    <row r="283" spans="1:9" x14ac:dyDescent="0.25">
      <c r="A283">
        <v>281</v>
      </c>
      <c r="B283" s="1">
        <v>45415</v>
      </c>
      <c r="C283" t="s">
        <v>28</v>
      </c>
      <c r="D283">
        <v>50</v>
      </c>
      <c r="E283" t="s">
        <v>15</v>
      </c>
      <c r="F283" t="s">
        <v>21</v>
      </c>
      <c r="G283">
        <f>MONTH(cleaned_personal_finance_data[[#This Row],[date]])</f>
        <v>5</v>
      </c>
      <c r="H283">
        <f>YEAR(cleaned_personal_finance_data[[#This Row],[date]])</f>
        <v>2024</v>
      </c>
      <c r="I283" t="s">
        <v>28</v>
      </c>
    </row>
    <row r="284" spans="1:9" x14ac:dyDescent="0.25">
      <c r="A284">
        <v>282</v>
      </c>
      <c r="B284" s="1">
        <v>45415</v>
      </c>
      <c r="C284" t="s">
        <v>28</v>
      </c>
      <c r="D284">
        <v>125</v>
      </c>
      <c r="E284" t="s">
        <v>15</v>
      </c>
      <c r="F284" t="s">
        <v>21</v>
      </c>
      <c r="G284">
        <f>MONTH(cleaned_personal_finance_data[[#This Row],[date]])</f>
        <v>5</v>
      </c>
      <c r="H284">
        <f>YEAR(cleaned_personal_finance_data[[#This Row],[date]])</f>
        <v>2024</v>
      </c>
      <c r="I284" t="s">
        <v>28</v>
      </c>
    </row>
    <row r="285" spans="1:9" x14ac:dyDescent="0.25">
      <c r="A285">
        <v>283</v>
      </c>
      <c r="B285" s="1">
        <v>45415</v>
      </c>
      <c r="C285" t="s">
        <v>64</v>
      </c>
      <c r="D285">
        <v>199</v>
      </c>
      <c r="E285" t="s">
        <v>15</v>
      </c>
      <c r="F285" t="s">
        <v>21</v>
      </c>
      <c r="G285">
        <f>MONTH(cleaned_personal_finance_data[[#This Row],[date]])</f>
        <v>5</v>
      </c>
      <c r="H285">
        <f>YEAR(cleaned_personal_finance_data[[#This Row],[date]])</f>
        <v>2024</v>
      </c>
      <c r="I285" t="s">
        <v>64</v>
      </c>
    </row>
    <row r="286" spans="1:9" x14ac:dyDescent="0.25">
      <c r="A286">
        <v>284</v>
      </c>
      <c r="B286" s="1">
        <v>45416</v>
      </c>
      <c r="C286" t="s">
        <v>136</v>
      </c>
      <c r="D286">
        <v>19000</v>
      </c>
      <c r="E286" t="s">
        <v>10</v>
      </c>
      <c r="F286" t="s">
        <v>8</v>
      </c>
      <c r="G286">
        <f>MONTH(cleaned_personal_finance_data[[#This Row],[date]])</f>
        <v>5</v>
      </c>
      <c r="H286">
        <f>YEAR(cleaned_personal_finance_data[[#This Row],[date]])</f>
        <v>2024</v>
      </c>
      <c r="I286" t="s">
        <v>136</v>
      </c>
    </row>
    <row r="287" spans="1:9" x14ac:dyDescent="0.25">
      <c r="A287">
        <v>285</v>
      </c>
      <c r="B287" s="1">
        <v>45416</v>
      </c>
      <c r="C287" t="s">
        <v>137</v>
      </c>
      <c r="D287">
        <v>236</v>
      </c>
      <c r="E287" t="s">
        <v>15</v>
      </c>
      <c r="F287" t="s">
        <v>8</v>
      </c>
      <c r="G287">
        <f>MONTH(cleaned_personal_finance_data[[#This Row],[date]])</f>
        <v>5</v>
      </c>
      <c r="H287">
        <f>YEAR(cleaned_personal_finance_data[[#This Row],[date]])</f>
        <v>2024</v>
      </c>
      <c r="I287" t="s">
        <v>137</v>
      </c>
    </row>
    <row r="288" spans="1:9" x14ac:dyDescent="0.25">
      <c r="A288">
        <v>286</v>
      </c>
      <c r="B288" s="1">
        <v>45416</v>
      </c>
      <c r="C288" t="s">
        <v>153</v>
      </c>
      <c r="D288">
        <v>2100</v>
      </c>
      <c r="E288" t="s">
        <v>15</v>
      </c>
      <c r="F288" t="s">
        <v>13</v>
      </c>
      <c r="G288">
        <f>MONTH(cleaned_personal_finance_data[[#This Row],[date]])</f>
        <v>5</v>
      </c>
      <c r="H288">
        <f>YEAR(cleaned_personal_finance_data[[#This Row],[date]])</f>
        <v>2024</v>
      </c>
      <c r="I288" t="s">
        <v>159</v>
      </c>
    </row>
    <row r="289" spans="1:9" x14ac:dyDescent="0.25">
      <c r="A289">
        <v>287</v>
      </c>
      <c r="B289" s="1">
        <v>45416</v>
      </c>
      <c r="C289" t="s">
        <v>145</v>
      </c>
      <c r="D289">
        <v>5000</v>
      </c>
      <c r="E289" t="s">
        <v>15</v>
      </c>
      <c r="F289" t="s">
        <v>13</v>
      </c>
      <c r="G289">
        <f>MONTH(cleaned_personal_finance_data[[#This Row],[date]])</f>
        <v>5</v>
      </c>
      <c r="H289">
        <f>YEAR(cleaned_personal_finance_data[[#This Row],[date]])</f>
        <v>2024</v>
      </c>
      <c r="I289" t="s">
        <v>145</v>
      </c>
    </row>
    <row r="290" spans="1:9" x14ac:dyDescent="0.25">
      <c r="A290">
        <v>288</v>
      </c>
      <c r="B290" s="1">
        <v>45416</v>
      </c>
      <c r="C290" t="s">
        <v>20</v>
      </c>
      <c r="D290">
        <v>3000</v>
      </c>
      <c r="E290" t="s">
        <v>10</v>
      </c>
      <c r="F290" t="s">
        <v>13</v>
      </c>
      <c r="G290">
        <f>MONTH(cleaned_personal_finance_data[[#This Row],[date]])</f>
        <v>5</v>
      </c>
      <c r="H290">
        <f>YEAR(cleaned_personal_finance_data[[#This Row],[date]])</f>
        <v>2024</v>
      </c>
      <c r="I290" t="s">
        <v>20</v>
      </c>
    </row>
    <row r="291" spans="1:9" x14ac:dyDescent="0.25">
      <c r="A291">
        <v>289</v>
      </c>
      <c r="B291" s="1">
        <v>45416</v>
      </c>
      <c r="C291" t="s">
        <v>20</v>
      </c>
      <c r="D291">
        <v>3000</v>
      </c>
      <c r="E291" t="s">
        <v>12</v>
      </c>
      <c r="F291" t="s">
        <v>21</v>
      </c>
      <c r="G291">
        <f>MONTH(cleaned_personal_finance_data[[#This Row],[date]])</f>
        <v>5</v>
      </c>
      <c r="H291">
        <f>YEAR(cleaned_personal_finance_data[[#This Row],[date]])</f>
        <v>2024</v>
      </c>
      <c r="I291" t="s">
        <v>20</v>
      </c>
    </row>
    <row r="292" spans="1:9" x14ac:dyDescent="0.25">
      <c r="A292">
        <v>290</v>
      </c>
      <c r="B292" s="1">
        <v>45418</v>
      </c>
      <c r="C292" t="s">
        <v>28</v>
      </c>
      <c r="D292">
        <v>125</v>
      </c>
      <c r="E292" t="s">
        <v>15</v>
      </c>
      <c r="F292" t="s">
        <v>21</v>
      </c>
      <c r="G292">
        <f>MONTH(cleaned_personal_finance_data[[#This Row],[date]])</f>
        <v>5</v>
      </c>
      <c r="H292">
        <f>YEAR(cleaned_personal_finance_data[[#This Row],[date]])</f>
        <v>2024</v>
      </c>
      <c r="I292" t="s">
        <v>28</v>
      </c>
    </row>
    <row r="293" spans="1:9" x14ac:dyDescent="0.25">
      <c r="A293">
        <v>291</v>
      </c>
      <c r="B293" s="1">
        <v>45418</v>
      </c>
      <c r="C293" t="s">
        <v>28</v>
      </c>
      <c r="D293">
        <v>50</v>
      </c>
      <c r="E293" t="s">
        <v>15</v>
      </c>
      <c r="F293" t="s">
        <v>21</v>
      </c>
      <c r="G293">
        <f>MONTH(cleaned_personal_finance_data[[#This Row],[date]])</f>
        <v>5</v>
      </c>
      <c r="H293">
        <f>YEAR(cleaned_personal_finance_data[[#This Row],[date]])</f>
        <v>2024</v>
      </c>
      <c r="I293" t="s">
        <v>28</v>
      </c>
    </row>
    <row r="294" spans="1:9" x14ac:dyDescent="0.25">
      <c r="A294">
        <v>292</v>
      </c>
      <c r="B294" s="1">
        <v>45419</v>
      </c>
      <c r="C294" t="s">
        <v>24</v>
      </c>
      <c r="D294">
        <v>239</v>
      </c>
      <c r="E294" t="s">
        <v>15</v>
      </c>
      <c r="F294" t="s">
        <v>21</v>
      </c>
      <c r="G294">
        <f>MONTH(cleaned_personal_finance_data[[#This Row],[date]])</f>
        <v>5</v>
      </c>
      <c r="H294">
        <f>YEAR(cleaned_personal_finance_data[[#This Row],[date]])</f>
        <v>2024</v>
      </c>
      <c r="I294" t="s">
        <v>24</v>
      </c>
    </row>
    <row r="295" spans="1:9" x14ac:dyDescent="0.25">
      <c r="A295">
        <v>293</v>
      </c>
      <c r="B295" s="1">
        <v>45420</v>
      </c>
      <c r="C295" t="s">
        <v>25</v>
      </c>
      <c r="D295">
        <v>30</v>
      </c>
      <c r="E295" t="s">
        <v>15</v>
      </c>
      <c r="F295" t="s">
        <v>13</v>
      </c>
      <c r="G295">
        <f>MONTH(cleaned_personal_finance_data[[#This Row],[date]])</f>
        <v>5</v>
      </c>
      <c r="H295">
        <f>YEAR(cleaned_personal_finance_data[[#This Row],[date]])</f>
        <v>2024</v>
      </c>
      <c r="I295" t="s">
        <v>25</v>
      </c>
    </row>
    <row r="296" spans="1:9" x14ac:dyDescent="0.25">
      <c r="A296">
        <v>294</v>
      </c>
      <c r="B296" s="1">
        <v>45425</v>
      </c>
      <c r="C296" t="s">
        <v>51</v>
      </c>
      <c r="D296">
        <v>30</v>
      </c>
      <c r="E296" t="s">
        <v>15</v>
      </c>
      <c r="F296" t="s">
        <v>13</v>
      </c>
      <c r="G296">
        <f>MONTH(cleaned_personal_finance_data[[#This Row],[date]])</f>
        <v>5</v>
      </c>
      <c r="H296">
        <f>YEAR(cleaned_personal_finance_data[[#This Row],[date]])</f>
        <v>2024</v>
      </c>
      <c r="I296" t="s">
        <v>43</v>
      </c>
    </row>
    <row r="297" spans="1:9" x14ac:dyDescent="0.25">
      <c r="A297">
        <v>295</v>
      </c>
      <c r="B297" s="1">
        <v>45425</v>
      </c>
      <c r="C297" t="s">
        <v>40</v>
      </c>
      <c r="D297">
        <v>37</v>
      </c>
      <c r="E297" t="s">
        <v>15</v>
      </c>
      <c r="F297" t="s">
        <v>13</v>
      </c>
      <c r="G297">
        <f>MONTH(cleaned_personal_finance_data[[#This Row],[date]])</f>
        <v>5</v>
      </c>
      <c r="H297">
        <f>YEAR(cleaned_personal_finance_data[[#This Row],[date]])</f>
        <v>2024</v>
      </c>
      <c r="I297" t="s">
        <v>40</v>
      </c>
    </row>
    <row r="298" spans="1:9" x14ac:dyDescent="0.25">
      <c r="A298">
        <v>296</v>
      </c>
      <c r="B298" s="1">
        <v>45425</v>
      </c>
      <c r="C298" t="s">
        <v>106</v>
      </c>
      <c r="D298">
        <v>73</v>
      </c>
      <c r="E298" t="s">
        <v>15</v>
      </c>
      <c r="F298" t="s">
        <v>13</v>
      </c>
      <c r="G298">
        <f>MONTH(cleaned_personal_finance_data[[#This Row],[date]])</f>
        <v>5</v>
      </c>
      <c r="H298">
        <f>YEAR(cleaned_personal_finance_data[[#This Row],[date]])</f>
        <v>2024</v>
      </c>
      <c r="I298" t="s">
        <v>106</v>
      </c>
    </row>
    <row r="299" spans="1:9" x14ac:dyDescent="0.25">
      <c r="A299">
        <v>297</v>
      </c>
      <c r="B299" s="1">
        <v>45425</v>
      </c>
      <c r="C299" t="s">
        <v>76</v>
      </c>
      <c r="D299">
        <v>40</v>
      </c>
      <c r="E299" t="s">
        <v>15</v>
      </c>
      <c r="F299" t="s">
        <v>13</v>
      </c>
      <c r="G299">
        <f>MONTH(cleaned_personal_finance_data[[#This Row],[date]])</f>
        <v>5</v>
      </c>
      <c r="H299">
        <f>YEAR(cleaned_personal_finance_data[[#This Row],[date]])</f>
        <v>2024</v>
      </c>
      <c r="I299" t="s">
        <v>43</v>
      </c>
    </row>
    <row r="300" spans="1:9" x14ac:dyDescent="0.25">
      <c r="A300">
        <v>298</v>
      </c>
      <c r="B300" s="1">
        <v>45425</v>
      </c>
      <c r="C300" t="s">
        <v>154</v>
      </c>
      <c r="D300">
        <v>399</v>
      </c>
      <c r="E300" t="s">
        <v>15</v>
      </c>
      <c r="F300" t="s">
        <v>21</v>
      </c>
      <c r="G300">
        <f>MONTH(cleaned_personal_finance_data[[#This Row],[date]])</f>
        <v>5</v>
      </c>
      <c r="H300">
        <f>YEAR(cleaned_personal_finance_data[[#This Row],[date]])</f>
        <v>2024</v>
      </c>
      <c r="I300" t="s">
        <v>154</v>
      </c>
    </row>
    <row r="301" spans="1:9" x14ac:dyDescent="0.25">
      <c r="A301">
        <v>299</v>
      </c>
      <c r="B301" s="1">
        <v>45426</v>
      </c>
      <c r="C301" t="s">
        <v>6</v>
      </c>
      <c r="D301">
        <v>12615</v>
      </c>
      <c r="E301" t="s">
        <v>7</v>
      </c>
      <c r="F301" t="s">
        <v>8</v>
      </c>
      <c r="G301">
        <f>MONTH(cleaned_personal_finance_data[[#This Row],[date]])</f>
        <v>5</v>
      </c>
      <c r="H301">
        <f>YEAR(cleaned_personal_finance_data[[#This Row],[date]])</f>
        <v>2024</v>
      </c>
      <c r="I301" t="s">
        <v>318</v>
      </c>
    </row>
    <row r="302" spans="1:9" x14ac:dyDescent="0.25">
      <c r="A302">
        <v>300</v>
      </c>
      <c r="B302" s="1">
        <v>45427</v>
      </c>
      <c r="C302" t="s">
        <v>25</v>
      </c>
      <c r="D302">
        <v>30</v>
      </c>
      <c r="E302" t="s">
        <v>15</v>
      </c>
      <c r="F302" t="s">
        <v>13</v>
      </c>
      <c r="G302">
        <f>MONTH(cleaned_personal_finance_data[[#This Row],[date]])</f>
        <v>5</v>
      </c>
      <c r="H302">
        <f>YEAR(cleaned_personal_finance_data[[#This Row],[date]])</f>
        <v>2024</v>
      </c>
      <c r="I302" t="s">
        <v>25</v>
      </c>
    </row>
    <row r="303" spans="1:9" x14ac:dyDescent="0.25">
      <c r="A303">
        <v>301</v>
      </c>
      <c r="B303" s="1">
        <v>45428</v>
      </c>
      <c r="C303" t="s">
        <v>155</v>
      </c>
      <c r="D303">
        <v>27000</v>
      </c>
      <c r="E303" t="s">
        <v>7</v>
      </c>
      <c r="F303" t="s">
        <v>8</v>
      </c>
      <c r="G303">
        <f>MONTH(cleaned_personal_finance_data[[#This Row],[date]])</f>
        <v>5</v>
      </c>
      <c r="H303">
        <f>YEAR(cleaned_personal_finance_data[[#This Row],[date]])</f>
        <v>2024</v>
      </c>
      <c r="I303" t="s">
        <v>330</v>
      </c>
    </row>
    <row r="304" spans="1:9" x14ac:dyDescent="0.25">
      <c r="A304">
        <v>302</v>
      </c>
      <c r="B304" s="1">
        <v>45430</v>
      </c>
      <c r="C304" t="s">
        <v>28</v>
      </c>
      <c r="D304">
        <v>50</v>
      </c>
      <c r="E304" t="s">
        <v>15</v>
      </c>
      <c r="F304" t="s">
        <v>21</v>
      </c>
      <c r="G304">
        <f>MONTH(cleaned_personal_finance_data[[#This Row],[date]])</f>
        <v>5</v>
      </c>
      <c r="H304">
        <f>YEAR(cleaned_personal_finance_data[[#This Row],[date]])</f>
        <v>2024</v>
      </c>
      <c r="I304" t="s">
        <v>28</v>
      </c>
    </row>
    <row r="305" spans="1:9" x14ac:dyDescent="0.25">
      <c r="A305">
        <v>303</v>
      </c>
      <c r="B305" s="1">
        <v>45434</v>
      </c>
      <c r="C305" t="s">
        <v>34</v>
      </c>
      <c r="D305">
        <v>129</v>
      </c>
      <c r="E305" t="s">
        <v>15</v>
      </c>
      <c r="F305" t="s">
        <v>21</v>
      </c>
      <c r="G305">
        <f>MONTH(cleaned_personal_finance_data[[#This Row],[date]])</f>
        <v>5</v>
      </c>
      <c r="H305">
        <f>YEAR(cleaned_personal_finance_data[[#This Row],[date]])</f>
        <v>2024</v>
      </c>
      <c r="I305" t="s">
        <v>34</v>
      </c>
    </row>
    <row r="306" spans="1:9" x14ac:dyDescent="0.25">
      <c r="A306">
        <v>304</v>
      </c>
      <c r="B306" s="1">
        <v>45434</v>
      </c>
      <c r="C306" t="s">
        <v>35</v>
      </c>
      <c r="D306">
        <v>280</v>
      </c>
      <c r="E306" t="s">
        <v>15</v>
      </c>
      <c r="F306" t="s">
        <v>21</v>
      </c>
      <c r="G306">
        <f>MONTH(cleaned_personal_finance_data[[#This Row],[date]])</f>
        <v>5</v>
      </c>
      <c r="H306">
        <f>YEAR(cleaned_personal_finance_data[[#This Row],[date]])</f>
        <v>2024</v>
      </c>
      <c r="I306" t="s">
        <v>35</v>
      </c>
    </row>
    <row r="307" spans="1:9" x14ac:dyDescent="0.25">
      <c r="A307">
        <v>305</v>
      </c>
      <c r="B307" s="1">
        <v>45435</v>
      </c>
      <c r="C307" t="s">
        <v>156</v>
      </c>
      <c r="D307">
        <v>50</v>
      </c>
      <c r="E307" t="s">
        <v>15</v>
      </c>
      <c r="F307" t="s">
        <v>13</v>
      </c>
      <c r="G307">
        <f>MONTH(cleaned_personal_finance_data[[#This Row],[date]])</f>
        <v>5</v>
      </c>
      <c r="H307">
        <f>YEAR(cleaned_personal_finance_data[[#This Row],[date]])</f>
        <v>2024</v>
      </c>
      <c r="I307" t="s">
        <v>156</v>
      </c>
    </row>
    <row r="308" spans="1:9" x14ac:dyDescent="0.25">
      <c r="A308">
        <v>306</v>
      </c>
      <c r="B308" s="1">
        <v>45435</v>
      </c>
      <c r="C308" t="s">
        <v>103</v>
      </c>
      <c r="D308">
        <v>260</v>
      </c>
      <c r="E308" t="s">
        <v>15</v>
      </c>
      <c r="F308" t="s">
        <v>13</v>
      </c>
      <c r="G308">
        <f>MONTH(cleaned_personal_finance_data[[#This Row],[date]])</f>
        <v>5</v>
      </c>
      <c r="H308">
        <f>YEAR(cleaned_personal_finance_data[[#This Row],[date]])</f>
        <v>2024</v>
      </c>
      <c r="I308" t="s">
        <v>329</v>
      </c>
    </row>
    <row r="309" spans="1:9" x14ac:dyDescent="0.25">
      <c r="A309">
        <v>307</v>
      </c>
      <c r="B309" s="1">
        <v>45435</v>
      </c>
      <c r="C309" t="s">
        <v>64</v>
      </c>
      <c r="D309">
        <v>199</v>
      </c>
      <c r="E309" t="s">
        <v>15</v>
      </c>
      <c r="F309" t="s">
        <v>21</v>
      </c>
      <c r="G309">
        <f>MONTH(cleaned_personal_finance_data[[#This Row],[date]])</f>
        <v>5</v>
      </c>
      <c r="H309">
        <f>YEAR(cleaned_personal_finance_data[[#This Row],[date]])</f>
        <v>2024</v>
      </c>
      <c r="I309" t="s">
        <v>64</v>
      </c>
    </row>
    <row r="310" spans="1:9" x14ac:dyDescent="0.25">
      <c r="A310">
        <v>308</v>
      </c>
      <c r="B310" s="1">
        <v>45440</v>
      </c>
      <c r="C310" t="s">
        <v>157</v>
      </c>
      <c r="D310">
        <v>246</v>
      </c>
      <c r="E310" t="s">
        <v>15</v>
      </c>
      <c r="F310" t="s">
        <v>13</v>
      </c>
      <c r="G310">
        <f>MONTH(cleaned_personal_finance_data[[#This Row],[date]])</f>
        <v>5</v>
      </c>
      <c r="H310">
        <f>YEAR(cleaned_personal_finance_data[[#This Row],[date]])</f>
        <v>2024</v>
      </c>
      <c r="I310" t="s">
        <v>319</v>
      </c>
    </row>
    <row r="311" spans="1:9" x14ac:dyDescent="0.25">
      <c r="A311">
        <v>309</v>
      </c>
      <c r="B311" s="1">
        <v>45440</v>
      </c>
      <c r="C311" t="s">
        <v>158</v>
      </c>
      <c r="D311">
        <v>440</v>
      </c>
      <c r="E311" t="s">
        <v>15</v>
      </c>
      <c r="F311" t="s">
        <v>13</v>
      </c>
      <c r="G311">
        <f>MONTH(cleaned_personal_finance_data[[#This Row],[date]])</f>
        <v>5</v>
      </c>
      <c r="H311">
        <f>YEAR(cleaned_personal_finance_data[[#This Row],[date]])</f>
        <v>2024</v>
      </c>
      <c r="I311" t="s">
        <v>319</v>
      </c>
    </row>
    <row r="312" spans="1:9" x14ac:dyDescent="0.25">
      <c r="A312">
        <v>310</v>
      </c>
      <c r="B312" s="1">
        <v>45440</v>
      </c>
      <c r="C312" t="s">
        <v>28</v>
      </c>
      <c r="D312">
        <v>125</v>
      </c>
      <c r="E312" t="s">
        <v>15</v>
      </c>
      <c r="F312" t="s">
        <v>21</v>
      </c>
      <c r="G312">
        <f>MONTH(cleaned_personal_finance_data[[#This Row],[date]])</f>
        <v>5</v>
      </c>
      <c r="H312">
        <f>YEAR(cleaned_personal_finance_data[[#This Row],[date]])</f>
        <v>2024</v>
      </c>
      <c r="I312" t="s">
        <v>28</v>
      </c>
    </row>
    <row r="313" spans="1:9" x14ac:dyDescent="0.25">
      <c r="A313">
        <v>311</v>
      </c>
      <c r="B313" s="1">
        <v>45442</v>
      </c>
      <c r="C313" t="s">
        <v>6</v>
      </c>
      <c r="D313">
        <v>12615</v>
      </c>
      <c r="E313" t="s">
        <v>7</v>
      </c>
      <c r="F313" t="s">
        <v>8</v>
      </c>
      <c r="G313">
        <f>MONTH(cleaned_personal_finance_data[[#This Row],[date]])</f>
        <v>5</v>
      </c>
      <c r="H313">
        <f>YEAR(cleaned_personal_finance_data[[#This Row],[date]])</f>
        <v>2024</v>
      </c>
      <c r="I313" t="s">
        <v>318</v>
      </c>
    </row>
    <row r="314" spans="1:9" x14ac:dyDescent="0.25">
      <c r="A314">
        <v>312</v>
      </c>
      <c r="B314" s="1">
        <v>45445</v>
      </c>
      <c r="C314" t="s">
        <v>67</v>
      </c>
      <c r="D314">
        <v>105</v>
      </c>
      <c r="E314" t="s">
        <v>15</v>
      </c>
      <c r="F314" t="s">
        <v>13</v>
      </c>
      <c r="G314">
        <f>MONTH(cleaned_personal_finance_data[[#This Row],[date]])</f>
        <v>6</v>
      </c>
      <c r="H314">
        <f>YEAR(cleaned_personal_finance_data[[#This Row],[date]])</f>
        <v>2024</v>
      </c>
      <c r="I314" t="s">
        <v>67</v>
      </c>
    </row>
    <row r="315" spans="1:9" x14ac:dyDescent="0.25">
      <c r="A315">
        <v>313</v>
      </c>
      <c r="B315" s="1">
        <v>45447</v>
      </c>
      <c r="C315" t="s">
        <v>28</v>
      </c>
      <c r="D315">
        <v>125</v>
      </c>
      <c r="E315" t="s">
        <v>15</v>
      </c>
      <c r="F315" t="s">
        <v>21</v>
      </c>
      <c r="G315">
        <f>MONTH(cleaned_personal_finance_data[[#This Row],[date]])</f>
        <v>6</v>
      </c>
      <c r="H315">
        <f>YEAR(cleaned_personal_finance_data[[#This Row],[date]])</f>
        <v>2024</v>
      </c>
      <c r="I315" t="s">
        <v>28</v>
      </c>
    </row>
    <row r="316" spans="1:9" x14ac:dyDescent="0.25">
      <c r="A316">
        <v>314</v>
      </c>
      <c r="B316" s="1">
        <v>45448</v>
      </c>
      <c r="C316" t="s">
        <v>50</v>
      </c>
      <c r="D316">
        <v>699</v>
      </c>
      <c r="E316" t="s">
        <v>15</v>
      </c>
      <c r="F316" t="s">
        <v>21</v>
      </c>
      <c r="G316">
        <f>MONTH(cleaned_personal_finance_data[[#This Row],[date]])</f>
        <v>6</v>
      </c>
      <c r="H316">
        <f>YEAR(cleaned_personal_finance_data[[#This Row],[date]])</f>
        <v>2024</v>
      </c>
      <c r="I316" t="s">
        <v>50</v>
      </c>
    </row>
    <row r="317" spans="1:9" x14ac:dyDescent="0.25">
      <c r="A317">
        <v>315</v>
      </c>
      <c r="B317" s="1">
        <v>45449</v>
      </c>
      <c r="C317" t="s">
        <v>28</v>
      </c>
      <c r="D317">
        <v>125</v>
      </c>
      <c r="E317" t="s">
        <v>15</v>
      </c>
      <c r="F317" t="s">
        <v>21</v>
      </c>
      <c r="G317">
        <f>MONTH(cleaned_personal_finance_data[[#This Row],[date]])</f>
        <v>6</v>
      </c>
      <c r="H317">
        <f>YEAR(cleaned_personal_finance_data[[#This Row],[date]])</f>
        <v>2024</v>
      </c>
      <c r="I317" t="s">
        <v>28</v>
      </c>
    </row>
    <row r="318" spans="1:9" x14ac:dyDescent="0.25">
      <c r="A318">
        <v>316</v>
      </c>
      <c r="B318" s="1">
        <v>45449</v>
      </c>
      <c r="C318" t="s">
        <v>38</v>
      </c>
      <c r="D318">
        <v>1500</v>
      </c>
      <c r="E318" t="s">
        <v>15</v>
      </c>
      <c r="F318" t="s">
        <v>13</v>
      </c>
      <c r="G318">
        <f>MONTH(cleaned_personal_finance_data[[#This Row],[date]])</f>
        <v>6</v>
      </c>
      <c r="H318">
        <f>YEAR(cleaned_personal_finance_data[[#This Row],[date]])</f>
        <v>2024</v>
      </c>
      <c r="I318" t="s">
        <v>38</v>
      </c>
    </row>
    <row r="319" spans="1:9" x14ac:dyDescent="0.25">
      <c r="A319">
        <v>317</v>
      </c>
      <c r="B319" s="1">
        <v>45449</v>
      </c>
      <c r="C319" t="s">
        <v>24</v>
      </c>
      <c r="D319">
        <v>239</v>
      </c>
      <c r="E319" t="s">
        <v>15</v>
      </c>
      <c r="F319" t="s">
        <v>21</v>
      </c>
      <c r="G319">
        <f>MONTH(cleaned_personal_finance_data[[#This Row],[date]])</f>
        <v>6</v>
      </c>
      <c r="H319">
        <f>YEAR(cleaned_personal_finance_data[[#This Row],[date]])</f>
        <v>2024</v>
      </c>
      <c r="I319" t="s">
        <v>24</v>
      </c>
    </row>
    <row r="320" spans="1:9" x14ac:dyDescent="0.25">
      <c r="A320">
        <v>318</v>
      </c>
      <c r="B320" s="1">
        <v>45450</v>
      </c>
      <c r="C320" t="s">
        <v>145</v>
      </c>
      <c r="D320">
        <v>5000</v>
      </c>
      <c r="E320" t="s">
        <v>15</v>
      </c>
      <c r="F320" t="s">
        <v>13</v>
      </c>
      <c r="G320">
        <f>MONTH(cleaned_personal_finance_data[[#This Row],[date]])</f>
        <v>6</v>
      </c>
      <c r="H320">
        <f>YEAR(cleaned_personal_finance_data[[#This Row],[date]])</f>
        <v>2024</v>
      </c>
      <c r="I320" t="s">
        <v>145</v>
      </c>
    </row>
    <row r="321" spans="1:9" x14ac:dyDescent="0.25">
      <c r="A321">
        <v>319</v>
      </c>
      <c r="B321" s="1">
        <v>45450</v>
      </c>
      <c r="C321" t="s">
        <v>159</v>
      </c>
      <c r="D321">
        <v>2400</v>
      </c>
      <c r="E321" t="s">
        <v>15</v>
      </c>
      <c r="F321" t="s">
        <v>13</v>
      </c>
      <c r="G321">
        <f>MONTH(cleaned_personal_finance_data[[#This Row],[date]])</f>
        <v>6</v>
      </c>
      <c r="H321">
        <f>YEAR(cleaned_personal_finance_data[[#This Row],[date]])</f>
        <v>2024</v>
      </c>
      <c r="I321" t="s">
        <v>159</v>
      </c>
    </row>
    <row r="322" spans="1:9" x14ac:dyDescent="0.25">
      <c r="A322">
        <v>320</v>
      </c>
      <c r="B322" s="1">
        <v>45450</v>
      </c>
      <c r="C322" t="s">
        <v>37</v>
      </c>
      <c r="D322">
        <v>25</v>
      </c>
      <c r="E322" t="s">
        <v>15</v>
      </c>
      <c r="F322" t="s">
        <v>13</v>
      </c>
      <c r="G322">
        <f>MONTH(cleaned_personal_finance_data[[#This Row],[date]])</f>
        <v>6</v>
      </c>
      <c r="H322">
        <f>YEAR(cleaned_personal_finance_data[[#This Row],[date]])</f>
        <v>2024</v>
      </c>
      <c r="I322" t="s">
        <v>47</v>
      </c>
    </row>
    <row r="323" spans="1:9" x14ac:dyDescent="0.25">
      <c r="A323">
        <v>321</v>
      </c>
      <c r="B323" s="1">
        <v>45450</v>
      </c>
      <c r="C323" t="s">
        <v>28</v>
      </c>
      <c r="D323">
        <v>25</v>
      </c>
      <c r="E323" t="s">
        <v>15</v>
      </c>
      <c r="F323" t="s">
        <v>21</v>
      </c>
      <c r="G323">
        <f>MONTH(cleaned_personal_finance_data[[#This Row],[date]])</f>
        <v>6</v>
      </c>
      <c r="H323">
        <f>YEAR(cleaned_personal_finance_data[[#This Row],[date]])</f>
        <v>2024</v>
      </c>
      <c r="I323" t="s">
        <v>28</v>
      </c>
    </row>
    <row r="324" spans="1:9" x14ac:dyDescent="0.25">
      <c r="A324">
        <v>322</v>
      </c>
      <c r="B324" s="1">
        <v>45450</v>
      </c>
      <c r="C324" t="s">
        <v>28</v>
      </c>
      <c r="D324">
        <v>125</v>
      </c>
      <c r="E324" t="s">
        <v>15</v>
      </c>
      <c r="F324" t="s">
        <v>21</v>
      </c>
      <c r="G324">
        <f>MONTH(cleaned_personal_finance_data[[#This Row],[date]])</f>
        <v>6</v>
      </c>
      <c r="H324">
        <f>YEAR(cleaned_personal_finance_data[[#This Row],[date]])</f>
        <v>2024</v>
      </c>
      <c r="I324" t="s">
        <v>28</v>
      </c>
    </row>
    <row r="325" spans="1:9" x14ac:dyDescent="0.25">
      <c r="A325">
        <v>323</v>
      </c>
      <c r="B325" s="1">
        <v>45450</v>
      </c>
      <c r="C325" t="s">
        <v>28</v>
      </c>
      <c r="D325">
        <v>50</v>
      </c>
      <c r="E325" t="s">
        <v>15</v>
      </c>
      <c r="F325" t="s">
        <v>21</v>
      </c>
      <c r="G325">
        <f>MONTH(cleaned_personal_finance_data[[#This Row],[date]])</f>
        <v>6</v>
      </c>
      <c r="H325">
        <f>YEAR(cleaned_personal_finance_data[[#This Row],[date]])</f>
        <v>2024</v>
      </c>
      <c r="I325" t="s">
        <v>28</v>
      </c>
    </row>
    <row r="326" spans="1:9" x14ac:dyDescent="0.25">
      <c r="A326">
        <v>324</v>
      </c>
      <c r="B326" s="1">
        <v>45453</v>
      </c>
      <c r="C326" t="s">
        <v>160</v>
      </c>
      <c r="D326">
        <v>240</v>
      </c>
      <c r="E326" t="s">
        <v>15</v>
      </c>
      <c r="F326" t="s">
        <v>13</v>
      </c>
      <c r="G326">
        <f>MONTH(cleaned_personal_finance_data[[#This Row],[date]])</f>
        <v>6</v>
      </c>
      <c r="H326">
        <f>YEAR(cleaned_personal_finance_data[[#This Row],[date]])</f>
        <v>2024</v>
      </c>
      <c r="I326" t="s">
        <v>43</v>
      </c>
    </row>
    <row r="327" spans="1:9" x14ac:dyDescent="0.25">
      <c r="A327">
        <v>325</v>
      </c>
      <c r="B327" s="1">
        <v>45453</v>
      </c>
      <c r="C327" t="s">
        <v>161</v>
      </c>
      <c r="D327">
        <v>328</v>
      </c>
      <c r="E327" t="s">
        <v>15</v>
      </c>
      <c r="F327" t="s">
        <v>13</v>
      </c>
      <c r="G327">
        <f>MONTH(cleaned_personal_finance_data[[#This Row],[date]])</f>
        <v>6</v>
      </c>
      <c r="H327">
        <f>YEAR(cleaned_personal_finance_data[[#This Row],[date]])</f>
        <v>2024</v>
      </c>
      <c r="I327" t="s">
        <v>161</v>
      </c>
    </row>
    <row r="328" spans="1:9" x14ac:dyDescent="0.25">
      <c r="A328">
        <v>326</v>
      </c>
      <c r="B328" s="1">
        <v>45453</v>
      </c>
      <c r="C328" t="s">
        <v>162</v>
      </c>
      <c r="D328">
        <v>19000</v>
      </c>
      <c r="E328" t="s">
        <v>10</v>
      </c>
      <c r="F328" t="s">
        <v>8</v>
      </c>
      <c r="G328">
        <f>MONTH(cleaned_personal_finance_data[[#This Row],[date]])</f>
        <v>6</v>
      </c>
      <c r="H328">
        <f>YEAR(cleaned_personal_finance_data[[#This Row],[date]])</f>
        <v>2024</v>
      </c>
      <c r="I328" t="s">
        <v>162</v>
      </c>
    </row>
    <row r="329" spans="1:9" x14ac:dyDescent="0.25">
      <c r="A329">
        <v>327</v>
      </c>
      <c r="B329" s="1">
        <v>45453</v>
      </c>
      <c r="C329" t="s">
        <v>163</v>
      </c>
      <c r="D329">
        <v>38</v>
      </c>
      <c r="E329" t="s">
        <v>15</v>
      </c>
      <c r="F329" t="s">
        <v>8</v>
      </c>
      <c r="G329">
        <f>MONTH(cleaned_personal_finance_data[[#This Row],[date]])</f>
        <v>6</v>
      </c>
      <c r="H329">
        <f>YEAR(cleaned_personal_finance_data[[#This Row],[date]])</f>
        <v>2024</v>
      </c>
      <c r="I329" t="s">
        <v>163</v>
      </c>
    </row>
    <row r="330" spans="1:9" x14ac:dyDescent="0.25">
      <c r="A330">
        <v>328</v>
      </c>
      <c r="B330" s="1">
        <v>45453</v>
      </c>
      <c r="C330" t="s">
        <v>164</v>
      </c>
      <c r="D330">
        <v>19000</v>
      </c>
      <c r="E330" t="s">
        <v>12</v>
      </c>
      <c r="F330" t="s">
        <v>13</v>
      </c>
      <c r="G330">
        <f>MONTH(cleaned_personal_finance_data[[#This Row],[date]])</f>
        <v>6</v>
      </c>
      <c r="H330">
        <f>YEAR(cleaned_personal_finance_data[[#This Row],[date]])</f>
        <v>2024</v>
      </c>
      <c r="I330" t="s">
        <v>164</v>
      </c>
    </row>
    <row r="331" spans="1:9" x14ac:dyDescent="0.25">
      <c r="A331">
        <v>329</v>
      </c>
      <c r="B331" s="1">
        <v>45453</v>
      </c>
      <c r="C331" t="s">
        <v>165</v>
      </c>
      <c r="D331">
        <v>170</v>
      </c>
      <c r="E331" t="s">
        <v>15</v>
      </c>
      <c r="F331" t="s">
        <v>13</v>
      </c>
      <c r="G331">
        <f>MONTH(cleaned_personal_finance_data[[#This Row],[date]])</f>
        <v>6</v>
      </c>
      <c r="H331">
        <f>YEAR(cleaned_personal_finance_data[[#This Row],[date]])</f>
        <v>2024</v>
      </c>
      <c r="I331" t="s">
        <v>320</v>
      </c>
    </row>
    <row r="332" spans="1:9" x14ac:dyDescent="0.25">
      <c r="A332">
        <v>330</v>
      </c>
      <c r="B332" s="1">
        <v>45453</v>
      </c>
      <c r="C332" t="s">
        <v>166</v>
      </c>
      <c r="D332">
        <v>15</v>
      </c>
      <c r="E332" t="s">
        <v>15</v>
      </c>
      <c r="F332" t="s">
        <v>13</v>
      </c>
      <c r="G332">
        <f>MONTH(cleaned_personal_finance_data[[#This Row],[date]])</f>
        <v>6</v>
      </c>
      <c r="H332">
        <f>YEAR(cleaned_personal_finance_data[[#This Row],[date]])</f>
        <v>2024</v>
      </c>
      <c r="I332" t="s">
        <v>43</v>
      </c>
    </row>
    <row r="333" spans="1:9" x14ac:dyDescent="0.25">
      <c r="A333">
        <v>331</v>
      </c>
      <c r="B333" s="1">
        <v>45453</v>
      </c>
      <c r="C333" t="s">
        <v>167</v>
      </c>
      <c r="D333">
        <v>451</v>
      </c>
      <c r="E333" t="s">
        <v>15</v>
      </c>
      <c r="F333" t="s">
        <v>13</v>
      </c>
      <c r="G333">
        <f>MONTH(cleaned_personal_finance_data[[#This Row],[date]])</f>
        <v>6</v>
      </c>
      <c r="H333">
        <f>YEAR(cleaned_personal_finance_data[[#This Row],[date]])</f>
        <v>2024</v>
      </c>
      <c r="I333" t="s">
        <v>167</v>
      </c>
    </row>
    <row r="334" spans="1:9" x14ac:dyDescent="0.25">
      <c r="A334">
        <v>332</v>
      </c>
      <c r="B334" s="1">
        <v>45453</v>
      </c>
      <c r="C334" t="s">
        <v>168</v>
      </c>
      <c r="D334">
        <v>5000</v>
      </c>
      <c r="E334" t="s">
        <v>15</v>
      </c>
      <c r="F334" t="s">
        <v>13</v>
      </c>
      <c r="G334">
        <f>MONTH(cleaned_personal_finance_data[[#This Row],[date]])</f>
        <v>6</v>
      </c>
      <c r="H334">
        <f>YEAR(cleaned_personal_finance_data[[#This Row],[date]])</f>
        <v>2024</v>
      </c>
      <c r="I334" t="s">
        <v>323</v>
      </c>
    </row>
    <row r="335" spans="1:9" x14ac:dyDescent="0.25">
      <c r="A335">
        <v>333</v>
      </c>
      <c r="B335" s="1">
        <v>45453</v>
      </c>
      <c r="C335" t="s">
        <v>169</v>
      </c>
      <c r="D335">
        <v>70</v>
      </c>
      <c r="E335" t="s">
        <v>15</v>
      </c>
      <c r="F335" t="s">
        <v>13</v>
      </c>
      <c r="G335">
        <f>MONTH(cleaned_personal_finance_data[[#This Row],[date]])</f>
        <v>6</v>
      </c>
      <c r="H335">
        <f>YEAR(cleaned_personal_finance_data[[#This Row],[date]])</f>
        <v>2024</v>
      </c>
      <c r="I335" t="s">
        <v>169</v>
      </c>
    </row>
    <row r="336" spans="1:9" x14ac:dyDescent="0.25">
      <c r="A336">
        <v>334</v>
      </c>
      <c r="B336" s="1">
        <v>45453</v>
      </c>
      <c r="C336" t="s">
        <v>170</v>
      </c>
      <c r="D336">
        <v>320</v>
      </c>
      <c r="E336" t="s">
        <v>15</v>
      </c>
      <c r="F336" t="s">
        <v>13</v>
      </c>
      <c r="G336">
        <f>MONTH(cleaned_personal_finance_data[[#This Row],[date]])</f>
        <v>6</v>
      </c>
      <c r="H336">
        <f>YEAR(cleaned_personal_finance_data[[#This Row],[date]])</f>
        <v>2024</v>
      </c>
      <c r="I336" t="s">
        <v>170</v>
      </c>
    </row>
    <row r="337" spans="1:9" x14ac:dyDescent="0.25">
      <c r="A337">
        <v>335</v>
      </c>
      <c r="B337" s="1">
        <v>45453</v>
      </c>
      <c r="C337" t="s">
        <v>171</v>
      </c>
      <c r="D337">
        <v>360</v>
      </c>
      <c r="E337" t="s">
        <v>15</v>
      </c>
      <c r="F337" t="s">
        <v>13</v>
      </c>
      <c r="G337">
        <f>MONTH(cleaned_personal_finance_data[[#This Row],[date]])</f>
        <v>6</v>
      </c>
      <c r="H337">
        <f>YEAR(cleaned_personal_finance_data[[#This Row],[date]])</f>
        <v>2024</v>
      </c>
      <c r="I337" t="s">
        <v>43</v>
      </c>
    </row>
    <row r="338" spans="1:9" x14ac:dyDescent="0.25">
      <c r="A338">
        <v>336</v>
      </c>
      <c r="B338" s="1">
        <v>45453</v>
      </c>
      <c r="C338" t="s">
        <v>20</v>
      </c>
      <c r="D338">
        <v>200</v>
      </c>
      <c r="E338" t="s">
        <v>10</v>
      </c>
      <c r="F338" t="s">
        <v>13</v>
      </c>
      <c r="G338">
        <f>MONTH(cleaned_personal_finance_data[[#This Row],[date]])</f>
        <v>6</v>
      </c>
      <c r="H338">
        <f>YEAR(cleaned_personal_finance_data[[#This Row],[date]])</f>
        <v>2024</v>
      </c>
      <c r="I338" t="s">
        <v>20</v>
      </c>
    </row>
    <row r="339" spans="1:9" x14ac:dyDescent="0.25">
      <c r="A339">
        <v>337</v>
      </c>
      <c r="B339" s="1">
        <v>45453</v>
      </c>
      <c r="C339" t="s">
        <v>20</v>
      </c>
      <c r="D339">
        <v>200</v>
      </c>
      <c r="E339" t="s">
        <v>12</v>
      </c>
      <c r="F339" t="s">
        <v>21</v>
      </c>
      <c r="G339">
        <f>MONTH(cleaned_personal_finance_data[[#This Row],[date]])</f>
        <v>6</v>
      </c>
      <c r="H339">
        <f>YEAR(cleaned_personal_finance_data[[#This Row],[date]])</f>
        <v>2024</v>
      </c>
      <c r="I339" t="s">
        <v>20</v>
      </c>
    </row>
    <row r="340" spans="1:9" x14ac:dyDescent="0.25">
      <c r="A340">
        <v>338</v>
      </c>
      <c r="B340" s="1">
        <v>45453</v>
      </c>
      <c r="C340" t="s">
        <v>64</v>
      </c>
      <c r="D340">
        <v>199</v>
      </c>
      <c r="E340" t="s">
        <v>15</v>
      </c>
      <c r="F340" t="s">
        <v>21</v>
      </c>
      <c r="G340">
        <f>MONTH(cleaned_personal_finance_data[[#This Row],[date]])</f>
        <v>6</v>
      </c>
      <c r="H340">
        <f>YEAR(cleaned_personal_finance_data[[#This Row],[date]])</f>
        <v>2024</v>
      </c>
      <c r="I340" t="s">
        <v>64</v>
      </c>
    </row>
    <row r="341" spans="1:9" x14ac:dyDescent="0.25">
      <c r="A341">
        <v>339</v>
      </c>
      <c r="B341" s="1">
        <v>45454</v>
      </c>
      <c r="C341" t="s">
        <v>172</v>
      </c>
      <c r="D341">
        <v>1500</v>
      </c>
      <c r="E341" t="s">
        <v>12</v>
      </c>
      <c r="F341" t="s">
        <v>21</v>
      </c>
      <c r="G341">
        <f>MONTH(cleaned_personal_finance_data[[#This Row],[date]])</f>
        <v>6</v>
      </c>
      <c r="H341">
        <f>YEAR(cleaned_personal_finance_data[[#This Row],[date]])</f>
        <v>2024</v>
      </c>
      <c r="I341" t="s">
        <v>20</v>
      </c>
    </row>
    <row r="342" spans="1:9" x14ac:dyDescent="0.25">
      <c r="A342">
        <v>340</v>
      </c>
      <c r="B342" s="1">
        <v>45454</v>
      </c>
      <c r="C342" t="s">
        <v>173</v>
      </c>
      <c r="D342">
        <v>750</v>
      </c>
      <c r="E342" t="s">
        <v>10</v>
      </c>
      <c r="F342" t="s">
        <v>21</v>
      </c>
      <c r="G342">
        <f>MONTH(cleaned_personal_finance_data[[#This Row],[date]])</f>
        <v>6</v>
      </c>
      <c r="H342">
        <f>YEAR(cleaned_personal_finance_data[[#This Row],[date]])</f>
        <v>2024</v>
      </c>
      <c r="I342" t="s">
        <v>173</v>
      </c>
    </row>
    <row r="343" spans="1:9" x14ac:dyDescent="0.25">
      <c r="A343">
        <v>341</v>
      </c>
      <c r="B343" s="1">
        <v>45456</v>
      </c>
      <c r="C343" t="s">
        <v>131</v>
      </c>
      <c r="D343">
        <v>12615</v>
      </c>
      <c r="E343" t="s">
        <v>7</v>
      </c>
      <c r="F343" t="s">
        <v>8</v>
      </c>
      <c r="G343">
        <f>MONTH(cleaned_personal_finance_data[[#This Row],[date]])</f>
        <v>6</v>
      </c>
      <c r="H343">
        <f>YEAR(cleaned_personal_finance_data[[#This Row],[date]])</f>
        <v>2024</v>
      </c>
      <c r="I343" t="s">
        <v>318</v>
      </c>
    </row>
    <row r="344" spans="1:9" x14ac:dyDescent="0.25">
      <c r="A344">
        <v>342</v>
      </c>
      <c r="B344" s="1">
        <v>45456</v>
      </c>
      <c r="C344" t="s">
        <v>28</v>
      </c>
      <c r="D344">
        <v>125</v>
      </c>
      <c r="E344" t="s">
        <v>15</v>
      </c>
      <c r="F344" t="s">
        <v>21</v>
      </c>
      <c r="G344">
        <f>MONTH(cleaned_personal_finance_data[[#This Row],[date]])</f>
        <v>6</v>
      </c>
      <c r="H344">
        <f>YEAR(cleaned_personal_finance_data[[#This Row],[date]])</f>
        <v>2024</v>
      </c>
      <c r="I344" t="s">
        <v>28</v>
      </c>
    </row>
    <row r="345" spans="1:9" x14ac:dyDescent="0.25">
      <c r="A345">
        <v>343</v>
      </c>
      <c r="B345" s="1">
        <v>45457</v>
      </c>
      <c r="C345" t="s">
        <v>28</v>
      </c>
      <c r="D345">
        <v>50</v>
      </c>
      <c r="E345" t="s">
        <v>15</v>
      </c>
      <c r="F345" t="s">
        <v>21</v>
      </c>
      <c r="G345">
        <f>MONTH(cleaned_personal_finance_data[[#This Row],[date]])</f>
        <v>6</v>
      </c>
      <c r="H345">
        <f>YEAR(cleaned_personal_finance_data[[#This Row],[date]])</f>
        <v>2024</v>
      </c>
      <c r="I345" t="s">
        <v>28</v>
      </c>
    </row>
    <row r="346" spans="1:9" x14ac:dyDescent="0.25">
      <c r="A346">
        <v>344</v>
      </c>
      <c r="B346" s="1">
        <v>45458</v>
      </c>
      <c r="C346" t="s">
        <v>103</v>
      </c>
      <c r="D346">
        <v>260</v>
      </c>
      <c r="E346" t="s">
        <v>15</v>
      </c>
      <c r="F346" t="s">
        <v>13</v>
      </c>
      <c r="G346">
        <f>MONTH(cleaned_personal_finance_data[[#This Row],[date]])</f>
        <v>6</v>
      </c>
      <c r="H346">
        <f>YEAR(cleaned_personal_finance_data[[#This Row],[date]])</f>
        <v>2024</v>
      </c>
      <c r="I346" t="s">
        <v>329</v>
      </c>
    </row>
    <row r="347" spans="1:9" x14ac:dyDescent="0.25">
      <c r="A347">
        <v>345</v>
      </c>
      <c r="B347" s="1">
        <v>45458</v>
      </c>
      <c r="C347" t="s">
        <v>20</v>
      </c>
      <c r="D347">
        <v>3000</v>
      </c>
      <c r="E347" t="s">
        <v>10</v>
      </c>
      <c r="F347" t="s">
        <v>13</v>
      </c>
      <c r="G347">
        <f>MONTH(cleaned_personal_finance_data[[#This Row],[date]])</f>
        <v>6</v>
      </c>
      <c r="H347">
        <f>YEAR(cleaned_personal_finance_data[[#This Row],[date]])</f>
        <v>2024</v>
      </c>
      <c r="I347" t="s">
        <v>20</v>
      </c>
    </row>
    <row r="348" spans="1:9" x14ac:dyDescent="0.25">
      <c r="A348">
        <v>346</v>
      </c>
      <c r="B348" s="1">
        <v>45458</v>
      </c>
      <c r="C348" t="s">
        <v>174</v>
      </c>
      <c r="D348">
        <v>3000</v>
      </c>
      <c r="E348" t="s">
        <v>12</v>
      </c>
      <c r="F348" t="s">
        <v>21</v>
      </c>
      <c r="G348">
        <f>MONTH(cleaned_personal_finance_data[[#This Row],[date]])</f>
        <v>6</v>
      </c>
      <c r="H348">
        <f>YEAR(cleaned_personal_finance_data[[#This Row],[date]])</f>
        <v>2024</v>
      </c>
      <c r="I348" t="s">
        <v>174</v>
      </c>
    </row>
    <row r="349" spans="1:9" x14ac:dyDescent="0.25">
      <c r="A349">
        <v>347</v>
      </c>
      <c r="B349" s="1">
        <v>45462</v>
      </c>
      <c r="C349" t="s">
        <v>87</v>
      </c>
      <c r="D349">
        <v>250</v>
      </c>
      <c r="E349" t="s">
        <v>15</v>
      </c>
      <c r="F349" t="s">
        <v>13</v>
      </c>
      <c r="G349">
        <f>MONTH(cleaned_personal_finance_data[[#This Row],[date]])</f>
        <v>6</v>
      </c>
      <c r="H349">
        <f>YEAR(cleaned_personal_finance_data[[#This Row],[date]])</f>
        <v>2024</v>
      </c>
      <c r="I349" t="s">
        <v>87</v>
      </c>
    </row>
    <row r="350" spans="1:9" x14ac:dyDescent="0.25">
      <c r="A350">
        <v>348</v>
      </c>
      <c r="B350" s="1">
        <v>45462</v>
      </c>
      <c r="C350" t="s">
        <v>175</v>
      </c>
      <c r="D350">
        <v>75</v>
      </c>
      <c r="E350" t="s">
        <v>15</v>
      </c>
      <c r="F350" t="s">
        <v>13</v>
      </c>
      <c r="G350">
        <f>MONTH(cleaned_personal_finance_data[[#This Row],[date]])</f>
        <v>6</v>
      </c>
      <c r="H350">
        <f>YEAR(cleaned_personal_finance_data[[#This Row],[date]])</f>
        <v>2024</v>
      </c>
      <c r="I350" t="s">
        <v>159</v>
      </c>
    </row>
    <row r="351" spans="1:9" x14ac:dyDescent="0.25">
      <c r="A351">
        <v>349</v>
      </c>
      <c r="B351" s="1">
        <v>45463</v>
      </c>
      <c r="C351" t="s">
        <v>64</v>
      </c>
      <c r="D351">
        <v>199</v>
      </c>
      <c r="E351" t="s">
        <v>15</v>
      </c>
      <c r="F351" t="s">
        <v>21</v>
      </c>
      <c r="G351">
        <f>MONTH(cleaned_personal_finance_data[[#This Row],[date]])</f>
        <v>6</v>
      </c>
      <c r="H351">
        <f>YEAR(cleaned_personal_finance_data[[#This Row],[date]])</f>
        <v>2024</v>
      </c>
      <c r="I351" t="s">
        <v>64</v>
      </c>
    </row>
    <row r="352" spans="1:9" x14ac:dyDescent="0.25">
      <c r="A352">
        <v>350</v>
      </c>
      <c r="B352" s="1">
        <v>45463</v>
      </c>
      <c r="C352" t="s">
        <v>28</v>
      </c>
      <c r="D352">
        <v>50</v>
      </c>
      <c r="E352" t="s">
        <v>15</v>
      </c>
      <c r="F352" t="s">
        <v>21</v>
      </c>
      <c r="G352">
        <f>MONTH(cleaned_personal_finance_data[[#This Row],[date]])</f>
        <v>6</v>
      </c>
      <c r="H352">
        <f>YEAR(cleaned_personal_finance_data[[#This Row],[date]])</f>
        <v>2024</v>
      </c>
      <c r="I352" t="s">
        <v>28</v>
      </c>
    </row>
    <row r="353" spans="1:9" x14ac:dyDescent="0.25">
      <c r="A353">
        <v>351</v>
      </c>
      <c r="B353" s="1">
        <v>45464</v>
      </c>
      <c r="C353" t="s">
        <v>34</v>
      </c>
      <c r="D353">
        <v>129</v>
      </c>
      <c r="E353" t="s">
        <v>15</v>
      </c>
      <c r="F353" t="s">
        <v>21</v>
      </c>
      <c r="G353">
        <f>MONTH(cleaned_personal_finance_data[[#This Row],[date]])</f>
        <v>6</v>
      </c>
      <c r="H353">
        <f>YEAR(cleaned_personal_finance_data[[#This Row],[date]])</f>
        <v>2024</v>
      </c>
      <c r="I353" t="s">
        <v>34</v>
      </c>
    </row>
    <row r="354" spans="1:9" x14ac:dyDescent="0.25">
      <c r="A354">
        <v>352</v>
      </c>
      <c r="B354" s="1">
        <v>45465</v>
      </c>
      <c r="C354" t="s">
        <v>176</v>
      </c>
      <c r="D354">
        <v>129</v>
      </c>
      <c r="E354" t="s">
        <v>15</v>
      </c>
      <c r="F354" t="s">
        <v>21</v>
      </c>
      <c r="G354">
        <f>MONTH(cleaned_personal_finance_data[[#This Row],[date]])</f>
        <v>6</v>
      </c>
      <c r="H354">
        <f>YEAR(cleaned_personal_finance_data[[#This Row],[date]])</f>
        <v>2024</v>
      </c>
      <c r="I354" t="s">
        <v>176</v>
      </c>
    </row>
    <row r="355" spans="1:9" x14ac:dyDescent="0.25">
      <c r="A355">
        <v>353</v>
      </c>
      <c r="B355" s="1">
        <v>45466</v>
      </c>
      <c r="C355" t="s">
        <v>28</v>
      </c>
      <c r="D355">
        <v>50</v>
      </c>
      <c r="E355" t="s">
        <v>15</v>
      </c>
      <c r="F355" t="s">
        <v>21</v>
      </c>
      <c r="G355">
        <f>MONTH(cleaned_personal_finance_data[[#This Row],[date]])</f>
        <v>6</v>
      </c>
      <c r="H355">
        <f>YEAR(cleaned_personal_finance_data[[#This Row],[date]])</f>
        <v>2024</v>
      </c>
      <c r="I355" t="s">
        <v>28</v>
      </c>
    </row>
    <row r="356" spans="1:9" x14ac:dyDescent="0.25">
      <c r="A356">
        <v>354</v>
      </c>
      <c r="B356" s="1">
        <v>45466</v>
      </c>
      <c r="C356" t="s">
        <v>28</v>
      </c>
      <c r="D356">
        <v>50</v>
      </c>
      <c r="E356" t="s">
        <v>15</v>
      </c>
      <c r="F356" t="s">
        <v>21</v>
      </c>
      <c r="G356">
        <f>MONTH(cleaned_personal_finance_data[[#This Row],[date]])</f>
        <v>6</v>
      </c>
      <c r="H356">
        <f>YEAR(cleaned_personal_finance_data[[#This Row],[date]])</f>
        <v>2024</v>
      </c>
      <c r="I356" t="s">
        <v>28</v>
      </c>
    </row>
    <row r="357" spans="1:9" x14ac:dyDescent="0.25">
      <c r="A357">
        <v>355</v>
      </c>
      <c r="B357" s="1">
        <v>45466</v>
      </c>
      <c r="C357" t="s">
        <v>28</v>
      </c>
      <c r="D357">
        <v>125</v>
      </c>
      <c r="E357" t="s">
        <v>15</v>
      </c>
      <c r="F357" t="s">
        <v>21</v>
      </c>
      <c r="G357">
        <f>MONTH(cleaned_personal_finance_data[[#This Row],[date]])</f>
        <v>6</v>
      </c>
      <c r="H357">
        <f>YEAR(cleaned_personal_finance_data[[#This Row],[date]])</f>
        <v>2024</v>
      </c>
      <c r="I357" t="s">
        <v>28</v>
      </c>
    </row>
    <row r="358" spans="1:9" x14ac:dyDescent="0.25">
      <c r="A358">
        <v>356</v>
      </c>
      <c r="B358" s="1">
        <v>45466</v>
      </c>
      <c r="C358" t="s">
        <v>87</v>
      </c>
      <c r="D358">
        <v>240</v>
      </c>
      <c r="E358" t="s">
        <v>15</v>
      </c>
      <c r="F358" t="s">
        <v>13</v>
      </c>
      <c r="G358">
        <f>MONTH(cleaned_personal_finance_data[[#This Row],[date]])</f>
        <v>6</v>
      </c>
      <c r="H358">
        <f>YEAR(cleaned_personal_finance_data[[#This Row],[date]])</f>
        <v>2024</v>
      </c>
      <c r="I358" t="s">
        <v>87</v>
      </c>
    </row>
    <row r="359" spans="1:9" x14ac:dyDescent="0.25">
      <c r="A359">
        <v>357</v>
      </c>
      <c r="B359" s="1">
        <v>45470</v>
      </c>
      <c r="C359" t="s">
        <v>6</v>
      </c>
      <c r="D359">
        <v>12616</v>
      </c>
      <c r="E359" t="s">
        <v>7</v>
      </c>
      <c r="F359" t="s">
        <v>13</v>
      </c>
      <c r="G359">
        <f>MONTH(cleaned_personal_finance_data[[#This Row],[date]])</f>
        <v>6</v>
      </c>
      <c r="H359">
        <f>YEAR(cleaned_personal_finance_data[[#This Row],[date]])</f>
        <v>2024</v>
      </c>
      <c r="I359" t="s">
        <v>318</v>
      </c>
    </row>
    <row r="360" spans="1:9" x14ac:dyDescent="0.25">
      <c r="A360">
        <v>358</v>
      </c>
      <c r="B360" s="1">
        <v>45470</v>
      </c>
      <c r="C360" t="s">
        <v>28</v>
      </c>
      <c r="D360">
        <v>50</v>
      </c>
      <c r="E360" t="s">
        <v>15</v>
      </c>
      <c r="F360" t="s">
        <v>21</v>
      </c>
      <c r="G360">
        <f>MONTH(cleaned_personal_finance_data[[#This Row],[date]])</f>
        <v>6</v>
      </c>
      <c r="H360">
        <f>YEAR(cleaned_personal_finance_data[[#This Row],[date]])</f>
        <v>2024</v>
      </c>
      <c r="I360" t="s">
        <v>28</v>
      </c>
    </row>
    <row r="361" spans="1:9" x14ac:dyDescent="0.25">
      <c r="A361">
        <v>359</v>
      </c>
      <c r="B361" s="1">
        <v>45470</v>
      </c>
      <c r="C361" t="s">
        <v>28</v>
      </c>
      <c r="D361">
        <v>50</v>
      </c>
      <c r="E361" t="s">
        <v>15</v>
      </c>
      <c r="F361" t="s">
        <v>21</v>
      </c>
      <c r="G361">
        <f>MONTH(cleaned_personal_finance_data[[#This Row],[date]])</f>
        <v>6</v>
      </c>
      <c r="H361">
        <f>YEAR(cleaned_personal_finance_data[[#This Row],[date]])</f>
        <v>2024</v>
      </c>
      <c r="I361" t="s">
        <v>28</v>
      </c>
    </row>
    <row r="362" spans="1:9" x14ac:dyDescent="0.25">
      <c r="A362">
        <v>360</v>
      </c>
      <c r="B362" s="1">
        <v>45471</v>
      </c>
      <c r="C362" t="s">
        <v>176</v>
      </c>
      <c r="D362">
        <v>129</v>
      </c>
      <c r="E362" t="s">
        <v>15</v>
      </c>
      <c r="F362" t="s">
        <v>21</v>
      </c>
      <c r="G362">
        <f>MONTH(cleaned_personal_finance_data[[#This Row],[date]])</f>
        <v>6</v>
      </c>
      <c r="H362">
        <f>YEAR(cleaned_personal_finance_data[[#This Row],[date]])</f>
        <v>2024</v>
      </c>
      <c r="I362" t="s">
        <v>176</v>
      </c>
    </row>
    <row r="363" spans="1:9" x14ac:dyDescent="0.25">
      <c r="A363">
        <v>361</v>
      </c>
      <c r="B363" s="1">
        <v>45471</v>
      </c>
      <c r="C363" t="s">
        <v>28</v>
      </c>
      <c r="D363">
        <v>125</v>
      </c>
      <c r="E363" t="s">
        <v>15</v>
      </c>
      <c r="F363" t="s">
        <v>21</v>
      </c>
      <c r="G363">
        <f>MONTH(cleaned_personal_finance_data[[#This Row],[date]])</f>
        <v>6</v>
      </c>
      <c r="H363">
        <f>YEAR(cleaned_personal_finance_data[[#This Row],[date]])</f>
        <v>2024</v>
      </c>
      <c r="I363" t="s">
        <v>28</v>
      </c>
    </row>
    <row r="364" spans="1:9" x14ac:dyDescent="0.25">
      <c r="A364">
        <v>362</v>
      </c>
      <c r="B364" s="1">
        <v>45471</v>
      </c>
      <c r="C364" t="s">
        <v>177</v>
      </c>
      <c r="D364">
        <v>150</v>
      </c>
      <c r="E364" t="s">
        <v>15</v>
      </c>
      <c r="F364" t="s">
        <v>21</v>
      </c>
      <c r="G364">
        <f>MONTH(cleaned_personal_finance_data[[#This Row],[date]])</f>
        <v>6</v>
      </c>
      <c r="H364">
        <f>YEAR(cleaned_personal_finance_data[[#This Row],[date]])</f>
        <v>2024</v>
      </c>
      <c r="I364" t="s">
        <v>323</v>
      </c>
    </row>
    <row r="365" spans="1:9" x14ac:dyDescent="0.25">
      <c r="A365">
        <v>363</v>
      </c>
      <c r="B365" s="1">
        <v>45471</v>
      </c>
      <c r="C365" t="s">
        <v>178</v>
      </c>
      <c r="D365">
        <v>150</v>
      </c>
      <c r="E365" t="s">
        <v>15</v>
      </c>
      <c r="F365" t="s">
        <v>13</v>
      </c>
      <c r="G365">
        <f>MONTH(cleaned_personal_finance_data[[#This Row],[date]])</f>
        <v>6</v>
      </c>
      <c r="H365">
        <f>YEAR(cleaned_personal_finance_data[[#This Row],[date]])</f>
        <v>2024</v>
      </c>
      <c r="I365" t="s">
        <v>43</v>
      </c>
    </row>
    <row r="366" spans="1:9" x14ac:dyDescent="0.25">
      <c r="A366">
        <v>364</v>
      </c>
      <c r="B366" s="1">
        <v>45471</v>
      </c>
      <c r="C366" t="s">
        <v>167</v>
      </c>
      <c r="D366">
        <v>178</v>
      </c>
      <c r="E366" t="s">
        <v>15</v>
      </c>
      <c r="F366" t="s">
        <v>13</v>
      </c>
      <c r="G366">
        <f>MONTH(cleaned_personal_finance_data[[#This Row],[date]])</f>
        <v>6</v>
      </c>
      <c r="H366">
        <f>YEAR(cleaned_personal_finance_data[[#This Row],[date]])</f>
        <v>2024</v>
      </c>
      <c r="I366" t="s">
        <v>167</v>
      </c>
    </row>
    <row r="367" spans="1:9" x14ac:dyDescent="0.25">
      <c r="A367">
        <v>365</v>
      </c>
      <c r="B367" s="1">
        <v>45471</v>
      </c>
      <c r="C367" t="s">
        <v>179</v>
      </c>
      <c r="D367">
        <v>16</v>
      </c>
      <c r="E367" t="s">
        <v>15</v>
      </c>
      <c r="F367" t="s">
        <v>13</v>
      </c>
      <c r="G367">
        <f>MONTH(cleaned_personal_finance_data[[#This Row],[date]])</f>
        <v>6</v>
      </c>
      <c r="H367">
        <f>YEAR(cleaned_personal_finance_data[[#This Row],[date]])</f>
        <v>2024</v>
      </c>
      <c r="I367" t="s">
        <v>179</v>
      </c>
    </row>
    <row r="368" spans="1:9" x14ac:dyDescent="0.25">
      <c r="A368">
        <v>366</v>
      </c>
      <c r="B368" s="1">
        <v>45471</v>
      </c>
      <c r="C368" t="s">
        <v>180</v>
      </c>
      <c r="D368">
        <v>10</v>
      </c>
      <c r="E368" t="s">
        <v>15</v>
      </c>
      <c r="F368" t="s">
        <v>13</v>
      </c>
      <c r="G368">
        <f>MONTH(cleaned_personal_finance_data[[#This Row],[date]])</f>
        <v>6</v>
      </c>
      <c r="H368">
        <f>YEAR(cleaned_personal_finance_data[[#This Row],[date]])</f>
        <v>2024</v>
      </c>
      <c r="I368" t="s">
        <v>43</v>
      </c>
    </row>
    <row r="369" spans="1:9" x14ac:dyDescent="0.25">
      <c r="A369">
        <v>367</v>
      </c>
      <c r="B369" s="1">
        <v>45471</v>
      </c>
      <c r="C369" t="s">
        <v>67</v>
      </c>
      <c r="D369">
        <v>12</v>
      </c>
      <c r="E369" t="s">
        <v>15</v>
      </c>
      <c r="F369" t="s">
        <v>13</v>
      </c>
      <c r="G369">
        <f>MONTH(cleaned_personal_finance_data[[#This Row],[date]])</f>
        <v>6</v>
      </c>
      <c r="H369">
        <f>YEAR(cleaned_personal_finance_data[[#This Row],[date]])</f>
        <v>2024</v>
      </c>
      <c r="I369" t="s">
        <v>67</v>
      </c>
    </row>
    <row r="370" spans="1:9" x14ac:dyDescent="0.25">
      <c r="A370">
        <v>368</v>
      </c>
      <c r="B370" s="1">
        <v>45471</v>
      </c>
      <c r="C370" t="s">
        <v>181</v>
      </c>
      <c r="D370">
        <v>150</v>
      </c>
      <c r="E370" t="s">
        <v>15</v>
      </c>
      <c r="F370" t="s">
        <v>13</v>
      </c>
      <c r="G370">
        <f>MONTH(cleaned_personal_finance_data[[#This Row],[date]])</f>
        <v>6</v>
      </c>
      <c r="H370">
        <f>YEAR(cleaned_personal_finance_data[[#This Row],[date]])</f>
        <v>2024</v>
      </c>
      <c r="I370" t="s">
        <v>43</v>
      </c>
    </row>
    <row r="371" spans="1:9" x14ac:dyDescent="0.25">
      <c r="A371">
        <v>369</v>
      </c>
      <c r="B371" s="1">
        <v>45471</v>
      </c>
      <c r="C371" t="s">
        <v>76</v>
      </c>
      <c r="D371">
        <v>50</v>
      </c>
      <c r="E371" t="s">
        <v>15</v>
      </c>
      <c r="F371" t="s">
        <v>13</v>
      </c>
      <c r="G371">
        <f>MONTH(cleaned_personal_finance_data[[#This Row],[date]])</f>
        <v>6</v>
      </c>
      <c r="H371">
        <f>YEAR(cleaned_personal_finance_data[[#This Row],[date]])</f>
        <v>2024</v>
      </c>
      <c r="I371" t="s">
        <v>43</v>
      </c>
    </row>
    <row r="372" spans="1:9" x14ac:dyDescent="0.25">
      <c r="A372">
        <v>370</v>
      </c>
      <c r="B372" s="1">
        <v>45471</v>
      </c>
      <c r="C372" t="s">
        <v>136</v>
      </c>
      <c r="D372">
        <v>220000</v>
      </c>
      <c r="E372" t="s">
        <v>10</v>
      </c>
      <c r="F372" t="s">
        <v>8</v>
      </c>
      <c r="G372">
        <f>MONTH(cleaned_personal_finance_data[[#This Row],[date]])</f>
        <v>6</v>
      </c>
      <c r="H372">
        <f>YEAR(cleaned_personal_finance_data[[#This Row],[date]])</f>
        <v>2024</v>
      </c>
      <c r="I372" t="s">
        <v>136</v>
      </c>
    </row>
    <row r="373" spans="1:9" x14ac:dyDescent="0.25">
      <c r="A373">
        <v>371</v>
      </c>
      <c r="B373" s="1">
        <v>45471</v>
      </c>
      <c r="C373" t="s">
        <v>11</v>
      </c>
      <c r="D373">
        <v>220000</v>
      </c>
      <c r="E373" t="s">
        <v>12</v>
      </c>
      <c r="F373" t="s">
        <v>13</v>
      </c>
      <c r="G373">
        <f>MONTH(cleaned_personal_finance_data[[#This Row],[date]])</f>
        <v>6</v>
      </c>
      <c r="H373">
        <f>YEAR(cleaned_personal_finance_data[[#This Row],[date]])</f>
        <v>2024</v>
      </c>
      <c r="I373" t="s">
        <v>11</v>
      </c>
    </row>
    <row r="374" spans="1:9" x14ac:dyDescent="0.25">
      <c r="A374">
        <v>372</v>
      </c>
      <c r="B374" s="1">
        <v>45474</v>
      </c>
      <c r="C374" t="s">
        <v>64</v>
      </c>
      <c r="D374">
        <v>199</v>
      </c>
      <c r="E374" t="s">
        <v>15</v>
      </c>
      <c r="F374" t="s">
        <v>21</v>
      </c>
      <c r="G374">
        <f>MONTH(cleaned_personal_finance_data[[#This Row],[date]])</f>
        <v>7</v>
      </c>
      <c r="H374">
        <f>YEAR(cleaned_personal_finance_data[[#This Row],[date]])</f>
        <v>2024</v>
      </c>
      <c r="I374" t="s">
        <v>64</v>
      </c>
    </row>
    <row r="375" spans="1:9" x14ac:dyDescent="0.25">
      <c r="A375">
        <v>373</v>
      </c>
      <c r="B375" s="1">
        <v>45477</v>
      </c>
      <c r="C375" t="s">
        <v>145</v>
      </c>
      <c r="D375">
        <v>5000</v>
      </c>
      <c r="E375" t="s">
        <v>15</v>
      </c>
      <c r="F375" t="s">
        <v>13</v>
      </c>
      <c r="G375">
        <f>MONTH(cleaned_personal_finance_data[[#This Row],[date]])</f>
        <v>7</v>
      </c>
      <c r="H375">
        <f>YEAR(cleaned_personal_finance_data[[#This Row],[date]])</f>
        <v>2024</v>
      </c>
      <c r="I375" t="s">
        <v>145</v>
      </c>
    </row>
    <row r="376" spans="1:9" x14ac:dyDescent="0.25">
      <c r="A376">
        <v>374</v>
      </c>
      <c r="B376" s="1">
        <v>45477</v>
      </c>
      <c r="C376" t="s">
        <v>103</v>
      </c>
      <c r="D376">
        <v>260</v>
      </c>
      <c r="E376" t="s">
        <v>15</v>
      </c>
      <c r="F376" t="s">
        <v>13</v>
      </c>
      <c r="G376">
        <f>MONTH(cleaned_personal_finance_data[[#This Row],[date]])</f>
        <v>7</v>
      </c>
      <c r="H376">
        <f>YEAR(cleaned_personal_finance_data[[#This Row],[date]])</f>
        <v>2024</v>
      </c>
      <c r="I376" t="s">
        <v>329</v>
      </c>
    </row>
    <row r="377" spans="1:9" x14ac:dyDescent="0.25">
      <c r="A377">
        <v>375</v>
      </c>
      <c r="B377" s="1">
        <v>45479</v>
      </c>
      <c r="C377" t="s">
        <v>24</v>
      </c>
      <c r="D377">
        <v>239</v>
      </c>
      <c r="E377" t="s">
        <v>15</v>
      </c>
      <c r="F377" t="s">
        <v>21</v>
      </c>
      <c r="G377">
        <f>MONTH(cleaned_personal_finance_data[[#This Row],[date]])</f>
        <v>7</v>
      </c>
      <c r="H377">
        <f>YEAR(cleaned_personal_finance_data[[#This Row],[date]])</f>
        <v>2024</v>
      </c>
      <c r="I377" t="s">
        <v>24</v>
      </c>
    </row>
    <row r="378" spans="1:9" x14ac:dyDescent="0.25">
      <c r="A378">
        <v>376</v>
      </c>
      <c r="B378" s="1">
        <v>45483</v>
      </c>
      <c r="C378" t="s">
        <v>182</v>
      </c>
      <c r="D378">
        <v>144</v>
      </c>
      <c r="E378" t="s">
        <v>15</v>
      </c>
      <c r="F378" t="s">
        <v>13</v>
      </c>
      <c r="G378">
        <f>MONTH(cleaned_personal_finance_data[[#This Row],[date]])</f>
        <v>7</v>
      </c>
      <c r="H378">
        <f>YEAR(cleaned_personal_finance_data[[#This Row],[date]])</f>
        <v>2024</v>
      </c>
      <c r="I378" t="s">
        <v>47</v>
      </c>
    </row>
    <row r="379" spans="1:9" x14ac:dyDescent="0.25">
      <c r="A379">
        <v>377</v>
      </c>
      <c r="B379" s="1">
        <v>45483</v>
      </c>
      <c r="C379" t="s">
        <v>183</v>
      </c>
      <c r="D379">
        <v>188</v>
      </c>
      <c r="E379" t="s">
        <v>15</v>
      </c>
      <c r="F379" t="s">
        <v>21</v>
      </c>
      <c r="G379">
        <f>MONTH(cleaned_personal_finance_data[[#This Row],[date]])</f>
        <v>7</v>
      </c>
      <c r="H379">
        <f>YEAR(cleaned_personal_finance_data[[#This Row],[date]])</f>
        <v>2024</v>
      </c>
      <c r="I379" t="s">
        <v>324</v>
      </c>
    </row>
    <row r="380" spans="1:9" x14ac:dyDescent="0.25">
      <c r="A380">
        <v>378</v>
      </c>
      <c r="B380" s="1">
        <v>45483</v>
      </c>
      <c r="C380" t="s">
        <v>184</v>
      </c>
      <c r="D380">
        <v>50</v>
      </c>
      <c r="E380" t="s">
        <v>15</v>
      </c>
      <c r="F380" t="s">
        <v>21</v>
      </c>
      <c r="G380">
        <f>MONTH(cleaned_personal_finance_data[[#This Row],[date]])</f>
        <v>7</v>
      </c>
      <c r="H380">
        <f>YEAR(cleaned_personal_finance_data[[#This Row],[date]])</f>
        <v>2024</v>
      </c>
      <c r="I380" t="s">
        <v>28</v>
      </c>
    </row>
    <row r="381" spans="1:9" x14ac:dyDescent="0.25">
      <c r="A381">
        <v>379</v>
      </c>
      <c r="B381" s="1">
        <v>45483</v>
      </c>
      <c r="C381" t="s">
        <v>184</v>
      </c>
      <c r="D381">
        <v>125</v>
      </c>
      <c r="E381" t="s">
        <v>15</v>
      </c>
      <c r="F381" t="s">
        <v>21</v>
      </c>
      <c r="G381">
        <f>MONTH(cleaned_personal_finance_data[[#This Row],[date]])</f>
        <v>7</v>
      </c>
      <c r="H381">
        <f>YEAR(cleaned_personal_finance_data[[#This Row],[date]])</f>
        <v>2024</v>
      </c>
      <c r="I381" t="s">
        <v>28</v>
      </c>
    </row>
    <row r="382" spans="1:9" x14ac:dyDescent="0.25">
      <c r="A382">
        <v>380</v>
      </c>
      <c r="B382" s="1">
        <v>45484</v>
      </c>
      <c r="C382" t="s">
        <v>185</v>
      </c>
      <c r="D382">
        <v>2542</v>
      </c>
      <c r="E382" t="s">
        <v>15</v>
      </c>
      <c r="F382" t="s">
        <v>13</v>
      </c>
      <c r="G382">
        <f>MONTH(cleaned_personal_finance_data[[#This Row],[date]])</f>
        <v>7</v>
      </c>
      <c r="H382">
        <f>YEAR(cleaned_personal_finance_data[[#This Row],[date]])</f>
        <v>2024</v>
      </c>
      <c r="I382" t="s">
        <v>185</v>
      </c>
    </row>
    <row r="383" spans="1:9" x14ac:dyDescent="0.25">
      <c r="A383">
        <v>381</v>
      </c>
      <c r="B383" s="1">
        <v>45485</v>
      </c>
      <c r="C383" t="s">
        <v>28</v>
      </c>
      <c r="D383">
        <v>50</v>
      </c>
      <c r="E383" t="s">
        <v>15</v>
      </c>
      <c r="F383" t="s">
        <v>21</v>
      </c>
      <c r="G383">
        <f>MONTH(cleaned_personal_finance_data[[#This Row],[date]])</f>
        <v>7</v>
      </c>
      <c r="H383">
        <f>YEAR(cleaned_personal_finance_data[[#This Row],[date]])</f>
        <v>2024</v>
      </c>
      <c r="I383" t="s">
        <v>28</v>
      </c>
    </row>
    <row r="384" spans="1:9" x14ac:dyDescent="0.25">
      <c r="A384">
        <v>382</v>
      </c>
      <c r="B384" s="1">
        <v>45488</v>
      </c>
      <c r="C384" t="s">
        <v>186</v>
      </c>
      <c r="D384">
        <v>30</v>
      </c>
      <c r="E384" t="s">
        <v>15</v>
      </c>
      <c r="F384" t="s">
        <v>13</v>
      </c>
      <c r="G384">
        <f>MONTH(cleaned_personal_finance_data[[#This Row],[date]])</f>
        <v>7</v>
      </c>
      <c r="H384">
        <f>YEAR(cleaned_personal_finance_data[[#This Row],[date]])</f>
        <v>2024</v>
      </c>
      <c r="I384" t="s">
        <v>186</v>
      </c>
    </row>
    <row r="385" spans="1:9" x14ac:dyDescent="0.25">
      <c r="A385">
        <v>383</v>
      </c>
      <c r="B385" s="1">
        <v>45488</v>
      </c>
      <c r="C385" t="s">
        <v>6</v>
      </c>
      <c r="D385">
        <v>12663</v>
      </c>
      <c r="E385" t="s">
        <v>7</v>
      </c>
      <c r="F385" t="s">
        <v>8</v>
      </c>
      <c r="G385">
        <f>MONTH(cleaned_personal_finance_data[[#This Row],[date]])</f>
        <v>7</v>
      </c>
      <c r="H385">
        <f>YEAR(cleaned_personal_finance_data[[#This Row],[date]])</f>
        <v>2024</v>
      </c>
      <c r="I385" t="s">
        <v>318</v>
      </c>
    </row>
    <row r="386" spans="1:9" x14ac:dyDescent="0.25">
      <c r="A386">
        <v>384</v>
      </c>
      <c r="B386" s="1">
        <v>45489</v>
      </c>
      <c r="C386" t="s">
        <v>187</v>
      </c>
      <c r="D386">
        <v>45</v>
      </c>
      <c r="E386" t="s">
        <v>15</v>
      </c>
      <c r="F386" t="s">
        <v>13</v>
      </c>
      <c r="G386">
        <f>MONTH(cleaned_personal_finance_data[[#This Row],[date]])</f>
        <v>7</v>
      </c>
      <c r="H386">
        <f>YEAR(cleaned_personal_finance_data[[#This Row],[date]])</f>
        <v>2024</v>
      </c>
      <c r="I386" t="s">
        <v>187</v>
      </c>
    </row>
    <row r="387" spans="1:9" x14ac:dyDescent="0.25">
      <c r="A387">
        <v>385</v>
      </c>
      <c r="B387" s="1">
        <v>45489</v>
      </c>
      <c r="C387" t="s">
        <v>188</v>
      </c>
      <c r="D387">
        <v>1195</v>
      </c>
      <c r="E387" t="s">
        <v>15</v>
      </c>
      <c r="F387" t="s">
        <v>13</v>
      </c>
      <c r="G387">
        <f>MONTH(cleaned_personal_finance_data[[#This Row],[date]])</f>
        <v>7</v>
      </c>
      <c r="H387">
        <f>YEAR(cleaned_personal_finance_data[[#This Row],[date]])</f>
        <v>2024</v>
      </c>
      <c r="I387" t="s">
        <v>188</v>
      </c>
    </row>
    <row r="388" spans="1:9" x14ac:dyDescent="0.25">
      <c r="A388">
        <v>386</v>
      </c>
      <c r="B388" s="1">
        <v>45489</v>
      </c>
      <c r="C388" t="s">
        <v>189</v>
      </c>
      <c r="D388">
        <v>455</v>
      </c>
      <c r="E388" t="s">
        <v>15</v>
      </c>
      <c r="F388" t="s">
        <v>13</v>
      </c>
      <c r="G388">
        <f>MONTH(cleaned_personal_finance_data[[#This Row],[date]])</f>
        <v>7</v>
      </c>
      <c r="H388">
        <f>YEAR(cleaned_personal_finance_data[[#This Row],[date]])</f>
        <v>2024</v>
      </c>
      <c r="I388" t="s">
        <v>204</v>
      </c>
    </row>
    <row r="389" spans="1:9" x14ac:dyDescent="0.25">
      <c r="A389">
        <v>387</v>
      </c>
      <c r="B389" s="1">
        <v>45489</v>
      </c>
      <c r="C389" t="s">
        <v>190</v>
      </c>
      <c r="D389">
        <v>550</v>
      </c>
      <c r="E389" t="s">
        <v>15</v>
      </c>
      <c r="F389" t="s">
        <v>13</v>
      </c>
      <c r="G389">
        <f>MONTH(cleaned_personal_finance_data[[#This Row],[date]])</f>
        <v>7</v>
      </c>
      <c r="H389">
        <f>YEAR(cleaned_personal_finance_data[[#This Row],[date]])</f>
        <v>2024</v>
      </c>
      <c r="I389" t="s">
        <v>190</v>
      </c>
    </row>
    <row r="390" spans="1:9" x14ac:dyDescent="0.25">
      <c r="A390">
        <v>388</v>
      </c>
      <c r="B390" s="1">
        <v>45489</v>
      </c>
      <c r="C390" t="s">
        <v>191</v>
      </c>
      <c r="D390">
        <v>2000</v>
      </c>
      <c r="E390" t="s">
        <v>15</v>
      </c>
      <c r="F390" t="s">
        <v>13</v>
      </c>
      <c r="G390">
        <f>MONTH(cleaned_personal_finance_data[[#This Row],[date]])</f>
        <v>7</v>
      </c>
      <c r="H390">
        <f>YEAR(cleaned_personal_finance_data[[#This Row],[date]])</f>
        <v>2024</v>
      </c>
      <c r="I390" t="s">
        <v>191</v>
      </c>
    </row>
    <row r="391" spans="1:9" x14ac:dyDescent="0.25">
      <c r="A391">
        <v>389</v>
      </c>
      <c r="B391" s="1">
        <v>45490</v>
      </c>
      <c r="C391" t="s">
        <v>192</v>
      </c>
      <c r="D391">
        <v>237</v>
      </c>
      <c r="E391" t="s">
        <v>15</v>
      </c>
      <c r="F391" t="s">
        <v>13</v>
      </c>
      <c r="G391">
        <f>MONTH(cleaned_personal_finance_data[[#This Row],[date]])</f>
        <v>7</v>
      </c>
      <c r="H391">
        <f>YEAR(cleaned_personal_finance_data[[#This Row],[date]])</f>
        <v>2024</v>
      </c>
      <c r="I391" t="s">
        <v>167</v>
      </c>
    </row>
    <row r="392" spans="1:9" x14ac:dyDescent="0.25">
      <c r="A392">
        <v>390</v>
      </c>
      <c r="B392" s="1">
        <v>45490</v>
      </c>
      <c r="C392" t="s">
        <v>193</v>
      </c>
      <c r="D392">
        <v>160</v>
      </c>
      <c r="E392" t="s">
        <v>15</v>
      </c>
      <c r="F392" t="s">
        <v>13</v>
      </c>
      <c r="G392">
        <f>MONTH(cleaned_personal_finance_data[[#This Row],[date]])</f>
        <v>7</v>
      </c>
      <c r="H392">
        <f>YEAR(cleaned_personal_finance_data[[#This Row],[date]])</f>
        <v>2024</v>
      </c>
      <c r="I392" t="s">
        <v>167</v>
      </c>
    </row>
    <row r="393" spans="1:9" x14ac:dyDescent="0.25">
      <c r="A393">
        <v>391</v>
      </c>
      <c r="B393" s="1">
        <v>45490</v>
      </c>
      <c r="C393" t="s">
        <v>64</v>
      </c>
      <c r="D393">
        <v>199</v>
      </c>
      <c r="E393" t="s">
        <v>15</v>
      </c>
      <c r="F393" t="s">
        <v>21</v>
      </c>
      <c r="G393">
        <f>MONTH(cleaned_personal_finance_data[[#This Row],[date]])</f>
        <v>7</v>
      </c>
      <c r="H393">
        <f>YEAR(cleaned_personal_finance_data[[#This Row],[date]])</f>
        <v>2024</v>
      </c>
      <c r="I393" t="s">
        <v>64</v>
      </c>
    </row>
    <row r="394" spans="1:9" x14ac:dyDescent="0.25">
      <c r="A394">
        <v>392</v>
      </c>
      <c r="B394" s="1">
        <v>45490</v>
      </c>
      <c r="C394" t="s">
        <v>50</v>
      </c>
      <c r="D394">
        <v>699</v>
      </c>
      <c r="E394" t="s">
        <v>15</v>
      </c>
      <c r="F394" t="s">
        <v>21</v>
      </c>
      <c r="G394">
        <f>MONTH(cleaned_personal_finance_data[[#This Row],[date]])</f>
        <v>7</v>
      </c>
      <c r="H394">
        <f>YEAR(cleaned_personal_finance_data[[#This Row],[date]])</f>
        <v>2024</v>
      </c>
      <c r="I394" t="s">
        <v>50</v>
      </c>
    </row>
    <row r="395" spans="1:9" x14ac:dyDescent="0.25">
      <c r="A395">
        <v>393</v>
      </c>
      <c r="B395" s="1">
        <v>45492</v>
      </c>
      <c r="C395" t="s">
        <v>87</v>
      </c>
      <c r="D395">
        <v>600</v>
      </c>
      <c r="E395" t="s">
        <v>15</v>
      </c>
      <c r="F395" t="s">
        <v>13</v>
      </c>
      <c r="G395">
        <f>MONTH(cleaned_personal_finance_data[[#This Row],[date]])</f>
        <v>7</v>
      </c>
      <c r="H395">
        <f>YEAR(cleaned_personal_finance_data[[#This Row],[date]])</f>
        <v>2024</v>
      </c>
      <c r="I395" t="s">
        <v>87</v>
      </c>
    </row>
    <row r="396" spans="1:9" x14ac:dyDescent="0.25">
      <c r="A396">
        <v>394</v>
      </c>
      <c r="B396" s="1">
        <v>45492</v>
      </c>
      <c r="C396" t="s">
        <v>79</v>
      </c>
      <c r="D396">
        <v>150</v>
      </c>
      <c r="E396" t="s">
        <v>15</v>
      </c>
      <c r="F396" t="s">
        <v>13</v>
      </c>
      <c r="G396">
        <f>MONTH(cleaned_personal_finance_data[[#This Row],[date]])</f>
        <v>7</v>
      </c>
      <c r="H396">
        <f>YEAR(cleaned_personal_finance_data[[#This Row],[date]])</f>
        <v>2024</v>
      </c>
      <c r="I396" t="s">
        <v>79</v>
      </c>
    </row>
    <row r="397" spans="1:9" x14ac:dyDescent="0.25">
      <c r="A397">
        <v>395</v>
      </c>
      <c r="B397" s="1">
        <v>45492</v>
      </c>
      <c r="C397" t="s">
        <v>194</v>
      </c>
      <c r="D397">
        <v>4000</v>
      </c>
      <c r="E397" t="s">
        <v>15</v>
      </c>
      <c r="F397" t="s">
        <v>13</v>
      </c>
      <c r="G397">
        <f>MONTH(cleaned_personal_finance_data[[#This Row],[date]])</f>
        <v>7</v>
      </c>
      <c r="H397">
        <f>YEAR(cleaned_personal_finance_data[[#This Row],[date]])</f>
        <v>2024</v>
      </c>
      <c r="I397" t="s">
        <v>194</v>
      </c>
    </row>
    <row r="398" spans="1:9" x14ac:dyDescent="0.25">
      <c r="A398">
        <v>396</v>
      </c>
      <c r="B398" s="1">
        <v>45493</v>
      </c>
      <c r="C398" t="s">
        <v>87</v>
      </c>
      <c r="D398">
        <v>1200</v>
      </c>
      <c r="E398" t="s">
        <v>15</v>
      </c>
      <c r="F398" t="s">
        <v>13</v>
      </c>
      <c r="G398">
        <f>MONTH(cleaned_personal_finance_data[[#This Row],[date]])</f>
        <v>7</v>
      </c>
      <c r="H398">
        <f>YEAR(cleaned_personal_finance_data[[#This Row],[date]])</f>
        <v>2024</v>
      </c>
      <c r="I398" t="s">
        <v>87</v>
      </c>
    </row>
    <row r="399" spans="1:9" x14ac:dyDescent="0.25">
      <c r="A399">
        <v>397</v>
      </c>
      <c r="B399" s="1">
        <v>45494</v>
      </c>
      <c r="C399" t="s">
        <v>20</v>
      </c>
      <c r="D399">
        <v>3000</v>
      </c>
      <c r="E399" t="s">
        <v>10</v>
      </c>
      <c r="F399" t="s">
        <v>13</v>
      </c>
      <c r="G399">
        <f>MONTH(cleaned_personal_finance_data[[#This Row],[date]])</f>
        <v>7</v>
      </c>
      <c r="H399">
        <f>YEAR(cleaned_personal_finance_data[[#This Row],[date]])</f>
        <v>2024</v>
      </c>
      <c r="I399" t="s">
        <v>20</v>
      </c>
    </row>
    <row r="400" spans="1:9" x14ac:dyDescent="0.25">
      <c r="A400">
        <v>398</v>
      </c>
      <c r="B400" s="1">
        <v>45494</v>
      </c>
      <c r="C400" t="s">
        <v>20</v>
      </c>
      <c r="D400">
        <v>3400</v>
      </c>
      <c r="E400" t="s">
        <v>12</v>
      </c>
      <c r="F400" t="s">
        <v>21</v>
      </c>
      <c r="G400">
        <f>MONTH(cleaned_personal_finance_data[[#This Row],[date]])</f>
        <v>7</v>
      </c>
      <c r="H400">
        <f>YEAR(cleaned_personal_finance_data[[#This Row],[date]])</f>
        <v>2024</v>
      </c>
      <c r="I400" t="s">
        <v>20</v>
      </c>
    </row>
    <row r="401" spans="1:9" x14ac:dyDescent="0.25">
      <c r="A401">
        <v>399</v>
      </c>
      <c r="B401" s="1">
        <v>45495</v>
      </c>
      <c r="C401" t="s">
        <v>34</v>
      </c>
      <c r="D401">
        <v>129</v>
      </c>
      <c r="E401" t="s">
        <v>15</v>
      </c>
      <c r="F401" t="s">
        <v>21</v>
      </c>
      <c r="G401">
        <f>MONTH(cleaned_personal_finance_data[[#This Row],[date]])</f>
        <v>7</v>
      </c>
      <c r="H401">
        <f>YEAR(cleaned_personal_finance_data[[#This Row],[date]])</f>
        <v>2024</v>
      </c>
      <c r="I401" t="s">
        <v>34</v>
      </c>
    </row>
    <row r="402" spans="1:9" x14ac:dyDescent="0.25">
      <c r="A402">
        <v>400</v>
      </c>
      <c r="B402" s="1">
        <v>45495</v>
      </c>
      <c r="C402" t="s">
        <v>195</v>
      </c>
      <c r="D402">
        <v>650</v>
      </c>
      <c r="E402" t="s">
        <v>15</v>
      </c>
      <c r="F402" t="s">
        <v>21</v>
      </c>
      <c r="G402">
        <f>MONTH(cleaned_personal_finance_data[[#This Row],[date]])</f>
        <v>7</v>
      </c>
      <c r="H402">
        <f>YEAR(cleaned_personal_finance_data[[#This Row],[date]])</f>
        <v>2024</v>
      </c>
      <c r="I402" t="s">
        <v>195</v>
      </c>
    </row>
    <row r="403" spans="1:9" x14ac:dyDescent="0.25">
      <c r="A403">
        <v>401</v>
      </c>
      <c r="B403" s="1">
        <v>45496</v>
      </c>
      <c r="C403" t="s">
        <v>196</v>
      </c>
      <c r="D403">
        <v>150</v>
      </c>
      <c r="E403" t="s">
        <v>15</v>
      </c>
      <c r="F403" t="s">
        <v>13</v>
      </c>
      <c r="G403">
        <f>MONTH(cleaned_personal_finance_data[[#This Row],[date]])</f>
        <v>7</v>
      </c>
      <c r="H403">
        <f>YEAR(cleaned_personal_finance_data[[#This Row],[date]])</f>
        <v>2024</v>
      </c>
      <c r="I403" t="s">
        <v>196</v>
      </c>
    </row>
    <row r="404" spans="1:9" x14ac:dyDescent="0.25">
      <c r="A404">
        <v>402</v>
      </c>
      <c r="B404" s="1">
        <v>45498</v>
      </c>
      <c r="C404" t="s">
        <v>51</v>
      </c>
      <c r="D404">
        <v>30</v>
      </c>
      <c r="E404" t="s">
        <v>15</v>
      </c>
      <c r="F404" t="s">
        <v>13</v>
      </c>
      <c r="G404">
        <f>MONTH(cleaned_personal_finance_data[[#This Row],[date]])</f>
        <v>7</v>
      </c>
      <c r="H404">
        <f>YEAR(cleaned_personal_finance_data[[#This Row],[date]])</f>
        <v>2024</v>
      </c>
      <c r="I404" t="s">
        <v>43</v>
      </c>
    </row>
    <row r="405" spans="1:9" x14ac:dyDescent="0.25">
      <c r="A405">
        <v>403</v>
      </c>
      <c r="B405" s="1">
        <v>45498</v>
      </c>
      <c r="C405" t="s">
        <v>54</v>
      </c>
      <c r="D405">
        <v>30</v>
      </c>
      <c r="E405" t="s">
        <v>15</v>
      </c>
      <c r="F405" t="s">
        <v>13</v>
      </c>
      <c r="G405">
        <f>MONTH(cleaned_personal_finance_data[[#This Row],[date]])</f>
        <v>7</v>
      </c>
      <c r="H405">
        <f>YEAR(cleaned_personal_finance_data[[#This Row],[date]])</f>
        <v>2024</v>
      </c>
      <c r="I405" t="s">
        <v>54</v>
      </c>
    </row>
    <row r="406" spans="1:9" x14ac:dyDescent="0.25">
      <c r="A406">
        <v>404</v>
      </c>
      <c r="B406" s="1">
        <v>45498</v>
      </c>
      <c r="C406" t="s">
        <v>66</v>
      </c>
      <c r="D406">
        <v>10</v>
      </c>
      <c r="E406" t="s">
        <v>15</v>
      </c>
      <c r="F406" t="s">
        <v>13</v>
      </c>
      <c r="G406">
        <f>MONTH(cleaned_personal_finance_data[[#This Row],[date]])</f>
        <v>7</v>
      </c>
      <c r="H406">
        <f>YEAR(cleaned_personal_finance_data[[#This Row],[date]])</f>
        <v>2024</v>
      </c>
      <c r="I406" t="s">
        <v>66</v>
      </c>
    </row>
    <row r="407" spans="1:9" x14ac:dyDescent="0.25">
      <c r="A407">
        <v>405</v>
      </c>
      <c r="B407" s="1">
        <v>45498</v>
      </c>
      <c r="C407" t="s">
        <v>197</v>
      </c>
      <c r="D407">
        <v>30</v>
      </c>
      <c r="E407" t="s">
        <v>15</v>
      </c>
      <c r="F407" t="s">
        <v>13</v>
      </c>
      <c r="G407">
        <f>MONTH(cleaned_personal_finance_data[[#This Row],[date]])</f>
        <v>7</v>
      </c>
      <c r="H407">
        <f>YEAR(cleaned_personal_finance_data[[#This Row],[date]])</f>
        <v>2024</v>
      </c>
      <c r="I407" t="s">
        <v>197</v>
      </c>
    </row>
    <row r="408" spans="1:9" x14ac:dyDescent="0.25">
      <c r="A408">
        <v>406</v>
      </c>
      <c r="B408" s="1">
        <v>45498</v>
      </c>
      <c r="C408" t="s">
        <v>76</v>
      </c>
      <c r="D408">
        <v>30</v>
      </c>
      <c r="E408" t="s">
        <v>15</v>
      </c>
      <c r="F408" t="s">
        <v>13</v>
      </c>
      <c r="G408">
        <f>MONTH(cleaned_personal_finance_data[[#This Row],[date]])</f>
        <v>7</v>
      </c>
      <c r="H408">
        <f>YEAR(cleaned_personal_finance_data[[#This Row],[date]])</f>
        <v>2024</v>
      </c>
      <c r="I408" t="s">
        <v>43</v>
      </c>
    </row>
    <row r="409" spans="1:9" x14ac:dyDescent="0.25">
      <c r="A409">
        <v>407</v>
      </c>
      <c r="B409" s="1">
        <v>45498</v>
      </c>
      <c r="C409" t="s">
        <v>198</v>
      </c>
      <c r="D409">
        <v>125</v>
      </c>
      <c r="E409" t="s">
        <v>15</v>
      </c>
      <c r="F409" t="s">
        <v>21</v>
      </c>
      <c r="G409">
        <f>MONTH(cleaned_personal_finance_data[[#This Row],[date]])</f>
        <v>7</v>
      </c>
      <c r="H409">
        <f>YEAR(cleaned_personal_finance_data[[#This Row],[date]])</f>
        <v>2024</v>
      </c>
      <c r="I409" t="s">
        <v>198</v>
      </c>
    </row>
    <row r="410" spans="1:9" x14ac:dyDescent="0.25">
      <c r="A410">
        <v>408</v>
      </c>
      <c r="B410" s="1">
        <v>45499</v>
      </c>
      <c r="C410" t="s">
        <v>51</v>
      </c>
      <c r="D410">
        <v>30</v>
      </c>
      <c r="E410" t="s">
        <v>15</v>
      </c>
      <c r="F410" t="s">
        <v>13</v>
      </c>
      <c r="G410">
        <f>MONTH(cleaned_personal_finance_data[[#This Row],[date]])</f>
        <v>7</v>
      </c>
      <c r="H410">
        <f>YEAR(cleaned_personal_finance_data[[#This Row],[date]])</f>
        <v>2024</v>
      </c>
      <c r="I410" t="s">
        <v>43</v>
      </c>
    </row>
    <row r="411" spans="1:9" x14ac:dyDescent="0.25">
      <c r="A411">
        <v>409</v>
      </c>
      <c r="B411" s="1">
        <v>45499</v>
      </c>
      <c r="C411" t="s">
        <v>199</v>
      </c>
      <c r="D411">
        <v>14</v>
      </c>
      <c r="E411" t="s">
        <v>15</v>
      </c>
      <c r="F411" t="s">
        <v>13</v>
      </c>
      <c r="G411">
        <f>MONTH(cleaned_personal_finance_data[[#This Row],[date]])</f>
        <v>7</v>
      </c>
      <c r="H411">
        <f>YEAR(cleaned_personal_finance_data[[#This Row],[date]])</f>
        <v>2024</v>
      </c>
      <c r="I411" t="s">
        <v>199</v>
      </c>
    </row>
    <row r="412" spans="1:9" x14ac:dyDescent="0.25">
      <c r="A412">
        <v>410</v>
      </c>
      <c r="B412" s="1">
        <v>45499</v>
      </c>
      <c r="C412" t="s">
        <v>66</v>
      </c>
      <c r="D412">
        <v>10</v>
      </c>
      <c r="E412" t="s">
        <v>15</v>
      </c>
      <c r="F412" t="s">
        <v>13</v>
      </c>
      <c r="G412">
        <f>MONTH(cleaned_personal_finance_data[[#This Row],[date]])</f>
        <v>7</v>
      </c>
      <c r="H412">
        <f>YEAR(cleaned_personal_finance_data[[#This Row],[date]])</f>
        <v>2024</v>
      </c>
      <c r="I412" t="s">
        <v>66</v>
      </c>
    </row>
    <row r="413" spans="1:9" x14ac:dyDescent="0.25">
      <c r="A413">
        <v>411</v>
      </c>
      <c r="B413" s="1">
        <v>45499</v>
      </c>
      <c r="C413" t="s">
        <v>67</v>
      </c>
      <c r="D413">
        <v>15</v>
      </c>
      <c r="E413" t="s">
        <v>15</v>
      </c>
      <c r="F413" t="s">
        <v>13</v>
      </c>
      <c r="G413">
        <f>MONTH(cleaned_personal_finance_data[[#This Row],[date]])</f>
        <v>7</v>
      </c>
      <c r="H413">
        <f>YEAR(cleaned_personal_finance_data[[#This Row],[date]])</f>
        <v>2024</v>
      </c>
      <c r="I413" t="s">
        <v>67</v>
      </c>
    </row>
    <row r="414" spans="1:9" x14ac:dyDescent="0.25">
      <c r="A414">
        <v>412</v>
      </c>
      <c r="B414" s="1">
        <v>45499</v>
      </c>
      <c r="C414" t="s">
        <v>76</v>
      </c>
      <c r="D414">
        <v>15</v>
      </c>
      <c r="E414" t="s">
        <v>15</v>
      </c>
      <c r="F414" t="s">
        <v>13</v>
      </c>
      <c r="G414">
        <f>MONTH(cleaned_personal_finance_data[[#This Row],[date]])</f>
        <v>7</v>
      </c>
      <c r="H414">
        <f>YEAR(cleaned_personal_finance_data[[#This Row],[date]])</f>
        <v>2024</v>
      </c>
      <c r="I414" t="s">
        <v>43</v>
      </c>
    </row>
    <row r="415" spans="1:9" x14ac:dyDescent="0.25">
      <c r="A415">
        <v>413</v>
      </c>
      <c r="B415" s="1">
        <v>45499</v>
      </c>
      <c r="C415" t="s">
        <v>6</v>
      </c>
      <c r="D415">
        <v>12615</v>
      </c>
      <c r="E415" t="s">
        <v>7</v>
      </c>
      <c r="F415" t="s">
        <v>13</v>
      </c>
      <c r="G415">
        <f>MONTH(cleaned_personal_finance_data[[#This Row],[date]])</f>
        <v>7</v>
      </c>
      <c r="H415">
        <f>YEAR(cleaned_personal_finance_data[[#This Row],[date]])</f>
        <v>2024</v>
      </c>
      <c r="I415" t="s">
        <v>318</v>
      </c>
    </row>
    <row r="416" spans="1:9" x14ac:dyDescent="0.25">
      <c r="A416">
        <v>414</v>
      </c>
      <c r="B416" s="1">
        <v>45500</v>
      </c>
      <c r="C416" t="s">
        <v>51</v>
      </c>
      <c r="D416">
        <v>30</v>
      </c>
      <c r="E416" t="s">
        <v>15</v>
      </c>
      <c r="F416" t="s">
        <v>13</v>
      </c>
      <c r="G416">
        <f>MONTH(cleaned_personal_finance_data[[#This Row],[date]])</f>
        <v>7</v>
      </c>
      <c r="H416">
        <f>YEAR(cleaned_personal_finance_data[[#This Row],[date]])</f>
        <v>2024</v>
      </c>
      <c r="I416" t="s">
        <v>43</v>
      </c>
    </row>
    <row r="417" spans="1:9" x14ac:dyDescent="0.25">
      <c r="A417">
        <v>415</v>
      </c>
      <c r="B417" s="1">
        <v>45500</v>
      </c>
      <c r="C417" t="s">
        <v>66</v>
      </c>
      <c r="D417">
        <v>10</v>
      </c>
      <c r="E417" t="s">
        <v>15</v>
      </c>
      <c r="F417" t="s">
        <v>13</v>
      </c>
      <c r="G417">
        <f>MONTH(cleaned_personal_finance_data[[#This Row],[date]])</f>
        <v>7</v>
      </c>
      <c r="H417">
        <f>YEAR(cleaned_personal_finance_data[[#This Row],[date]])</f>
        <v>2024</v>
      </c>
      <c r="I417" t="s">
        <v>66</v>
      </c>
    </row>
    <row r="418" spans="1:9" x14ac:dyDescent="0.25">
      <c r="A418">
        <v>416</v>
      </c>
      <c r="B418" s="1">
        <v>45500</v>
      </c>
      <c r="C418" t="s">
        <v>67</v>
      </c>
      <c r="D418">
        <v>15</v>
      </c>
      <c r="E418" t="s">
        <v>15</v>
      </c>
      <c r="F418" t="s">
        <v>13</v>
      </c>
      <c r="G418">
        <f>MONTH(cleaned_personal_finance_data[[#This Row],[date]])</f>
        <v>7</v>
      </c>
      <c r="H418">
        <f>YEAR(cleaned_personal_finance_data[[#This Row],[date]])</f>
        <v>2024</v>
      </c>
      <c r="I418" t="s">
        <v>67</v>
      </c>
    </row>
    <row r="419" spans="1:9" x14ac:dyDescent="0.25">
      <c r="A419">
        <v>417</v>
      </c>
      <c r="B419" s="1">
        <v>45500</v>
      </c>
      <c r="C419" t="s">
        <v>76</v>
      </c>
      <c r="D419">
        <v>30</v>
      </c>
      <c r="E419" t="s">
        <v>15</v>
      </c>
      <c r="F419" t="s">
        <v>13</v>
      </c>
      <c r="G419">
        <f>MONTH(cleaned_personal_finance_data[[#This Row],[date]])</f>
        <v>7</v>
      </c>
      <c r="H419">
        <f>YEAR(cleaned_personal_finance_data[[#This Row],[date]])</f>
        <v>2024</v>
      </c>
      <c r="I419" t="s">
        <v>43</v>
      </c>
    </row>
    <row r="420" spans="1:9" x14ac:dyDescent="0.25">
      <c r="A420">
        <v>418</v>
      </c>
      <c r="B420" s="1">
        <v>45503</v>
      </c>
      <c r="C420" t="s">
        <v>200</v>
      </c>
      <c r="D420">
        <v>5000</v>
      </c>
      <c r="E420" t="s">
        <v>7</v>
      </c>
      <c r="F420" t="s">
        <v>8</v>
      </c>
      <c r="G420">
        <f>MONTH(cleaned_personal_finance_data[[#This Row],[date]])</f>
        <v>7</v>
      </c>
      <c r="H420">
        <f>YEAR(cleaned_personal_finance_data[[#This Row],[date]])</f>
        <v>2024</v>
      </c>
      <c r="I420" t="s">
        <v>200</v>
      </c>
    </row>
    <row r="421" spans="1:9" x14ac:dyDescent="0.25">
      <c r="A421">
        <v>419</v>
      </c>
      <c r="B421" s="1">
        <v>45503</v>
      </c>
      <c r="C421" t="s">
        <v>184</v>
      </c>
      <c r="D421">
        <v>125</v>
      </c>
      <c r="E421" t="s">
        <v>15</v>
      </c>
      <c r="F421" t="s">
        <v>21</v>
      </c>
      <c r="G421">
        <f>MONTH(cleaned_personal_finance_data[[#This Row],[date]])</f>
        <v>7</v>
      </c>
      <c r="H421">
        <f>YEAR(cleaned_personal_finance_data[[#This Row],[date]])</f>
        <v>2024</v>
      </c>
      <c r="I421" t="s">
        <v>28</v>
      </c>
    </row>
    <row r="422" spans="1:9" x14ac:dyDescent="0.25">
      <c r="A422">
        <v>420</v>
      </c>
      <c r="B422" s="1">
        <v>45503</v>
      </c>
      <c r="C422" t="s">
        <v>28</v>
      </c>
      <c r="D422">
        <v>125</v>
      </c>
      <c r="E422" t="s">
        <v>15</v>
      </c>
      <c r="F422" t="s">
        <v>21</v>
      </c>
      <c r="G422">
        <f>MONTH(cleaned_personal_finance_data[[#This Row],[date]])</f>
        <v>7</v>
      </c>
      <c r="H422">
        <f>YEAR(cleaned_personal_finance_data[[#This Row],[date]])</f>
        <v>2024</v>
      </c>
      <c r="I422" t="s">
        <v>28</v>
      </c>
    </row>
    <row r="423" spans="1:9" x14ac:dyDescent="0.25">
      <c r="A423">
        <v>421</v>
      </c>
      <c r="B423" s="1">
        <v>45504</v>
      </c>
      <c r="C423" t="s">
        <v>201</v>
      </c>
      <c r="D423">
        <v>65</v>
      </c>
      <c r="E423" t="s">
        <v>15</v>
      </c>
      <c r="F423" t="s">
        <v>13</v>
      </c>
      <c r="G423">
        <f>MONTH(cleaned_personal_finance_data[[#This Row],[date]])</f>
        <v>7</v>
      </c>
      <c r="H423">
        <f>YEAR(cleaned_personal_finance_data[[#This Row],[date]])</f>
        <v>2024</v>
      </c>
      <c r="I423" t="s">
        <v>201</v>
      </c>
    </row>
    <row r="424" spans="1:9" x14ac:dyDescent="0.25">
      <c r="A424">
        <v>422</v>
      </c>
      <c r="B424" s="1">
        <v>45505</v>
      </c>
      <c r="C424" t="s">
        <v>51</v>
      </c>
      <c r="D424">
        <v>30</v>
      </c>
      <c r="E424" t="s">
        <v>15</v>
      </c>
      <c r="F424" t="s">
        <v>13</v>
      </c>
      <c r="G424">
        <f>MONTH(cleaned_personal_finance_data[[#This Row],[date]])</f>
        <v>8</v>
      </c>
      <c r="H424">
        <f>YEAR(cleaned_personal_finance_data[[#This Row],[date]])</f>
        <v>2024</v>
      </c>
      <c r="I424" t="s">
        <v>43</v>
      </c>
    </row>
    <row r="425" spans="1:9" x14ac:dyDescent="0.25">
      <c r="A425">
        <v>423</v>
      </c>
      <c r="B425" s="1">
        <v>45505</v>
      </c>
      <c r="C425" t="s">
        <v>106</v>
      </c>
      <c r="D425">
        <v>70</v>
      </c>
      <c r="E425" t="s">
        <v>15</v>
      </c>
      <c r="F425" t="s">
        <v>13</v>
      </c>
      <c r="G425">
        <f>MONTH(cleaned_personal_finance_data[[#This Row],[date]])</f>
        <v>8</v>
      </c>
      <c r="H425">
        <f>YEAR(cleaned_personal_finance_data[[#This Row],[date]])</f>
        <v>2024</v>
      </c>
      <c r="I425" t="s">
        <v>106</v>
      </c>
    </row>
    <row r="426" spans="1:9" x14ac:dyDescent="0.25">
      <c r="A426">
        <v>424</v>
      </c>
      <c r="B426" s="1">
        <v>45506</v>
      </c>
      <c r="C426" t="s">
        <v>64</v>
      </c>
      <c r="D426">
        <v>199</v>
      </c>
      <c r="E426" t="s">
        <v>15</v>
      </c>
      <c r="F426" t="s">
        <v>21</v>
      </c>
      <c r="G426">
        <f>MONTH(cleaned_personal_finance_data[[#This Row],[date]])</f>
        <v>8</v>
      </c>
      <c r="H426">
        <f>YEAR(cleaned_personal_finance_data[[#This Row],[date]])</f>
        <v>2024</v>
      </c>
      <c r="I426" t="s">
        <v>64</v>
      </c>
    </row>
    <row r="427" spans="1:9" x14ac:dyDescent="0.25">
      <c r="A427">
        <v>425</v>
      </c>
      <c r="B427" s="1">
        <v>45507</v>
      </c>
      <c r="C427" t="s">
        <v>201</v>
      </c>
      <c r="D427">
        <v>75</v>
      </c>
      <c r="E427" t="s">
        <v>15</v>
      </c>
      <c r="F427" t="s">
        <v>13</v>
      </c>
      <c r="G427">
        <f>MONTH(cleaned_personal_finance_data[[#This Row],[date]])</f>
        <v>8</v>
      </c>
      <c r="H427">
        <f>YEAR(cleaned_personal_finance_data[[#This Row],[date]])</f>
        <v>2024</v>
      </c>
      <c r="I427" t="s">
        <v>201</v>
      </c>
    </row>
    <row r="428" spans="1:9" x14ac:dyDescent="0.25">
      <c r="A428">
        <v>426</v>
      </c>
      <c r="B428" s="1">
        <v>45507</v>
      </c>
      <c r="C428" t="s">
        <v>202</v>
      </c>
      <c r="D428">
        <v>25</v>
      </c>
      <c r="E428" t="s">
        <v>15</v>
      </c>
      <c r="F428" t="s">
        <v>13</v>
      </c>
      <c r="G428">
        <f>MONTH(cleaned_personal_finance_data[[#This Row],[date]])</f>
        <v>8</v>
      </c>
      <c r="H428">
        <f>YEAR(cleaned_personal_finance_data[[#This Row],[date]])</f>
        <v>2024</v>
      </c>
      <c r="I428" t="s">
        <v>202</v>
      </c>
    </row>
    <row r="429" spans="1:9" x14ac:dyDescent="0.25">
      <c r="A429">
        <v>427</v>
      </c>
      <c r="B429" s="1">
        <v>45508</v>
      </c>
      <c r="C429" t="s">
        <v>175</v>
      </c>
      <c r="D429">
        <v>750</v>
      </c>
      <c r="E429" t="s">
        <v>15</v>
      </c>
      <c r="F429" t="s">
        <v>13</v>
      </c>
      <c r="G429">
        <f>MONTH(cleaned_personal_finance_data[[#This Row],[date]])</f>
        <v>8</v>
      </c>
      <c r="H429">
        <f>YEAR(cleaned_personal_finance_data[[#This Row],[date]])</f>
        <v>2024</v>
      </c>
      <c r="I429" t="s">
        <v>159</v>
      </c>
    </row>
    <row r="430" spans="1:9" x14ac:dyDescent="0.25">
      <c r="A430">
        <v>428</v>
      </c>
      <c r="B430" s="1">
        <v>45508</v>
      </c>
      <c r="C430" t="s">
        <v>145</v>
      </c>
      <c r="D430">
        <v>5000</v>
      </c>
      <c r="E430" t="s">
        <v>15</v>
      </c>
      <c r="F430" t="s">
        <v>13</v>
      </c>
      <c r="G430">
        <f>MONTH(cleaned_personal_finance_data[[#This Row],[date]])</f>
        <v>8</v>
      </c>
      <c r="H430">
        <f>YEAR(cleaned_personal_finance_data[[#This Row],[date]])</f>
        <v>2024</v>
      </c>
      <c r="I430" t="s">
        <v>145</v>
      </c>
    </row>
    <row r="431" spans="1:9" x14ac:dyDescent="0.25">
      <c r="A431">
        <v>429</v>
      </c>
      <c r="B431" s="1">
        <v>45508</v>
      </c>
      <c r="C431" t="s">
        <v>203</v>
      </c>
      <c r="D431">
        <v>290</v>
      </c>
      <c r="E431" t="s">
        <v>15</v>
      </c>
      <c r="F431" t="s">
        <v>13</v>
      </c>
      <c r="G431">
        <f>MONTH(cleaned_personal_finance_data[[#This Row],[date]])</f>
        <v>8</v>
      </c>
      <c r="H431">
        <f>YEAR(cleaned_personal_finance_data[[#This Row],[date]])</f>
        <v>2024</v>
      </c>
      <c r="I431" t="s">
        <v>204</v>
      </c>
    </row>
    <row r="432" spans="1:9" x14ac:dyDescent="0.25">
      <c r="A432">
        <v>430</v>
      </c>
      <c r="B432" s="1">
        <v>45508</v>
      </c>
      <c r="C432" t="s">
        <v>204</v>
      </c>
      <c r="D432">
        <v>220</v>
      </c>
      <c r="E432" t="s">
        <v>15</v>
      </c>
      <c r="F432" t="s">
        <v>13</v>
      </c>
      <c r="G432">
        <f>MONTH(cleaned_personal_finance_data[[#This Row],[date]])</f>
        <v>8</v>
      </c>
      <c r="H432">
        <f>YEAR(cleaned_personal_finance_data[[#This Row],[date]])</f>
        <v>2024</v>
      </c>
      <c r="I432" t="s">
        <v>204</v>
      </c>
    </row>
    <row r="433" spans="1:9" x14ac:dyDescent="0.25">
      <c r="A433">
        <v>431</v>
      </c>
      <c r="B433" s="1">
        <v>45508</v>
      </c>
      <c r="C433" t="s">
        <v>205</v>
      </c>
      <c r="D433">
        <v>290</v>
      </c>
      <c r="E433" t="s">
        <v>15</v>
      </c>
      <c r="F433" t="s">
        <v>13</v>
      </c>
      <c r="G433">
        <f>MONTH(cleaned_personal_finance_data[[#This Row],[date]])</f>
        <v>8</v>
      </c>
      <c r="H433">
        <f>YEAR(cleaned_personal_finance_data[[#This Row],[date]])</f>
        <v>2024</v>
      </c>
      <c r="I433" t="s">
        <v>321</v>
      </c>
    </row>
    <row r="434" spans="1:9" x14ac:dyDescent="0.25">
      <c r="A434">
        <v>432</v>
      </c>
      <c r="B434" s="1">
        <v>45508</v>
      </c>
      <c r="C434" t="s">
        <v>206</v>
      </c>
      <c r="D434">
        <v>90</v>
      </c>
      <c r="E434" t="s">
        <v>15</v>
      </c>
      <c r="F434" t="s">
        <v>13</v>
      </c>
      <c r="G434">
        <f>MONTH(cleaned_personal_finance_data[[#This Row],[date]])</f>
        <v>8</v>
      </c>
      <c r="H434">
        <f>YEAR(cleaned_personal_finance_data[[#This Row],[date]])</f>
        <v>2024</v>
      </c>
      <c r="I434" t="s">
        <v>321</v>
      </c>
    </row>
    <row r="435" spans="1:9" x14ac:dyDescent="0.25">
      <c r="A435">
        <v>433</v>
      </c>
      <c r="B435" s="1">
        <v>45508</v>
      </c>
      <c r="C435" t="s">
        <v>207</v>
      </c>
      <c r="D435">
        <v>100</v>
      </c>
      <c r="E435" t="s">
        <v>15</v>
      </c>
      <c r="F435" t="s">
        <v>13</v>
      </c>
      <c r="G435">
        <f>MONTH(cleaned_personal_finance_data[[#This Row],[date]])</f>
        <v>8</v>
      </c>
      <c r="H435">
        <f>YEAR(cleaned_personal_finance_data[[#This Row],[date]])</f>
        <v>2024</v>
      </c>
      <c r="I435" t="s">
        <v>207</v>
      </c>
    </row>
    <row r="436" spans="1:9" x14ac:dyDescent="0.25">
      <c r="A436">
        <v>434</v>
      </c>
      <c r="B436" s="1">
        <v>45510</v>
      </c>
      <c r="C436" t="s">
        <v>24</v>
      </c>
      <c r="D436">
        <v>239</v>
      </c>
      <c r="E436" t="s">
        <v>15</v>
      </c>
      <c r="F436" t="s">
        <v>21</v>
      </c>
      <c r="G436">
        <f>MONTH(cleaned_personal_finance_data[[#This Row],[date]])</f>
        <v>8</v>
      </c>
      <c r="H436">
        <f>YEAR(cleaned_personal_finance_data[[#This Row],[date]])</f>
        <v>2024</v>
      </c>
      <c r="I436" t="s">
        <v>24</v>
      </c>
    </row>
    <row r="437" spans="1:9" x14ac:dyDescent="0.25">
      <c r="A437">
        <v>435</v>
      </c>
      <c r="B437" s="1">
        <v>45513</v>
      </c>
      <c r="C437" t="s">
        <v>51</v>
      </c>
      <c r="D437">
        <v>30</v>
      </c>
      <c r="E437" t="s">
        <v>15</v>
      </c>
      <c r="F437" t="s">
        <v>13</v>
      </c>
      <c r="G437">
        <f>MONTH(cleaned_personal_finance_data[[#This Row],[date]])</f>
        <v>8</v>
      </c>
      <c r="H437">
        <f>YEAR(cleaned_personal_finance_data[[#This Row],[date]])</f>
        <v>2024</v>
      </c>
      <c r="I437" t="s">
        <v>43</v>
      </c>
    </row>
    <row r="438" spans="1:9" x14ac:dyDescent="0.25">
      <c r="A438">
        <v>436</v>
      </c>
      <c r="B438" s="1">
        <v>45513</v>
      </c>
      <c r="C438" t="s">
        <v>54</v>
      </c>
      <c r="D438">
        <v>30</v>
      </c>
      <c r="E438" t="s">
        <v>15</v>
      </c>
      <c r="F438" t="s">
        <v>13</v>
      </c>
      <c r="G438">
        <f>MONTH(cleaned_personal_finance_data[[#This Row],[date]])</f>
        <v>8</v>
      </c>
      <c r="H438">
        <f>YEAR(cleaned_personal_finance_data[[#This Row],[date]])</f>
        <v>2024</v>
      </c>
      <c r="I438" t="s">
        <v>54</v>
      </c>
    </row>
    <row r="439" spans="1:9" x14ac:dyDescent="0.25">
      <c r="A439">
        <v>437</v>
      </c>
      <c r="B439" s="1">
        <v>45513</v>
      </c>
      <c r="C439" t="s">
        <v>201</v>
      </c>
      <c r="D439">
        <v>60</v>
      </c>
      <c r="E439" t="s">
        <v>15</v>
      </c>
      <c r="F439" t="s">
        <v>13</v>
      </c>
      <c r="G439">
        <f>MONTH(cleaned_personal_finance_data[[#This Row],[date]])</f>
        <v>8</v>
      </c>
      <c r="H439">
        <f>YEAR(cleaned_personal_finance_data[[#This Row],[date]])</f>
        <v>2024</v>
      </c>
      <c r="I439" t="s">
        <v>201</v>
      </c>
    </row>
    <row r="440" spans="1:9" x14ac:dyDescent="0.25">
      <c r="A440">
        <v>438</v>
      </c>
      <c r="B440" s="1">
        <v>45513</v>
      </c>
      <c r="C440" t="s">
        <v>76</v>
      </c>
      <c r="D440">
        <v>30</v>
      </c>
      <c r="E440" t="s">
        <v>15</v>
      </c>
      <c r="F440" t="s">
        <v>13</v>
      </c>
      <c r="G440">
        <f>MONTH(cleaned_personal_finance_data[[#This Row],[date]])</f>
        <v>8</v>
      </c>
      <c r="H440">
        <f>YEAR(cleaned_personal_finance_data[[#This Row],[date]])</f>
        <v>2024</v>
      </c>
      <c r="I440" t="s">
        <v>43</v>
      </c>
    </row>
    <row r="441" spans="1:9" x14ac:dyDescent="0.25">
      <c r="A441">
        <v>439</v>
      </c>
      <c r="B441" s="1">
        <v>45513</v>
      </c>
      <c r="C441" t="s">
        <v>64</v>
      </c>
      <c r="D441">
        <v>199</v>
      </c>
      <c r="E441" t="s">
        <v>15</v>
      </c>
      <c r="F441" t="s">
        <v>21</v>
      </c>
      <c r="G441">
        <f>MONTH(cleaned_personal_finance_data[[#This Row],[date]])</f>
        <v>8</v>
      </c>
      <c r="H441">
        <f>YEAR(cleaned_personal_finance_data[[#This Row],[date]])</f>
        <v>2024</v>
      </c>
      <c r="I441" t="s">
        <v>64</v>
      </c>
    </row>
    <row r="442" spans="1:9" x14ac:dyDescent="0.25">
      <c r="A442">
        <v>440</v>
      </c>
      <c r="B442" s="1">
        <v>45514</v>
      </c>
      <c r="C442" t="s">
        <v>51</v>
      </c>
      <c r="D442">
        <v>30</v>
      </c>
      <c r="E442" t="s">
        <v>15</v>
      </c>
      <c r="F442" t="s">
        <v>13</v>
      </c>
      <c r="G442">
        <f>MONTH(cleaned_personal_finance_data[[#This Row],[date]])</f>
        <v>8</v>
      </c>
      <c r="H442">
        <f>YEAR(cleaned_personal_finance_data[[#This Row],[date]])</f>
        <v>2024</v>
      </c>
      <c r="I442" t="s">
        <v>43</v>
      </c>
    </row>
    <row r="443" spans="1:9" x14ac:dyDescent="0.25">
      <c r="A443">
        <v>441</v>
      </c>
      <c r="B443" s="1">
        <v>45514</v>
      </c>
      <c r="C443" t="s">
        <v>66</v>
      </c>
      <c r="D443">
        <v>10</v>
      </c>
      <c r="E443" t="s">
        <v>15</v>
      </c>
      <c r="F443" t="s">
        <v>13</v>
      </c>
      <c r="G443">
        <f>MONTH(cleaned_personal_finance_data[[#This Row],[date]])</f>
        <v>8</v>
      </c>
      <c r="H443">
        <f>YEAR(cleaned_personal_finance_data[[#This Row],[date]])</f>
        <v>2024</v>
      </c>
      <c r="I443" t="s">
        <v>66</v>
      </c>
    </row>
    <row r="444" spans="1:9" x14ac:dyDescent="0.25">
      <c r="A444">
        <v>442</v>
      </c>
      <c r="B444" s="1">
        <v>45514</v>
      </c>
      <c r="C444" t="s">
        <v>67</v>
      </c>
      <c r="D444">
        <v>15</v>
      </c>
      <c r="E444" t="s">
        <v>15</v>
      </c>
      <c r="F444" t="s">
        <v>13</v>
      </c>
      <c r="G444">
        <f>MONTH(cleaned_personal_finance_data[[#This Row],[date]])</f>
        <v>8</v>
      </c>
      <c r="H444">
        <f>YEAR(cleaned_personal_finance_data[[#This Row],[date]])</f>
        <v>2024</v>
      </c>
      <c r="I444" t="s">
        <v>67</v>
      </c>
    </row>
    <row r="445" spans="1:9" x14ac:dyDescent="0.25">
      <c r="A445">
        <v>443</v>
      </c>
      <c r="B445" s="1">
        <v>45514</v>
      </c>
      <c r="C445" t="s">
        <v>208</v>
      </c>
      <c r="D445">
        <v>120</v>
      </c>
      <c r="E445" t="s">
        <v>15</v>
      </c>
      <c r="F445" t="s">
        <v>13</v>
      </c>
      <c r="G445">
        <f>MONTH(cleaned_personal_finance_data[[#This Row],[date]])</f>
        <v>8</v>
      </c>
      <c r="H445">
        <f>YEAR(cleaned_personal_finance_data[[#This Row],[date]])</f>
        <v>2024</v>
      </c>
      <c r="I445" t="s">
        <v>321</v>
      </c>
    </row>
    <row r="446" spans="1:9" x14ac:dyDescent="0.25">
      <c r="A446">
        <v>444</v>
      </c>
      <c r="B446" s="1">
        <v>45514</v>
      </c>
      <c r="C446" t="s">
        <v>209</v>
      </c>
      <c r="D446">
        <v>290</v>
      </c>
      <c r="E446" t="s">
        <v>15</v>
      </c>
      <c r="F446" t="s">
        <v>13</v>
      </c>
      <c r="G446">
        <f>MONTH(cleaned_personal_finance_data[[#This Row],[date]])</f>
        <v>8</v>
      </c>
      <c r="H446">
        <f>YEAR(cleaned_personal_finance_data[[#This Row],[date]])</f>
        <v>2024</v>
      </c>
      <c r="I446" t="s">
        <v>204</v>
      </c>
    </row>
    <row r="447" spans="1:9" x14ac:dyDescent="0.25">
      <c r="A447">
        <v>445</v>
      </c>
      <c r="B447" s="1">
        <v>45516</v>
      </c>
      <c r="C447" t="s">
        <v>210</v>
      </c>
      <c r="D447">
        <v>5000</v>
      </c>
      <c r="E447" t="s">
        <v>7</v>
      </c>
      <c r="F447" t="s">
        <v>8</v>
      </c>
      <c r="G447">
        <f>MONTH(cleaned_personal_finance_data[[#This Row],[date]])</f>
        <v>8</v>
      </c>
      <c r="H447">
        <f>YEAR(cleaned_personal_finance_data[[#This Row],[date]])</f>
        <v>2024</v>
      </c>
      <c r="I447" t="s">
        <v>210</v>
      </c>
    </row>
    <row r="448" spans="1:9" x14ac:dyDescent="0.25">
      <c r="A448">
        <v>446</v>
      </c>
      <c r="B448" s="1">
        <v>45516</v>
      </c>
      <c r="C448" t="s">
        <v>6</v>
      </c>
      <c r="D448">
        <v>12615</v>
      </c>
      <c r="E448" t="s">
        <v>7</v>
      </c>
      <c r="F448" t="s">
        <v>8</v>
      </c>
      <c r="G448">
        <f>MONTH(cleaned_personal_finance_data[[#This Row],[date]])</f>
        <v>8</v>
      </c>
      <c r="H448">
        <f>YEAR(cleaned_personal_finance_data[[#This Row],[date]])</f>
        <v>2024</v>
      </c>
      <c r="I448" t="s">
        <v>318</v>
      </c>
    </row>
    <row r="449" spans="1:9" x14ac:dyDescent="0.25">
      <c r="A449">
        <v>447</v>
      </c>
      <c r="B449" s="1">
        <v>45519</v>
      </c>
      <c r="C449" t="s">
        <v>28</v>
      </c>
      <c r="D449">
        <v>125</v>
      </c>
      <c r="E449" t="s">
        <v>15</v>
      </c>
      <c r="F449" t="s">
        <v>21</v>
      </c>
      <c r="G449">
        <f>MONTH(cleaned_personal_finance_data[[#This Row],[date]])</f>
        <v>8</v>
      </c>
      <c r="H449">
        <f>YEAR(cleaned_personal_finance_data[[#This Row],[date]])</f>
        <v>2024</v>
      </c>
      <c r="I449" t="s">
        <v>28</v>
      </c>
    </row>
    <row r="450" spans="1:9" x14ac:dyDescent="0.25">
      <c r="A450">
        <v>448</v>
      </c>
      <c r="B450" s="1">
        <v>45522</v>
      </c>
      <c r="C450" t="s">
        <v>32</v>
      </c>
      <c r="D450">
        <v>20</v>
      </c>
      <c r="E450" t="s">
        <v>15</v>
      </c>
      <c r="F450" t="s">
        <v>13</v>
      </c>
      <c r="G450">
        <f>MONTH(cleaned_personal_finance_data[[#This Row],[date]])</f>
        <v>8</v>
      </c>
      <c r="H450">
        <f>YEAR(cleaned_personal_finance_data[[#This Row],[date]])</f>
        <v>2024</v>
      </c>
      <c r="I450" t="s">
        <v>32</v>
      </c>
    </row>
    <row r="451" spans="1:9" x14ac:dyDescent="0.25">
      <c r="A451">
        <v>449</v>
      </c>
      <c r="B451" s="1">
        <v>45522</v>
      </c>
      <c r="C451" t="s">
        <v>201</v>
      </c>
      <c r="D451">
        <v>75</v>
      </c>
      <c r="E451" t="s">
        <v>15</v>
      </c>
      <c r="F451" t="s">
        <v>13</v>
      </c>
      <c r="G451">
        <f>MONTH(cleaned_personal_finance_data[[#This Row],[date]])</f>
        <v>8</v>
      </c>
      <c r="H451">
        <f>YEAR(cleaned_personal_finance_data[[#This Row],[date]])</f>
        <v>2024</v>
      </c>
      <c r="I451" t="s">
        <v>201</v>
      </c>
    </row>
    <row r="452" spans="1:9" x14ac:dyDescent="0.25">
      <c r="A452">
        <v>450</v>
      </c>
      <c r="B452" s="1">
        <v>45522</v>
      </c>
      <c r="C452" t="s">
        <v>211</v>
      </c>
      <c r="D452">
        <v>70</v>
      </c>
      <c r="E452" t="s">
        <v>15</v>
      </c>
      <c r="F452" t="s">
        <v>13</v>
      </c>
      <c r="G452">
        <f>MONTH(cleaned_personal_finance_data[[#This Row],[date]])</f>
        <v>8</v>
      </c>
      <c r="H452">
        <f>YEAR(cleaned_personal_finance_data[[#This Row],[date]])</f>
        <v>2024</v>
      </c>
      <c r="I452" t="s">
        <v>262</v>
      </c>
    </row>
    <row r="453" spans="1:9" x14ac:dyDescent="0.25">
      <c r="A453">
        <v>451</v>
      </c>
      <c r="B453" s="1">
        <v>45527</v>
      </c>
      <c r="C453" t="s">
        <v>103</v>
      </c>
      <c r="D453">
        <v>260</v>
      </c>
      <c r="E453" t="s">
        <v>15</v>
      </c>
      <c r="F453" t="s">
        <v>13</v>
      </c>
      <c r="G453">
        <f>MONTH(cleaned_personal_finance_data[[#This Row],[date]])</f>
        <v>8</v>
      </c>
      <c r="H453">
        <f>YEAR(cleaned_personal_finance_data[[#This Row],[date]])</f>
        <v>2024</v>
      </c>
      <c r="I453" t="s">
        <v>329</v>
      </c>
    </row>
    <row r="454" spans="1:9" x14ac:dyDescent="0.25">
      <c r="A454">
        <v>452</v>
      </c>
      <c r="B454" s="1">
        <v>45531</v>
      </c>
      <c r="C454" t="s">
        <v>212</v>
      </c>
      <c r="D454">
        <v>180</v>
      </c>
      <c r="E454" t="s">
        <v>15</v>
      </c>
      <c r="F454" t="s">
        <v>13</v>
      </c>
      <c r="G454">
        <f>MONTH(cleaned_personal_finance_data[[#This Row],[date]])</f>
        <v>8</v>
      </c>
      <c r="H454">
        <f>YEAR(cleaned_personal_finance_data[[#This Row],[date]])</f>
        <v>2024</v>
      </c>
      <c r="I454" t="s">
        <v>319</v>
      </c>
    </row>
    <row r="455" spans="1:9" x14ac:dyDescent="0.25">
      <c r="A455">
        <v>453</v>
      </c>
      <c r="B455" s="1">
        <v>45531</v>
      </c>
      <c r="C455" t="s">
        <v>213</v>
      </c>
      <c r="D455">
        <v>300</v>
      </c>
      <c r="E455" t="s">
        <v>15</v>
      </c>
      <c r="F455" t="s">
        <v>13</v>
      </c>
      <c r="G455">
        <f>MONTH(cleaned_personal_finance_data[[#This Row],[date]])</f>
        <v>8</v>
      </c>
      <c r="H455">
        <f>YEAR(cleaned_personal_finance_data[[#This Row],[date]])</f>
        <v>2024</v>
      </c>
      <c r="I455" t="s">
        <v>213</v>
      </c>
    </row>
    <row r="456" spans="1:9" x14ac:dyDescent="0.25">
      <c r="A456">
        <v>454</v>
      </c>
      <c r="B456" s="1">
        <v>45532</v>
      </c>
      <c r="C456" t="s">
        <v>37</v>
      </c>
      <c r="D456">
        <v>25</v>
      </c>
      <c r="E456" t="s">
        <v>15</v>
      </c>
      <c r="F456" t="s">
        <v>13</v>
      </c>
      <c r="G456">
        <f>MONTH(cleaned_personal_finance_data[[#This Row],[date]])</f>
        <v>8</v>
      </c>
      <c r="H456">
        <f>YEAR(cleaned_personal_finance_data[[#This Row],[date]])</f>
        <v>2024</v>
      </c>
      <c r="I456" t="s">
        <v>47</v>
      </c>
    </row>
    <row r="457" spans="1:9" x14ac:dyDescent="0.25">
      <c r="A457">
        <v>455</v>
      </c>
      <c r="B457" s="1">
        <v>45532</v>
      </c>
      <c r="C457" t="s">
        <v>214</v>
      </c>
      <c r="D457">
        <v>200</v>
      </c>
      <c r="E457" t="s">
        <v>15</v>
      </c>
      <c r="F457" t="s">
        <v>13</v>
      </c>
      <c r="G457">
        <f>MONTH(cleaned_personal_finance_data[[#This Row],[date]])</f>
        <v>8</v>
      </c>
      <c r="H457">
        <f>YEAR(cleaned_personal_finance_data[[#This Row],[date]])</f>
        <v>2024</v>
      </c>
      <c r="I457" t="s">
        <v>214</v>
      </c>
    </row>
    <row r="458" spans="1:9" x14ac:dyDescent="0.25">
      <c r="A458">
        <v>456</v>
      </c>
      <c r="B458" s="1">
        <v>45532</v>
      </c>
      <c r="C458" t="s">
        <v>215</v>
      </c>
      <c r="D458">
        <v>460</v>
      </c>
      <c r="E458" t="s">
        <v>15</v>
      </c>
      <c r="F458" t="s">
        <v>13</v>
      </c>
      <c r="G458">
        <f>MONTH(cleaned_personal_finance_data[[#This Row],[date]])</f>
        <v>8</v>
      </c>
      <c r="H458">
        <f>YEAR(cleaned_personal_finance_data[[#This Row],[date]])</f>
        <v>2024</v>
      </c>
      <c r="I458" t="s">
        <v>262</v>
      </c>
    </row>
    <row r="459" spans="1:9" x14ac:dyDescent="0.25">
      <c r="A459">
        <v>457</v>
      </c>
      <c r="B459" s="1">
        <v>45533</v>
      </c>
      <c r="C459" t="s">
        <v>216</v>
      </c>
      <c r="D459">
        <v>1000</v>
      </c>
      <c r="E459" t="s">
        <v>15</v>
      </c>
      <c r="F459" t="s">
        <v>21</v>
      </c>
      <c r="G459">
        <f>MONTH(cleaned_personal_finance_data[[#This Row],[date]])</f>
        <v>8</v>
      </c>
      <c r="H459">
        <f>YEAR(cleaned_personal_finance_data[[#This Row],[date]])</f>
        <v>2024</v>
      </c>
      <c r="I459" t="s">
        <v>216</v>
      </c>
    </row>
    <row r="460" spans="1:9" x14ac:dyDescent="0.25">
      <c r="A460">
        <v>458</v>
      </c>
      <c r="B460" s="1">
        <v>45534</v>
      </c>
      <c r="C460" t="s">
        <v>6</v>
      </c>
      <c r="D460">
        <v>12617</v>
      </c>
      <c r="E460" t="s">
        <v>7</v>
      </c>
      <c r="F460" t="s">
        <v>8</v>
      </c>
      <c r="G460">
        <f>MONTH(cleaned_personal_finance_data[[#This Row],[date]])</f>
        <v>8</v>
      </c>
      <c r="H460">
        <f>YEAR(cleaned_personal_finance_data[[#This Row],[date]])</f>
        <v>2024</v>
      </c>
      <c r="I460" t="s">
        <v>318</v>
      </c>
    </row>
    <row r="461" spans="1:9" x14ac:dyDescent="0.25">
      <c r="A461">
        <v>459</v>
      </c>
      <c r="B461" s="1">
        <v>45534</v>
      </c>
      <c r="C461" t="s">
        <v>217</v>
      </c>
      <c r="D461">
        <v>12400</v>
      </c>
      <c r="E461" t="s">
        <v>7</v>
      </c>
      <c r="F461" t="s">
        <v>8</v>
      </c>
      <c r="G461">
        <f>MONTH(cleaned_personal_finance_data[[#This Row],[date]])</f>
        <v>8</v>
      </c>
      <c r="H461">
        <f>YEAR(cleaned_personal_finance_data[[#This Row],[date]])</f>
        <v>2024</v>
      </c>
      <c r="I461" t="s">
        <v>325</v>
      </c>
    </row>
    <row r="462" spans="1:9" x14ac:dyDescent="0.25">
      <c r="A462">
        <v>460</v>
      </c>
      <c r="B462" s="1">
        <v>45535</v>
      </c>
      <c r="C462" t="s">
        <v>207</v>
      </c>
      <c r="D462">
        <v>200</v>
      </c>
      <c r="E462" t="s">
        <v>15</v>
      </c>
      <c r="F462" t="s">
        <v>13</v>
      </c>
      <c r="G462">
        <f>MONTH(cleaned_personal_finance_data[[#This Row],[date]])</f>
        <v>8</v>
      </c>
      <c r="H462">
        <f>YEAR(cleaned_personal_finance_data[[#This Row],[date]])</f>
        <v>2024</v>
      </c>
      <c r="I462" t="s">
        <v>207</v>
      </c>
    </row>
    <row r="463" spans="1:9" x14ac:dyDescent="0.25">
      <c r="A463">
        <v>461</v>
      </c>
      <c r="B463" s="1">
        <v>45537</v>
      </c>
      <c r="C463" t="s">
        <v>218</v>
      </c>
      <c r="D463">
        <v>40</v>
      </c>
      <c r="E463" t="s">
        <v>15</v>
      </c>
      <c r="F463" t="s">
        <v>13</v>
      </c>
      <c r="G463">
        <f>MONTH(cleaned_personal_finance_data[[#This Row],[date]])</f>
        <v>9</v>
      </c>
      <c r="H463">
        <f>YEAR(cleaned_personal_finance_data[[#This Row],[date]])</f>
        <v>2024</v>
      </c>
      <c r="I463" t="s">
        <v>218</v>
      </c>
    </row>
    <row r="464" spans="1:9" x14ac:dyDescent="0.25">
      <c r="A464">
        <v>462</v>
      </c>
      <c r="B464" s="1">
        <v>45539</v>
      </c>
      <c r="C464" t="s">
        <v>184</v>
      </c>
      <c r="D464">
        <v>125</v>
      </c>
      <c r="E464" t="s">
        <v>15</v>
      </c>
      <c r="F464" t="s">
        <v>21</v>
      </c>
      <c r="G464">
        <f>MONTH(cleaned_personal_finance_data[[#This Row],[date]])</f>
        <v>9</v>
      </c>
      <c r="H464">
        <f>YEAR(cleaned_personal_finance_data[[#This Row],[date]])</f>
        <v>2024</v>
      </c>
      <c r="I464" t="s">
        <v>28</v>
      </c>
    </row>
    <row r="465" spans="1:9" x14ac:dyDescent="0.25">
      <c r="A465">
        <v>463</v>
      </c>
      <c r="B465" s="1">
        <v>45540</v>
      </c>
      <c r="C465" t="s">
        <v>184</v>
      </c>
      <c r="D465">
        <v>50</v>
      </c>
      <c r="E465" t="s">
        <v>15</v>
      </c>
      <c r="F465" t="s">
        <v>21</v>
      </c>
      <c r="G465">
        <f>MONTH(cleaned_personal_finance_data[[#This Row],[date]])</f>
        <v>9</v>
      </c>
      <c r="H465">
        <f>YEAR(cleaned_personal_finance_data[[#This Row],[date]])</f>
        <v>2024</v>
      </c>
      <c r="I465" t="s">
        <v>28</v>
      </c>
    </row>
    <row r="466" spans="1:9" x14ac:dyDescent="0.25">
      <c r="A466">
        <v>464</v>
      </c>
      <c r="B466" s="1">
        <v>45540</v>
      </c>
      <c r="C466" t="s">
        <v>219</v>
      </c>
      <c r="D466">
        <v>15</v>
      </c>
      <c r="E466" t="s">
        <v>15</v>
      </c>
      <c r="F466" t="s">
        <v>21</v>
      </c>
      <c r="G466">
        <f>MONTH(cleaned_personal_finance_data[[#This Row],[date]])</f>
        <v>9</v>
      </c>
      <c r="H466">
        <f>YEAR(cleaned_personal_finance_data[[#This Row],[date]])</f>
        <v>2024</v>
      </c>
      <c r="I466" t="s">
        <v>219</v>
      </c>
    </row>
    <row r="467" spans="1:9" x14ac:dyDescent="0.25">
      <c r="A467">
        <v>465</v>
      </c>
      <c r="B467" s="1">
        <v>45540</v>
      </c>
      <c r="C467" t="s">
        <v>184</v>
      </c>
      <c r="D467">
        <v>25</v>
      </c>
      <c r="E467" t="s">
        <v>15</v>
      </c>
      <c r="F467" t="s">
        <v>21</v>
      </c>
      <c r="G467">
        <f>MONTH(cleaned_personal_finance_data[[#This Row],[date]])</f>
        <v>9</v>
      </c>
      <c r="H467">
        <f>YEAR(cleaned_personal_finance_data[[#This Row],[date]])</f>
        <v>2024</v>
      </c>
      <c r="I467" t="s">
        <v>28</v>
      </c>
    </row>
    <row r="468" spans="1:9" x14ac:dyDescent="0.25">
      <c r="A468">
        <v>466</v>
      </c>
      <c r="B468" s="1">
        <v>45540</v>
      </c>
      <c r="C468" t="s">
        <v>218</v>
      </c>
      <c r="D468">
        <v>40</v>
      </c>
      <c r="E468" t="s">
        <v>15</v>
      </c>
      <c r="F468" t="s">
        <v>13</v>
      </c>
      <c r="G468">
        <f>MONTH(cleaned_personal_finance_data[[#This Row],[date]])</f>
        <v>9</v>
      </c>
      <c r="H468">
        <f>YEAR(cleaned_personal_finance_data[[#This Row],[date]])</f>
        <v>2024</v>
      </c>
      <c r="I468" t="s">
        <v>218</v>
      </c>
    </row>
    <row r="469" spans="1:9" x14ac:dyDescent="0.25">
      <c r="A469">
        <v>467</v>
      </c>
      <c r="B469" s="1">
        <v>45541</v>
      </c>
      <c r="C469" t="s">
        <v>24</v>
      </c>
      <c r="D469">
        <v>239</v>
      </c>
      <c r="E469" t="s">
        <v>15</v>
      </c>
      <c r="F469" t="s">
        <v>21</v>
      </c>
      <c r="G469">
        <f>MONTH(cleaned_personal_finance_data[[#This Row],[date]])</f>
        <v>9</v>
      </c>
      <c r="H469">
        <f>YEAR(cleaned_personal_finance_data[[#This Row],[date]])</f>
        <v>2024</v>
      </c>
      <c r="I469" t="s">
        <v>24</v>
      </c>
    </row>
    <row r="470" spans="1:9" x14ac:dyDescent="0.25">
      <c r="A470">
        <v>468</v>
      </c>
      <c r="B470" s="1">
        <v>45542</v>
      </c>
      <c r="C470" t="s">
        <v>220</v>
      </c>
      <c r="D470">
        <v>22</v>
      </c>
      <c r="E470" t="s">
        <v>15</v>
      </c>
      <c r="F470" t="s">
        <v>13</v>
      </c>
      <c r="G470">
        <f>MONTH(cleaned_personal_finance_data[[#This Row],[date]])</f>
        <v>9</v>
      </c>
      <c r="H470">
        <f>YEAR(cleaned_personal_finance_data[[#This Row],[date]])</f>
        <v>2024</v>
      </c>
      <c r="I470" t="s">
        <v>220</v>
      </c>
    </row>
    <row r="471" spans="1:9" x14ac:dyDescent="0.25">
      <c r="A471">
        <v>469</v>
      </c>
      <c r="B471" s="1">
        <v>45546</v>
      </c>
      <c r="C471" t="s">
        <v>207</v>
      </c>
      <c r="D471">
        <v>100</v>
      </c>
      <c r="E471" t="s">
        <v>15</v>
      </c>
      <c r="F471" t="s">
        <v>13</v>
      </c>
      <c r="G471">
        <f>MONTH(cleaned_personal_finance_data[[#This Row],[date]])</f>
        <v>9</v>
      </c>
      <c r="H471">
        <f>YEAR(cleaned_personal_finance_data[[#This Row],[date]])</f>
        <v>2024</v>
      </c>
      <c r="I471" t="s">
        <v>207</v>
      </c>
    </row>
    <row r="472" spans="1:9" x14ac:dyDescent="0.25">
      <c r="A472">
        <v>470</v>
      </c>
      <c r="B472" s="1">
        <v>45547</v>
      </c>
      <c r="C472" t="s">
        <v>207</v>
      </c>
      <c r="D472">
        <v>150</v>
      </c>
      <c r="E472" t="s">
        <v>15</v>
      </c>
      <c r="F472" t="s">
        <v>13</v>
      </c>
      <c r="G472">
        <f>MONTH(cleaned_personal_finance_data[[#This Row],[date]])</f>
        <v>9</v>
      </c>
      <c r="H472">
        <f>YEAR(cleaned_personal_finance_data[[#This Row],[date]])</f>
        <v>2024</v>
      </c>
      <c r="I472" t="s">
        <v>207</v>
      </c>
    </row>
    <row r="473" spans="1:9" x14ac:dyDescent="0.25">
      <c r="A473">
        <v>471</v>
      </c>
      <c r="B473" s="1">
        <v>45547</v>
      </c>
      <c r="C473" t="s">
        <v>184</v>
      </c>
      <c r="D473">
        <v>125</v>
      </c>
      <c r="E473" t="s">
        <v>15</v>
      </c>
      <c r="F473" t="s">
        <v>21</v>
      </c>
      <c r="G473">
        <f>MONTH(cleaned_personal_finance_data[[#This Row],[date]])</f>
        <v>9</v>
      </c>
      <c r="H473">
        <f>YEAR(cleaned_personal_finance_data[[#This Row],[date]])</f>
        <v>2024</v>
      </c>
      <c r="I473" t="s">
        <v>28</v>
      </c>
    </row>
    <row r="474" spans="1:9" x14ac:dyDescent="0.25">
      <c r="A474">
        <v>472</v>
      </c>
      <c r="B474" s="1">
        <v>45548</v>
      </c>
      <c r="C474" t="s">
        <v>6</v>
      </c>
      <c r="D474">
        <v>25418</v>
      </c>
      <c r="E474" t="s">
        <v>7</v>
      </c>
      <c r="F474" t="s">
        <v>8</v>
      </c>
      <c r="G474">
        <f>MONTH(cleaned_personal_finance_data[[#This Row],[date]])</f>
        <v>9</v>
      </c>
      <c r="H474">
        <f>YEAR(cleaned_personal_finance_data[[#This Row],[date]])</f>
        <v>2024</v>
      </c>
      <c r="I474" t="s">
        <v>318</v>
      </c>
    </row>
    <row r="475" spans="1:9" x14ac:dyDescent="0.25">
      <c r="A475">
        <v>473</v>
      </c>
      <c r="B475" s="1">
        <v>45549</v>
      </c>
      <c r="C475" t="s">
        <v>145</v>
      </c>
      <c r="D475">
        <v>5000</v>
      </c>
      <c r="E475" t="s">
        <v>15</v>
      </c>
      <c r="F475" t="s">
        <v>13</v>
      </c>
      <c r="G475">
        <f>MONTH(cleaned_personal_finance_data[[#This Row],[date]])</f>
        <v>9</v>
      </c>
      <c r="H475">
        <f>YEAR(cleaned_personal_finance_data[[#This Row],[date]])</f>
        <v>2024</v>
      </c>
      <c r="I475" t="s">
        <v>145</v>
      </c>
    </row>
    <row r="476" spans="1:9" x14ac:dyDescent="0.25">
      <c r="A476">
        <v>474</v>
      </c>
      <c r="B476" s="1">
        <v>45549</v>
      </c>
      <c r="C476" t="s">
        <v>175</v>
      </c>
      <c r="D476">
        <v>2550</v>
      </c>
      <c r="E476" t="s">
        <v>15</v>
      </c>
      <c r="F476" t="s">
        <v>13</v>
      </c>
      <c r="G476">
        <f>MONTH(cleaned_personal_finance_data[[#This Row],[date]])</f>
        <v>9</v>
      </c>
      <c r="H476">
        <f>YEAR(cleaned_personal_finance_data[[#This Row],[date]])</f>
        <v>2024</v>
      </c>
      <c r="I476" t="s">
        <v>159</v>
      </c>
    </row>
    <row r="477" spans="1:9" x14ac:dyDescent="0.25">
      <c r="A477">
        <v>475</v>
      </c>
      <c r="B477" s="1">
        <v>45549</v>
      </c>
      <c r="C477" t="s">
        <v>20</v>
      </c>
      <c r="D477">
        <v>2150</v>
      </c>
      <c r="E477" t="s">
        <v>10</v>
      </c>
      <c r="F477" t="s">
        <v>13</v>
      </c>
      <c r="G477">
        <f>MONTH(cleaned_personal_finance_data[[#This Row],[date]])</f>
        <v>9</v>
      </c>
      <c r="H477">
        <f>YEAR(cleaned_personal_finance_data[[#This Row],[date]])</f>
        <v>2024</v>
      </c>
      <c r="I477" t="s">
        <v>20</v>
      </c>
    </row>
    <row r="478" spans="1:9" x14ac:dyDescent="0.25">
      <c r="A478">
        <v>476</v>
      </c>
      <c r="B478" s="1">
        <v>45549</v>
      </c>
      <c r="C478" t="s">
        <v>20</v>
      </c>
      <c r="D478">
        <v>2150</v>
      </c>
      <c r="E478" t="s">
        <v>12</v>
      </c>
      <c r="F478" t="s">
        <v>21</v>
      </c>
      <c r="G478">
        <f>MONTH(cleaned_personal_finance_data[[#This Row],[date]])</f>
        <v>9</v>
      </c>
      <c r="H478">
        <f>YEAR(cleaned_personal_finance_data[[#This Row],[date]])</f>
        <v>2024</v>
      </c>
      <c r="I478" t="s">
        <v>20</v>
      </c>
    </row>
    <row r="479" spans="1:9" x14ac:dyDescent="0.25">
      <c r="A479">
        <v>477</v>
      </c>
      <c r="B479" s="1">
        <v>45549</v>
      </c>
      <c r="C479" t="s">
        <v>221</v>
      </c>
      <c r="D479">
        <v>300</v>
      </c>
      <c r="E479" t="s">
        <v>15</v>
      </c>
      <c r="F479" t="s">
        <v>13</v>
      </c>
      <c r="G479">
        <f>MONTH(cleaned_personal_finance_data[[#This Row],[date]])</f>
        <v>9</v>
      </c>
      <c r="H479">
        <f>YEAR(cleaned_personal_finance_data[[#This Row],[date]])</f>
        <v>2024</v>
      </c>
      <c r="I479" t="s">
        <v>323</v>
      </c>
    </row>
    <row r="480" spans="1:9" x14ac:dyDescent="0.25">
      <c r="A480">
        <v>478</v>
      </c>
      <c r="B480" s="1">
        <v>45551</v>
      </c>
      <c r="C480" t="s">
        <v>222</v>
      </c>
      <c r="D480">
        <v>20</v>
      </c>
      <c r="E480" t="s">
        <v>15</v>
      </c>
      <c r="F480" t="s">
        <v>13</v>
      </c>
      <c r="G480">
        <f>MONTH(cleaned_personal_finance_data[[#This Row],[date]])</f>
        <v>9</v>
      </c>
      <c r="H480">
        <f>YEAR(cleaned_personal_finance_data[[#This Row],[date]])</f>
        <v>2024</v>
      </c>
      <c r="I480" t="s">
        <v>43</v>
      </c>
    </row>
    <row r="481" spans="1:9" x14ac:dyDescent="0.25">
      <c r="A481">
        <v>479</v>
      </c>
      <c r="B481" s="1">
        <v>45552</v>
      </c>
      <c r="C481" t="s">
        <v>222</v>
      </c>
      <c r="D481">
        <v>20</v>
      </c>
      <c r="E481" t="s">
        <v>15</v>
      </c>
      <c r="F481" t="s">
        <v>13</v>
      </c>
      <c r="G481">
        <f>MONTH(cleaned_personal_finance_data[[#This Row],[date]])</f>
        <v>9</v>
      </c>
      <c r="H481">
        <f>YEAR(cleaned_personal_finance_data[[#This Row],[date]])</f>
        <v>2024</v>
      </c>
      <c r="I481" t="s">
        <v>43</v>
      </c>
    </row>
    <row r="482" spans="1:9" x14ac:dyDescent="0.25">
      <c r="A482">
        <v>480</v>
      </c>
      <c r="B482" s="1">
        <v>45552</v>
      </c>
      <c r="C482" t="s">
        <v>223</v>
      </c>
      <c r="D482">
        <v>20</v>
      </c>
      <c r="E482" t="s">
        <v>15</v>
      </c>
      <c r="F482" t="s">
        <v>13</v>
      </c>
      <c r="G482">
        <f>MONTH(cleaned_personal_finance_data[[#This Row],[date]])</f>
        <v>9</v>
      </c>
      <c r="H482">
        <f>YEAR(cleaned_personal_finance_data[[#This Row],[date]])</f>
        <v>2024</v>
      </c>
      <c r="I482" t="s">
        <v>43</v>
      </c>
    </row>
    <row r="483" spans="1:9" x14ac:dyDescent="0.25">
      <c r="A483">
        <v>481</v>
      </c>
      <c r="B483" s="1">
        <v>45553</v>
      </c>
      <c r="C483" t="s">
        <v>222</v>
      </c>
      <c r="D483">
        <v>20</v>
      </c>
      <c r="E483" t="s">
        <v>15</v>
      </c>
      <c r="F483" t="s">
        <v>13</v>
      </c>
      <c r="G483">
        <f>MONTH(cleaned_personal_finance_data[[#This Row],[date]])</f>
        <v>9</v>
      </c>
      <c r="H483">
        <f>YEAR(cleaned_personal_finance_data[[#This Row],[date]])</f>
        <v>2024</v>
      </c>
      <c r="I483" t="s">
        <v>43</v>
      </c>
    </row>
    <row r="484" spans="1:9" x14ac:dyDescent="0.25">
      <c r="A484">
        <v>482</v>
      </c>
      <c r="B484" s="1">
        <v>45554</v>
      </c>
      <c r="C484" t="s">
        <v>224</v>
      </c>
      <c r="D484">
        <v>35</v>
      </c>
      <c r="E484" t="s">
        <v>15</v>
      </c>
      <c r="F484" t="s">
        <v>13</v>
      </c>
      <c r="G484">
        <f>MONTH(cleaned_personal_finance_data[[#This Row],[date]])</f>
        <v>9</v>
      </c>
      <c r="H484">
        <f>YEAR(cleaned_personal_finance_data[[#This Row],[date]])</f>
        <v>2024</v>
      </c>
      <c r="I484" t="s">
        <v>224</v>
      </c>
    </row>
    <row r="485" spans="1:9" x14ac:dyDescent="0.25">
      <c r="A485">
        <v>483</v>
      </c>
      <c r="B485" s="1">
        <v>45554</v>
      </c>
      <c r="C485" t="s">
        <v>32</v>
      </c>
      <c r="D485">
        <v>20</v>
      </c>
      <c r="E485" t="s">
        <v>15</v>
      </c>
      <c r="F485" t="s">
        <v>13</v>
      </c>
      <c r="G485">
        <f>MONTH(cleaned_personal_finance_data[[#This Row],[date]])</f>
        <v>9</v>
      </c>
      <c r="H485">
        <f>YEAR(cleaned_personal_finance_data[[#This Row],[date]])</f>
        <v>2024</v>
      </c>
      <c r="I485" t="s">
        <v>32</v>
      </c>
    </row>
    <row r="486" spans="1:9" x14ac:dyDescent="0.25">
      <c r="A486">
        <v>484</v>
      </c>
      <c r="B486" s="1">
        <v>45554</v>
      </c>
      <c r="C486" t="s">
        <v>106</v>
      </c>
      <c r="D486">
        <v>55</v>
      </c>
      <c r="E486" t="s">
        <v>15</v>
      </c>
      <c r="F486" t="s">
        <v>13</v>
      </c>
      <c r="G486">
        <f>MONTH(cleaned_personal_finance_data[[#This Row],[date]])</f>
        <v>9</v>
      </c>
      <c r="H486">
        <f>YEAR(cleaned_personal_finance_data[[#This Row],[date]])</f>
        <v>2024</v>
      </c>
      <c r="I486" t="s">
        <v>106</v>
      </c>
    </row>
    <row r="487" spans="1:9" x14ac:dyDescent="0.25">
      <c r="A487">
        <v>485</v>
      </c>
      <c r="B487" s="1">
        <v>45555</v>
      </c>
      <c r="C487" t="s">
        <v>50</v>
      </c>
      <c r="D487">
        <v>700</v>
      </c>
      <c r="E487" t="s">
        <v>15</v>
      </c>
      <c r="F487" t="s">
        <v>21</v>
      </c>
      <c r="G487">
        <f>MONTH(cleaned_personal_finance_data[[#This Row],[date]])</f>
        <v>9</v>
      </c>
      <c r="H487">
        <f>YEAR(cleaned_personal_finance_data[[#This Row],[date]])</f>
        <v>2024</v>
      </c>
      <c r="I487" t="s">
        <v>50</v>
      </c>
    </row>
    <row r="488" spans="1:9" x14ac:dyDescent="0.25">
      <c r="A488">
        <v>486</v>
      </c>
      <c r="B488" s="1">
        <v>45555</v>
      </c>
      <c r="C488" t="s">
        <v>64</v>
      </c>
      <c r="D488">
        <v>200</v>
      </c>
      <c r="E488" t="s">
        <v>15</v>
      </c>
      <c r="F488" t="s">
        <v>21</v>
      </c>
      <c r="G488">
        <f>MONTH(cleaned_personal_finance_data[[#This Row],[date]])</f>
        <v>9</v>
      </c>
      <c r="H488">
        <f>YEAR(cleaned_personal_finance_data[[#This Row],[date]])</f>
        <v>2024</v>
      </c>
      <c r="I488" t="s">
        <v>64</v>
      </c>
    </row>
    <row r="489" spans="1:9" x14ac:dyDescent="0.25">
      <c r="A489">
        <v>487</v>
      </c>
      <c r="B489" s="1">
        <v>45555</v>
      </c>
      <c r="C489" t="s">
        <v>225</v>
      </c>
      <c r="D489">
        <v>450</v>
      </c>
      <c r="E489" t="s">
        <v>15</v>
      </c>
      <c r="F489" t="s">
        <v>13</v>
      </c>
      <c r="G489">
        <f>MONTH(cleaned_personal_finance_data[[#This Row],[date]])</f>
        <v>9</v>
      </c>
      <c r="H489">
        <f>YEAR(cleaned_personal_finance_data[[#This Row],[date]])</f>
        <v>2024</v>
      </c>
      <c r="I489" t="s">
        <v>262</v>
      </c>
    </row>
    <row r="490" spans="1:9" x14ac:dyDescent="0.25">
      <c r="A490">
        <v>488</v>
      </c>
      <c r="B490" s="1">
        <v>45555</v>
      </c>
      <c r="C490" t="s">
        <v>214</v>
      </c>
      <c r="D490">
        <v>500</v>
      </c>
      <c r="E490" t="s">
        <v>15</v>
      </c>
      <c r="F490" t="s">
        <v>13</v>
      </c>
      <c r="G490">
        <f>MONTH(cleaned_personal_finance_data[[#This Row],[date]])</f>
        <v>9</v>
      </c>
      <c r="H490">
        <f>YEAR(cleaned_personal_finance_data[[#This Row],[date]])</f>
        <v>2024</v>
      </c>
      <c r="I490" t="s">
        <v>214</v>
      </c>
    </row>
    <row r="491" spans="1:9" x14ac:dyDescent="0.25">
      <c r="A491">
        <v>489</v>
      </c>
      <c r="B491" s="1">
        <v>45556</v>
      </c>
      <c r="C491" t="s">
        <v>226</v>
      </c>
      <c r="D491">
        <v>200</v>
      </c>
      <c r="E491" t="s">
        <v>15</v>
      </c>
      <c r="F491" t="s">
        <v>13</v>
      </c>
      <c r="G491">
        <f>MONTH(cleaned_personal_finance_data[[#This Row],[date]])</f>
        <v>9</v>
      </c>
      <c r="H491">
        <f>YEAR(cleaned_personal_finance_data[[#This Row],[date]])</f>
        <v>2024</v>
      </c>
      <c r="I491" t="s">
        <v>226</v>
      </c>
    </row>
    <row r="492" spans="1:9" x14ac:dyDescent="0.25">
      <c r="A492">
        <v>490</v>
      </c>
      <c r="B492" s="1">
        <v>45556</v>
      </c>
      <c r="C492" t="s">
        <v>103</v>
      </c>
      <c r="D492">
        <v>260</v>
      </c>
      <c r="E492" t="s">
        <v>15</v>
      </c>
      <c r="F492" t="s">
        <v>13</v>
      </c>
      <c r="G492">
        <f>MONTH(cleaned_personal_finance_data[[#This Row],[date]])</f>
        <v>9</v>
      </c>
      <c r="H492">
        <f>YEAR(cleaned_personal_finance_data[[#This Row],[date]])</f>
        <v>2024</v>
      </c>
      <c r="I492" t="s">
        <v>329</v>
      </c>
    </row>
    <row r="493" spans="1:9" x14ac:dyDescent="0.25">
      <c r="A493">
        <v>491</v>
      </c>
      <c r="B493" s="1">
        <v>45557</v>
      </c>
      <c r="C493" t="s">
        <v>34</v>
      </c>
      <c r="D493">
        <v>129</v>
      </c>
      <c r="E493" t="s">
        <v>15</v>
      </c>
      <c r="F493" t="s">
        <v>21</v>
      </c>
      <c r="G493">
        <f>MONTH(cleaned_personal_finance_data[[#This Row],[date]])</f>
        <v>9</v>
      </c>
      <c r="H493">
        <f>YEAR(cleaned_personal_finance_data[[#This Row],[date]])</f>
        <v>2024</v>
      </c>
      <c r="I493" t="s">
        <v>34</v>
      </c>
    </row>
    <row r="494" spans="1:9" x14ac:dyDescent="0.25">
      <c r="A494">
        <v>492</v>
      </c>
      <c r="B494" s="1">
        <v>45559</v>
      </c>
      <c r="C494" t="s">
        <v>207</v>
      </c>
      <c r="D494">
        <v>100</v>
      </c>
      <c r="E494" t="s">
        <v>15</v>
      </c>
      <c r="F494" t="s">
        <v>13</v>
      </c>
      <c r="G494">
        <f>MONTH(cleaned_personal_finance_data[[#This Row],[date]])</f>
        <v>9</v>
      </c>
      <c r="H494">
        <f>YEAR(cleaned_personal_finance_data[[#This Row],[date]])</f>
        <v>2024</v>
      </c>
      <c r="I494" t="s">
        <v>207</v>
      </c>
    </row>
    <row r="495" spans="1:9" x14ac:dyDescent="0.25">
      <c r="A495">
        <v>493</v>
      </c>
      <c r="B495" s="1">
        <v>45560</v>
      </c>
      <c r="C495" t="s">
        <v>218</v>
      </c>
      <c r="D495">
        <v>30</v>
      </c>
      <c r="E495" t="s">
        <v>15</v>
      </c>
      <c r="F495" t="s">
        <v>13</v>
      </c>
      <c r="G495">
        <f>MONTH(cleaned_personal_finance_data[[#This Row],[date]])</f>
        <v>9</v>
      </c>
      <c r="H495">
        <f>YEAR(cleaned_personal_finance_data[[#This Row],[date]])</f>
        <v>2024</v>
      </c>
      <c r="I495" t="s">
        <v>218</v>
      </c>
    </row>
    <row r="496" spans="1:9" x14ac:dyDescent="0.25">
      <c r="A496">
        <v>494</v>
      </c>
      <c r="B496" s="1">
        <v>45561</v>
      </c>
      <c r="C496" t="s">
        <v>6</v>
      </c>
      <c r="D496">
        <v>13202</v>
      </c>
      <c r="E496" t="s">
        <v>7</v>
      </c>
      <c r="F496" t="s">
        <v>13</v>
      </c>
      <c r="G496">
        <f>MONTH(cleaned_personal_finance_data[[#This Row],[date]])</f>
        <v>9</v>
      </c>
      <c r="H496">
        <f>YEAR(cleaned_personal_finance_data[[#This Row],[date]])</f>
        <v>2024</v>
      </c>
      <c r="I496" t="s">
        <v>318</v>
      </c>
    </row>
    <row r="497" spans="1:9" x14ac:dyDescent="0.25">
      <c r="A497">
        <v>495</v>
      </c>
      <c r="B497" s="1">
        <v>45562</v>
      </c>
      <c r="C497" t="s">
        <v>227</v>
      </c>
      <c r="D497">
        <v>500</v>
      </c>
      <c r="E497" t="s">
        <v>12</v>
      </c>
      <c r="F497" t="s">
        <v>21</v>
      </c>
      <c r="G497">
        <f>MONTH(cleaned_personal_finance_data[[#This Row],[date]])</f>
        <v>9</v>
      </c>
      <c r="H497">
        <f>YEAR(cleaned_personal_finance_data[[#This Row],[date]])</f>
        <v>2024</v>
      </c>
      <c r="I497" t="s">
        <v>319</v>
      </c>
    </row>
    <row r="498" spans="1:9" x14ac:dyDescent="0.25">
      <c r="A498">
        <v>496</v>
      </c>
      <c r="B498" s="1">
        <v>45563</v>
      </c>
      <c r="C498" t="s">
        <v>127</v>
      </c>
      <c r="D498">
        <v>80</v>
      </c>
      <c r="E498" t="s">
        <v>15</v>
      </c>
      <c r="F498" t="s">
        <v>13</v>
      </c>
      <c r="G498">
        <f>MONTH(cleaned_personal_finance_data[[#This Row],[date]])</f>
        <v>9</v>
      </c>
      <c r="H498">
        <f>YEAR(cleaned_personal_finance_data[[#This Row],[date]])</f>
        <v>2024</v>
      </c>
      <c r="I498" t="s">
        <v>262</v>
      </c>
    </row>
    <row r="499" spans="1:9" x14ac:dyDescent="0.25">
      <c r="A499">
        <v>497</v>
      </c>
      <c r="B499" s="1">
        <v>45565</v>
      </c>
      <c r="C499" t="s">
        <v>228</v>
      </c>
      <c r="D499">
        <v>100</v>
      </c>
      <c r="E499" t="s">
        <v>15</v>
      </c>
      <c r="F499" t="s">
        <v>13</v>
      </c>
      <c r="G499">
        <f>MONTH(cleaned_personal_finance_data[[#This Row],[date]])</f>
        <v>9</v>
      </c>
      <c r="H499">
        <f>YEAR(cleaned_personal_finance_data[[#This Row],[date]])</f>
        <v>2024</v>
      </c>
      <c r="I499" t="s">
        <v>228</v>
      </c>
    </row>
    <row r="500" spans="1:9" x14ac:dyDescent="0.25">
      <c r="A500">
        <v>498</v>
      </c>
      <c r="B500" s="1">
        <v>45569</v>
      </c>
      <c r="C500" t="s">
        <v>227</v>
      </c>
      <c r="D500">
        <v>1365</v>
      </c>
      <c r="E500" t="s">
        <v>15</v>
      </c>
      <c r="F500" t="s">
        <v>13</v>
      </c>
      <c r="G500">
        <f>MONTH(cleaned_personal_finance_data[[#This Row],[date]])</f>
        <v>10</v>
      </c>
      <c r="H500">
        <f>YEAR(cleaned_personal_finance_data[[#This Row],[date]])</f>
        <v>2024</v>
      </c>
      <c r="I500" t="s">
        <v>319</v>
      </c>
    </row>
    <row r="501" spans="1:9" x14ac:dyDescent="0.25">
      <c r="A501">
        <v>499</v>
      </c>
      <c r="B501" s="1">
        <v>45569</v>
      </c>
      <c r="C501" t="s">
        <v>51</v>
      </c>
      <c r="D501">
        <v>30</v>
      </c>
      <c r="E501" t="s">
        <v>15</v>
      </c>
      <c r="F501" t="s">
        <v>13</v>
      </c>
      <c r="G501">
        <f>MONTH(cleaned_personal_finance_data[[#This Row],[date]])</f>
        <v>10</v>
      </c>
      <c r="H501">
        <f>YEAR(cleaned_personal_finance_data[[#This Row],[date]])</f>
        <v>2024</v>
      </c>
      <c r="I501" t="s">
        <v>43</v>
      </c>
    </row>
    <row r="502" spans="1:9" x14ac:dyDescent="0.25">
      <c r="A502">
        <v>500</v>
      </c>
      <c r="B502" s="1">
        <v>45569</v>
      </c>
      <c r="C502" t="s">
        <v>67</v>
      </c>
      <c r="D502">
        <v>20</v>
      </c>
      <c r="E502" t="s">
        <v>15</v>
      </c>
      <c r="F502" t="s">
        <v>13</v>
      </c>
      <c r="G502">
        <f>MONTH(cleaned_personal_finance_data[[#This Row],[date]])</f>
        <v>10</v>
      </c>
      <c r="H502">
        <f>YEAR(cleaned_personal_finance_data[[#This Row],[date]])</f>
        <v>2024</v>
      </c>
      <c r="I502" t="s">
        <v>67</v>
      </c>
    </row>
    <row r="503" spans="1:9" x14ac:dyDescent="0.25">
      <c r="A503">
        <v>501</v>
      </c>
      <c r="B503" s="1">
        <v>45569</v>
      </c>
      <c r="C503" t="s">
        <v>66</v>
      </c>
      <c r="D503">
        <v>10</v>
      </c>
      <c r="E503" t="s">
        <v>15</v>
      </c>
      <c r="F503" t="s">
        <v>13</v>
      </c>
      <c r="G503">
        <f>MONTH(cleaned_personal_finance_data[[#This Row],[date]])</f>
        <v>10</v>
      </c>
      <c r="H503">
        <f>YEAR(cleaned_personal_finance_data[[#This Row],[date]])</f>
        <v>2024</v>
      </c>
      <c r="I503" t="s">
        <v>66</v>
      </c>
    </row>
    <row r="504" spans="1:9" x14ac:dyDescent="0.25">
      <c r="A504">
        <v>502</v>
      </c>
      <c r="B504" s="1">
        <v>45569</v>
      </c>
      <c r="C504" t="s">
        <v>80</v>
      </c>
      <c r="D504">
        <v>120</v>
      </c>
      <c r="E504" t="s">
        <v>15</v>
      </c>
      <c r="F504" t="s">
        <v>13</v>
      </c>
      <c r="G504">
        <f>MONTH(cleaned_personal_finance_data[[#This Row],[date]])</f>
        <v>10</v>
      </c>
      <c r="H504">
        <f>YEAR(cleaned_personal_finance_data[[#This Row],[date]])</f>
        <v>2024</v>
      </c>
      <c r="I504" t="s">
        <v>43</v>
      </c>
    </row>
    <row r="505" spans="1:9" x14ac:dyDescent="0.25">
      <c r="A505">
        <v>503</v>
      </c>
      <c r="B505" s="1">
        <v>45569</v>
      </c>
      <c r="C505" t="s">
        <v>54</v>
      </c>
      <c r="D505">
        <v>218</v>
      </c>
      <c r="E505" t="s">
        <v>15</v>
      </c>
      <c r="F505" t="s">
        <v>13</v>
      </c>
      <c r="G505">
        <f>MONTH(cleaned_personal_finance_data[[#This Row],[date]])</f>
        <v>10</v>
      </c>
      <c r="H505">
        <f>YEAR(cleaned_personal_finance_data[[#This Row],[date]])</f>
        <v>2024</v>
      </c>
      <c r="I505" t="s">
        <v>54</v>
      </c>
    </row>
    <row r="506" spans="1:9" x14ac:dyDescent="0.25">
      <c r="A506">
        <v>504</v>
      </c>
      <c r="B506" s="1">
        <v>45569</v>
      </c>
      <c r="C506" t="s">
        <v>227</v>
      </c>
      <c r="D506">
        <v>855</v>
      </c>
      <c r="E506" t="s">
        <v>12</v>
      </c>
      <c r="F506" t="s">
        <v>21</v>
      </c>
      <c r="G506">
        <f>MONTH(cleaned_personal_finance_data[[#This Row],[date]])</f>
        <v>10</v>
      </c>
      <c r="H506">
        <f>YEAR(cleaned_personal_finance_data[[#This Row],[date]])</f>
        <v>2024</v>
      </c>
      <c r="I506" t="s">
        <v>319</v>
      </c>
    </row>
    <row r="507" spans="1:9" x14ac:dyDescent="0.25">
      <c r="A507">
        <v>505</v>
      </c>
      <c r="B507" s="1">
        <v>45570</v>
      </c>
      <c r="C507" t="s">
        <v>229</v>
      </c>
      <c r="D507">
        <v>45</v>
      </c>
      <c r="E507" t="s">
        <v>15</v>
      </c>
      <c r="F507" t="s">
        <v>13</v>
      </c>
      <c r="G507">
        <f>MONTH(cleaned_personal_finance_data[[#This Row],[date]])</f>
        <v>10</v>
      </c>
      <c r="H507">
        <f>YEAR(cleaned_personal_finance_data[[#This Row],[date]])</f>
        <v>2024</v>
      </c>
      <c r="I507" t="s">
        <v>229</v>
      </c>
    </row>
    <row r="508" spans="1:9" x14ac:dyDescent="0.25">
      <c r="A508">
        <v>506</v>
      </c>
      <c r="B508" s="1">
        <v>45570</v>
      </c>
      <c r="C508" t="s">
        <v>129</v>
      </c>
      <c r="D508">
        <v>13</v>
      </c>
      <c r="E508" t="s">
        <v>15</v>
      </c>
      <c r="F508" t="s">
        <v>13</v>
      </c>
      <c r="G508">
        <f>MONTH(cleaned_personal_finance_data[[#This Row],[date]])</f>
        <v>10</v>
      </c>
      <c r="H508">
        <f>YEAR(cleaned_personal_finance_data[[#This Row],[date]])</f>
        <v>2024</v>
      </c>
      <c r="I508" t="s">
        <v>43</v>
      </c>
    </row>
    <row r="509" spans="1:9" x14ac:dyDescent="0.25">
      <c r="A509">
        <v>507</v>
      </c>
      <c r="B509" s="1">
        <v>45570</v>
      </c>
      <c r="C509" t="s">
        <v>85</v>
      </c>
      <c r="D509">
        <v>290</v>
      </c>
      <c r="E509" t="s">
        <v>15</v>
      </c>
      <c r="F509" t="s">
        <v>13</v>
      </c>
      <c r="G509">
        <f>MONTH(cleaned_personal_finance_data[[#This Row],[date]])</f>
        <v>10</v>
      </c>
      <c r="H509">
        <f>YEAR(cleaned_personal_finance_data[[#This Row],[date]])</f>
        <v>2024</v>
      </c>
      <c r="I509" t="s">
        <v>85</v>
      </c>
    </row>
    <row r="510" spans="1:9" x14ac:dyDescent="0.25">
      <c r="A510">
        <v>508</v>
      </c>
      <c r="B510" s="1">
        <v>45570</v>
      </c>
      <c r="C510" t="s">
        <v>61</v>
      </c>
      <c r="D510">
        <v>120</v>
      </c>
      <c r="E510" t="s">
        <v>15</v>
      </c>
      <c r="F510" t="s">
        <v>13</v>
      </c>
      <c r="G510">
        <f>MONTH(cleaned_personal_finance_data[[#This Row],[date]])</f>
        <v>10</v>
      </c>
      <c r="H510">
        <f>YEAR(cleaned_personal_finance_data[[#This Row],[date]])</f>
        <v>2024</v>
      </c>
      <c r="I510" t="s">
        <v>43</v>
      </c>
    </row>
    <row r="511" spans="1:9" x14ac:dyDescent="0.25">
      <c r="A511">
        <v>509</v>
      </c>
      <c r="B511" s="1">
        <v>45570</v>
      </c>
      <c r="C511" t="s">
        <v>76</v>
      </c>
      <c r="D511">
        <v>50</v>
      </c>
      <c r="E511" t="s">
        <v>15</v>
      </c>
      <c r="F511" t="s">
        <v>13</v>
      </c>
      <c r="G511">
        <f>MONTH(cleaned_personal_finance_data[[#This Row],[date]])</f>
        <v>10</v>
      </c>
      <c r="H511">
        <f>YEAR(cleaned_personal_finance_data[[#This Row],[date]])</f>
        <v>2024</v>
      </c>
      <c r="I511" t="s">
        <v>43</v>
      </c>
    </row>
    <row r="512" spans="1:9" x14ac:dyDescent="0.25">
      <c r="A512">
        <v>510</v>
      </c>
      <c r="B512" s="1">
        <v>45570</v>
      </c>
      <c r="C512" t="s">
        <v>184</v>
      </c>
      <c r="D512">
        <v>125</v>
      </c>
      <c r="E512" t="s">
        <v>15</v>
      </c>
      <c r="F512" t="s">
        <v>21</v>
      </c>
      <c r="G512">
        <f>MONTH(cleaned_personal_finance_data[[#This Row],[date]])</f>
        <v>10</v>
      </c>
      <c r="H512">
        <f>YEAR(cleaned_personal_finance_data[[#This Row],[date]])</f>
        <v>2024</v>
      </c>
      <c r="I512" t="s">
        <v>28</v>
      </c>
    </row>
    <row r="513" spans="1:9" x14ac:dyDescent="0.25">
      <c r="A513">
        <v>511</v>
      </c>
      <c r="B513" s="1">
        <v>45570</v>
      </c>
      <c r="C513" t="s">
        <v>28</v>
      </c>
      <c r="D513">
        <v>50</v>
      </c>
      <c r="E513" t="s">
        <v>15</v>
      </c>
      <c r="F513" t="s">
        <v>21</v>
      </c>
      <c r="G513">
        <f>MONTH(cleaned_personal_finance_data[[#This Row],[date]])</f>
        <v>10</v>
      </c>
      <c r="H513">
        <f>YEAR(cleaned_personal_finance_data[[#This Row],[date]])</f>
        <v>2024</v>
      </c>
      <c r="I513" t="s">
        <v>28</v>
      </c>
    </row>
    <row r="514" spans="1:9" x14ac:dyDescent="0.25">
      <c r="A514">
        <v>512</v>
      </c>
      <c r="B514" s="1">
        <v>45571</v>
      </c>
      <c r="C514" t="s">
        <v>24</v>
      </c>
      <c r="D514">
        <v>239</v>
      </c>
      <c r="E514" t="s">
        <v>15</v>
      </c>
      <c r="F514" t="s">
        <v>21</v>
      </c>
      <c r="G514">
        <f>MONTH(cleaned_personal_finance_data[[#This Row],[date]])</f>
        <v>10</v>
      </c>
      <c r="H514">
        <f>YEAR(cleaned_personal_finance_data[[#This Row],[date]])</f>
        <v>2024</v>
      </c>
      <c r="I514" t="s">
        <v>24</v>
      </c>
    </row>
    <row r="515" spans="1:9" x14ac:dyDescent="0.25">
      <c r="A515">
        <v>513</v>
      </c>
      <c r="B515" s="1">
        <v>45573</v>
      </c>
      <c r="C515" t="s">
        <v>230</v>
      </c>
      <c r="D515">
        <v>500</v>
      </c>
      <c r="E515" t="s">
        <v>15</v>
      </c>
      <c r="F515" t="s">
        <v>13</v>
      </c>
      <c r="G515">
        <f>MONTH(cleaned_personal_finance_data[[#This Row],[date]])</f>
        <v>10</v>
      </c>
      <c r="H515">
        <f>YEAR(cleaned_personal_finance_data[[#This Row],[date]])</f>
        <v>2024</v>
      </c>
      <c r="I515" t="s">
        <v>230</v>
      </c>
    </row>
    <row r="516" spans="1:9" x14ac:dyDescent="0.25">
      <c r="A516">
        <v>514</v>
      </c>
      <c r="B516" s="1">
        <v>45575</v>
      </c>
      <c r="C516" t="s">
        <v>218</v>
      </c>
      <c r="D516">
        <v>35</v>
      </c>
      <c r="E516" t="s">
        <v>15</v>
      </c>
      <c r="F516" t="s">
        <v>13</v>
      </c>
      <c r="G516">
        <f>MONTH(cleaned_personal_finance_data[[#This Row],[date]])</f>
        <v>10</v>
      </c>
      <c r="H516">
        <f>YEAR(cleaned_personal_finance_data[[#This Row],[date]])</f>
        <v>2024</v>
      </c>
      <c r="I516" t="s">
        <v>218</v>
      </c>
    </row>
    <row r="517" spans="1:9" x14ac:dyDescent="0.25">
      <c r="A517">
        <v>515</v>
      </c>
      <c r="B517" s="1">
        <v>45575</v>
      </c>
      <c r="C517" t="s">
        <v>64</v>
      </c>
      <c r="D517">
        <v>199</v>
      </c>
      <c r="E517" t="s">
        <v>15</v>
      </c>
      <c r="F517" t="s">
        <v>21</v>
      </c>
      <c r="G517">
        <f>MONTH(cleaned_personal_finance_data[[#This Row],[date]])</f>
        <v>10</v>
      </c>
      <c r="H517">
        <f>YEAR(cleaned_personal_finance_data[[#This Row],[date]])</f>
        <v>2024</v>
      </c>
      <c r="I517" t="s">
        <v>64</v>
      </c>
    </row>
    <row r="518" spans="1:9" x14ac:dyDescent="0.25">
      <c r="A518">
        <v>516</v>
      </c>
      <c r="B518" s="1">
        <v>45578</v>
      </c>
      <c r="C518" t="s">
        <v>231</v>
      </c>
      <c r="D518">
        <v>1021</v>
      </c>
      <c r="E518" t="s">
        <v>7</v>
      </c>
      <c r="F518" t="s">
        <v>8</v>
      </c>
      <c r="G518">
        <f>MONTH(cleaned_personal_finance_data[[#This Row],[date]])</f>
        <v>10</v>
      </c>
      <c r="H518">
        <f>YEAR(cleaned_personal_finance_data[[#This Row],[date]])</f>
        <v>2024</v>
      </c>
      <c r="I518" t="s">
        <v>231</v>
      </c>
    </row>
    <row r="519" spans="1:9" x14ac:dyDescent="0.25">
      <c r="A519">
        <v>517</v>
      </c>
      <c r="B519" s="1">
        <v>45578</v>
      </c>
      <c r="C519" t="s">
        <v>232</v>
      </c>
      <c r="D519">
        <v>3150</v>
      </c>
      <c r="E519" t="s">
        <v>15</v>
      </c>
      <c r="F519" t="s">
        <v>13</v>
      </c>
      <c r="G519">
        <f>MONTH(cleaned_personal_finance_data[[#This Row],[date]])</f>
        <v>10</v>
      </c>
      <c r="H519">
        <f>YEAR(cleaned_personal_finance_data[[#This Row],[date]])</f>
        <v>2024</v>
      </c>
      <c r="I519" t="s">
        <v>159</v>
      </c>
    </row>
    <row r="520" spans="1:9" x14ac:dyDescent="0.25">
      <c r="A520">
        <v>518</v>
      </c>
      <c r="B520" s="1">
        <v>45578</v>
      </c>
      <c r="C520" t="s">
        <v>233</v>
      </c>
      <c r="D520">
        <v>5000</v>
      </c>
      <c r="E520" t="s">
        <v>15</v>
      </c>
      <c r="F520" t="s">
        <v>13</v>
      </c>
      <c r="G520">
        <f>MONTH(cleaned_personal_finance_data[[#This Row],[date]])</f>
        <v>10</v>
      </c>
      <c r="H520">
        <f>YEAR(cleaned_personal_finance_data[[#This Row],[date]])</f>
        <v>2024</v>
      </c>
      <c r="I520" t="s">
        <v>145</v>
      </c>
    </row>
    <row r="521" spans="1:9" x14ac:dyDescent="0.25">
      <c r="A521">
        <v>519</v>
      </c>
      <c r="B521" s="1">
        <v>45578</v>
      </c>
      <c r="C521" t="s">
        <v>234</v>
      </c>
      <c r="D521">
        <v>1750</v>
      </c>
      <c r="E521" t="s">
        <v>15</v>
      </c>
      <c r="F521" t="s">
        <v>13</v>
      </c>
      <c r="G521">
        <f>MONTH(cleaned_personal_finance_data[[#This Row],[date]])</f>
        <v>10</v>
      </c>
      <c r="H521">
        <f>YEAR(cleaned_personal_finance_data[[#This Row],[date]])</f>
        <v>2024</v>
      </c>
      <c r="I521" t="s">
        <v>323</v>
      </c>
    </row>
    <row r="522" spans="1:9" x14ac:dyDescent="0.25">
      <c r="A522">
        <v>520</v>
      </c>
      <c r="B522" s="1">
        <v>45579</v>
      </c>
      <c r="C522" t="s">
        <v>235</v>
      </c>
      <c r="D522">
        <v>20</v>
      </c>
      <c r="E522" t="s">
        <v>15</v>
      </c>
      <c r="F522" t="s">
        <v>13</v>
      </c>
      <c r="G522">
        <f>MONTH(cleaned_personal_finance_data[[#This Row],[date]])</f>
        <v>10</v>
      </c>
      <c r="H522">
        <f>YEAR(cleaned_personal_finance_data[[#This Row],[date]])</f>
        <v>2024</v>
      </c>
      <c r="I522" t="s">
        <v>43</v>
      </c>
    </row>
    <row r="523" spans="1:9" x14ac:dyDescent="0.25">
      <c r="A523">
        <v>521</v>
      </c>
      <c r="B523" s="1">
        <v>45579</v>
      </c>
      <c r="C523" t="s">
        <v>218</v>
      </c>
      <c r="D523">
        <v>15</v>
      </c>
      <c r="E523" t="s">
        <v>15</v>
      </c>
      <c r="F523" t="s">
        <v>13</v>
      </c>
      <c r="G523">
        <f>MONTH(cleaned_personal_finance_data[[#This Row],[date]])</f>
        <v>10</v>
      </c>
      <c r="H523">
        <f>YEAR(cleaned_personal_finance_data[[#This Row],[date]])</f>
        <v>2024</v>
      </c>
      <c r="I523" t="s">
        <v>218</v>
      </c>
    </row>
    <row r="524" spans="1:9" x14ac:dyDescent="0.25">
      <c r="A524">
        <v>522</v>
      </c>
      <c r="B524" s="1">
        <v>45579</v>
      </c>
      <c r="C524" t="s">
        <v>6</v>
      </c>
      <c r="D524">
        <v>13240</v>
      </c>
      <c r="E524" t="s">
        <v>7</v>
      </c>
      <c r="F524" t="s">
        <v>8</v>
      </c>
      <c r="G524">
        <f>MONTH(cleaned_personal_finance_data[[#This Row],[date]])</f>
        <v>10</v>
      </c>
      <c r="H524">
        <f>YEAR(cleaned_personal_finance_data[[#This Row],[date]])</f>
        <v>2024</v>
      </c>
      <c r="I524" t="s">
        <v>318</v>
      </c>
    </row>
    <row r="525" spans="1:9" x14ac:dyDescent="0.25">
      <c r="A525">
        <v>523</v>
      </c>
      <c r="B525" s="1">
        <v>45581</v>
      </c>
      <c r="C525" t="s">
        <v>218</v>
      </c>
      <c r="D525">
        <v>45</v>
      </c>
      <c r="E525" t="s">
        <v>15</v>
      </c>
      <c r="F525" t="s">
        <v>13</v>
      </c>
      <c r="G525">
        <f>MONTH(cleaned_personal_finance_data[[#This Row],[date]])</f>
        <v>10</v>
      </c>
      <c r="H525">
        <f>YEAR(cleaned_personal_finance_data[[#This Row],[date]])</f>
        <v>2024</v>
      </c>
      <c r="I525" t="s">
        <v>218</v>
      </c>
    </row>
    <row r="526" spans="1:9" x14ac:dyDescent="0.25">
      <c r="A526">
        <v>524</v>
      </c>
      <c r="B526" s="1">
        <v>45581</v>
      </c>
      <c r="C526" t="s">
        <v>236</v>
      </c>
      <c r="D526">
        <v>50</v>
      </c>
      <c r="E526" t="s">
        <v>15</v>
      </c>
      <c r="F526" t="s">
        <v>13</v>
      </c>
      <c r="G526">
        <f>MONTH(cleaned_personal_finance_data[[#This Row],[date]])</f>
        <v>10</v>
      </c>
      <c r="H526">
        <f>YEAR(cleaned_personal_finance_data[[#This Row],[date]])</f>
        <v>2024</v>
      </c>
      <c r="I526" t="s">
        <v>236</v>
      </c>
    </row>
    <row r="527" spans="1:9" x14ac:dyDescent="0.25">
      <c r="A527">
        <v>525</v>
      </c>
      <c r="B527" s="1">
        <v>45581</v>
      </c>
      <c r="C527" t="s">
        <v>184</v>
      </c>
      <c r="D527">
        <v>125</v>
      </c>
      <c r="E527" t="s">
        <v>15</v>
      </c>
      <c r="F527" t="s">
        <v>21</v>
      </c>
      <c r="G527">
        <f>MONTH(cleaned_personal_finance_data[[#This Row],[date]])</f>
        <v>10</v>
      </c>
      <c r="H527">
        <f>YEAR(cleaned_personal_finance_data[[#This Row],[date]])</f>
        <v>2024</v>
      </c>
      <c r="I527" t="s">
        <v>28</v>
      </c>
    </row>
    <row r="528" spans="1:9" x14ac:dyDescent="0.25">
      <c r="A528">
        <v>526</v>
      </c>
      <c r="B528" s="1">
        <v>45583</v>
      </c>
      <c r="C528" t="s">
        <v>64</v>
      </c>
      <c r="D528">
        <v>199</v>
      </c>
      <c r="E528" t="s">
        <v>15</v>
      </c>
      <c r="F528" t="s">
        <v>21</v>
      </c>
      <c r="G528">
        <f>MONTH(cleaned_personal_finance_data[[#This Row],[date]])</f>
        <v>10</v>
      </c>
      <c r="H528">
        <f>YEAR(cleaned_personal_finance_data[[#This Row],[date]])</f>
        <v>2024</v>
      </c>
      <c r="I528" t="s">
        <v>64</v>
      </c>
    </row>
    <row r="529" spans="1:9" x14ac:dyDescent="0.25">
      <c r="A529">
        <v>527</v>
      </c>
      <c r="B529" s="1">
        <v>45584</v>
      </c>
      <c r="C529" t="s">
        <v>28</v>
      </c>
      <c r="D529">
        <v>125</v>
      </c>
      <c r="E529" t="s">
        <v>15</v>
      </c>
      <c r="F529" t="s">
        <v>21</v>
      </c>
      <c r="G529">
        <f>MONTH(cleaned_personal_finance_data[[#This Row],[date]])</f>
        <v>10</v>
      </c>
      <c r="H529">
        <f>YEAR(cleaned_personal_finance_data[[#This Row],[date]])</f>
        <v>2024</v>
      </c>
      <c r="I529" t="s">
        <v>28</v>
      </c>
    </row>
    <row r="530" spans="1:9" x14ac:dyDescent="0.25">
      <c r="A530">
        <v>528</v>
      </c>
      <c r="B530" s="1">
        <v>45587</v>
      </c>
      <c r="C530" t="s">
        <v>103</v>
      </c>
      <c r="D530">
        <v>260</v>
      </c>
      <c r="E530" t="s">
        <v>15</v>
      </c>
      <c r="F530" t="s">
        <v>13</v>
      </c>
      <c r="G530">
        <f>MONTH(cleaned_personal_finance_data[[#This Row],[date]])</f>
        <v>10</v>
      </c>
      <c r="H530">
        <f>YEAR(cleaned_personal_finance_data[[#This Row],[date]])</f>
        <v>2024</v>
      </c>
      <c r="I530" t="s">
        <v>329</v>
      </c>
    </row>
    <row r="531" spans="1:9" x14ac:dyDescent="0.25">
      <c r="A531">
        <v>529</v>
      </c>
      <c r="B531" s="1">
        <v>45587</v>
      </c>
      <c r="C531" t="s">
        <v>34</v>
      </c>
      <c r="D531">
        <v>129</v>
      </c>
      <c r="E531" t="s">
        <v>15</v>
      </c>
      <c r="F531" t="s">
        <v>21</v>
      </c>
      <c r="G531">
        <f>MONTH(cleaned_personal_finance_data[[#This Row],[date]])</f>
        <v>10</v>
      </c>
      <c r="H531">
        <f>YEAR(cleaned_personal_finance_data[[#This Row],[date]])</f>
        <v>2024</v>
      </c>
      <c r="I531" t="s">
        <v>34</v>
      </c>
    </row>
    <row r="532" spans="1:9" x14ac:dyDescent="0.25">
      <c r="A532">
        <v>530</v>
      </c>
      <c r="B532" s="1">
        <v>45588</v>
      </c>
      <c r="C532" t="s">
        <v>237</v>
      </c>
      <c r="D532">
        <v>8</v>
      </c>
      <c r="E532" t="s">
        <v>15</v>
      </c>
      <c r="F532" t="s">
        <v>13</v>
      </c>
      <c r="G532">
        <f>MONTH(cleaned_personal_finance_data[[#This Row],[date]])</f>
        <v>10</v>
      </c>
      <c r="H532">
        <f>YEAR(cleaned_personal_finance_data[[#This Row],[date]])</f>
        <v>2024</v>
      </c>
      <c r="I532" t="s">
        <v>237</v>
      </c>
    </row>
    <row r="533" spans="1:9" x14ac:dyDescent="0.25">
      <c r="A533">
        <v>531</v>
      </c>
      <c r="B533" s="1">
        <v>45588</v>
      </c>
      <c r="C533" t="s">
        <v>28</v>
      </c>
      <c r="D533">
        <v>125</v>
      </c>
      <c r="E533" t="s">
        <v>15</v>
      </c>
      <c r="F533" t="s">
        <v>21</v>
      </c>
      <c r="G533">
        <f>MONTH(cleaned_personal_finance_data[[#This Row],[date]])</f>
        <v>10</v>
      </c>
      <c r="H533">
        <f>YEAR(cleaned_personal_finance_data[[#This Row],[date]])</f>
        <v>2024</v>
      </c>
      <c r="I533" t="s">
        <v>28</v>
      </c>
    </row>
    <row r="534" spans="1:9" x14ac:dyDescent="0.25">
      <c r="A534">
        <v>532</v>
      </c>
      <c r="B534" s="1">
        <v>45589</v>
      </c>
      <c r="C534" t="s">
        <v>28</v>
      </c>
      <c r="D534">
        <v>125</v>
      </c>
      <c r="E534" t="s">
        <v>15</v>
      </c>
      <c r="F534" t="s">
        <v>21</v>
      </c>
      <c r="G534">
        <f>MONTH(cleaned_personal_finance_data[[#This Row],[date]])</f>
        <v>10</v>
      </c>
      <c r="H534">
        <f>YEAR(cleaned_personal_finance_data[[#This Row],[date]])</f>
        <v>2024</v>
      </c>
      <c r="I534" t="s">
        <v>28</v>
      </c>
    </row>
    <row r="535" spans="1:9" x14ac:dyDescent="0.25">
      <c r="A535">
        <v>533</v>
      </c>
      <c r="B535" s="1">
        <v>45590</v>
      </c>
      <c r="C535" t="s">
        <v>238</v>
      </c>
      <c r="D535">
        <v>10000</v>
      </c>
      <c r="E535" t="s">
        <v>15</v>
      </c>
      <c r="F535" t="s">
        <v>13</v>
      </c>
      <c r="G535">
        <f>MONTH(cleaned_personal_finance_data[[#This Row],[date]])</f>
        <v>10</v>
      </c>
      <c r="H535">
        <f>YEAR(cleaned_personal_finance_data[[#This Row],[date]])</f>
        <v>2024</v>
      </c>
      <c r="I535" t="s">
        <v>238</v>
      </c>
    </row>
    <row r="536" spans="1:9" x14ac:dyDescent="0.25">
      <c r="A536">
        <v>534</v>
      </c>
      <c r="B536" s="1">
        <v>45590</v>
      </c>
      <c r="C536" t="s">
        <v>28</v>
      </c>
      <c r="D536">
        <v>25</v>
      </c>
      <c r="E536" t="s">
        <v>15</v>
      </c>
      <c r="F536" t="s">
        <v>21</v>
      </c>
      <c r="G536">
        <f>MONTH(cleaned_personal_finance_data[[#This Row],[date]])</f>
        <v>10</v>
      </c>
      <c r="H536">
        <f>YEAR(cleaned_personal_finance_data[[#This Row],[date]])</f>
        <v>2024</v>
      </c>
      <c r="I536" t="s">
        <v>28</v>
      </c>
    </row>
    <row r="537" spans="1:9" x14ac:dyDescent="0.25">
      <c r="A537">
        <v>535</v>
      </c>
      <c r="B537" s="1">
        <v>45591</v>
      </c>
      <c r="C537" t="s">
        <v>78</v>
      </c>
      <c r="D537">
        <v>200</v>
      </c>
      <c r="E537" t="s">
        <v>15</v>
      </c>
      <c r="F537" t="s">
        <v>13</v>
      </c>
      <c r="G537">
        <f>MONTH(cleaned_personal_finance_data[[#This Row],[date]])</f>
        <v>10</v>
      </c>
      <c r="H537">
        <f>YEAR(cleaned_personal_finance_data[[#This Row],[date]])</f>
        <v>2024</v>
      </c>
      <c r="I537" t="s">
        <v>78</v>
      </c>
    </row>
    <row r="538" spans="1:9" x14ac:dyDescent="0.25">
      <c r="A538">
        <v>536</v>
      </c>
      <c r="B538" s="1">
        <v>45591</v>
      </c>
      <c r="C538" t="s">
        <v>64</v>
      </c>
      <c r="D538">
        <v>199</v>
      </c>
      <c r="E538" t="s">
        <v>15</v>
      </c>
      <c r="F538" t="s">
        <v>21</v>
      </c>
      <c r="G538">
        <f>MONTH(cleaned_personal_finance_data[[#This Row],[date]])</f>
        <v>10</v>
      </c>
      <c r="H538">
        <f>YEAR(cleaned_personal_finance_data[[#This Row],[date]])</f>
        <v>2024</v>
      </c>
      <c r="I538" t="s">
        <v>64</v>
      </c>
    </row>
    <row r="539" spans="1:9" x14ac:dyDescent="0.25">
      <c r="A539">
        <v>537</v>
      </c>
      <c r="B539" s="1">
        <v>45595</v>
      </c>
      <c r="C539" t="s">
        <v>218</v>
      </c>
      <c r="D539">
        <v>15</v>
      </c>
      <c r="E539" t="s">
        <v>15</v>
      </c>
      <c r="F539" t="s">
        <v>13</v>
      </c>
      <c r="G539">
        <f>MONTH(cleaned_personal_finance_data[[#This Row],[date]])</f>
        <v>10</v>
      </c>
      <c r="H539">
        <f>YEAR(cleaned_personal_finance_data[[#This Row],[date]])</f>
        <v>2024</v>
      </c>
      <c r="I539" t="s">
        <v>218</v>
      </c>
    </row>
    <row r="540" spans="1:9" x14ac:dyDescent="0.25">
      <c r="A540">
        <v>538</v>
      </c>
      <c r="B540" s="1">
        <v>45595</v>
      </c>
      <c r="C540" t="s">
        <v>239</v>
      </c>
      <c r="D540">
        <v>92</v>
      </c>
      <c r="E540" t="s">
        <v>15</v>
      </c>
      <c r="F540" t="s">
        <v>21</v>
      </c>
      <c r="G540">
        <f>MONTH(cleaned_personal_finance_data[[#This Row],[date]])</f>
        <v>10</v>
      </c>
      <c r="H540">
        <f>YEAR(cleaned_personal_finance_data[[#This Row],[date]])</f>
        <v>2024</v>
      </c>
      <c r="I540" t="s">
        <v>324</v>
      </c>
    </row>
    <row r="541" spans="1:9" x14ac:dyDescent="0.25">
      <c r="A541">
        <v>539</v>
      </c>
      <c r="B541" s="1">
        <v>45596</v>
      </c>
      <c r="C541" t="s">
        <v>78</v>
      </c>
      <c r="D541">
        <v>150</v>
      </c>
      <c r="E541" t="s">
        <v>15</v>
      </c>
      <c r="F541" t="s">
        <v>13</v>
      </c>
      <c r="G541">
        <f>MONTH(cleaned_personal_finance_data[[#This Row],[date]])</f>
        <v>10</v>
      </c>
      <c r="H541">
        <f>YEAR(cleaned_personal_finance_data[[#This Row],[date]])</f>
        <v>2024</v>
      </c>
      <c r="I541" t="s">
        <v>78</v>
      </c>
    </row>
    <row r="542" spans="1:9" x14ac:dyDescent="0.25">
      <c r="A542">
        <v>540</v>
      </c>
      <c r="B542" s="1">
        <v>45596</v>
      </c>
      <c r="C542" t="s">
        <v>6</v>
      </c>
      <c r="D542">
        <v>13241</v>
      </c>
      <c r="E542" t="s">
        <v>7</v>
      </c>
      <c r="F542" t="s">
        <v>8</v>
      </c>
      <c r="G542">
        <f>MONTH(cleaned_personal_finance_data[[#This Row],[date]])</f>
        <v>10</v>
      </c>
      <c r="H542">
        <f>YEAR(cleaned_personal_finance_data[[#This Row],[date]])</f>
        <v>2024</v>
      </c>
      <c r="I542" t="s">
        <v>318</v>
      </c>
    </row>
    <row r="543" spans="1:9" x14ac:dyDescent="0.25">
      <c r="A543">
        <v>541</v>
      </c>
      <c r="B543" s="1">
        <v>45598</v>
      </c>
      <c r="C543" t="s">
        <v>240</v>
      </c>
      <c r="D543">
        <v>35</v>
      </c>
      <c r="E543" t="s">
        <v>15</v>
      </c>
      <c r="F543" t="s">
        <v>13</v>
      </c>
      <c r="G543">
        <f>MONTH(cleaned_personal_finance_data[[#This Row],[date]])</f>
        <v>11</v>
      </c>
      <c r="H543">
        <f>YEAR(cleaned_personal_finance_data[[#This Row],[date]])</f>
        <v>2024</v>
      </c>
      <c r="I543" t="s">
        <v>240</v>
      </c>
    </row>
    <row r="544" spans="1:9" x14ac:dyDescent="0.25">
      <c r="A544">
        <v>542</v>
      </c>
      <c r="B544" s="1">
        <v>45599</v>
      </c>
      <c r="C544" t="s">
        <v>64</v>
      </c>
      <c r="D544">
        <v>199</v>
      </c>
      <c r="E544" t="s">
        <v>15</v>
      </c>
      <c r="F544" t="s">
        <v>21</v>
      </c>
      <c r="G544">
        <f>MONTH(cleaned_personal_finance_data[[#This Row],[date]])</f>
        <v>11</v>
      </c>
      <c r="H544">
        <f>YEAR(cleaned_personal_finance_data[[#This Row],[date]])</f>
        <v>2024</v>
      </c>
      <c r="I544" t="s">
        <v>64</v>
      </c>
    </row>
    <row r="545" spans="1:9" x14ac:dyDescent="0.25">
      <c r="A545">
        <v>543</v>
      </c>
      <c r="B545" s="1">
        <v>45601</v>
      </c>
      <c r="C545" t="s">
        <v>241</v>
      </c>
      <c r="D545">
        <v>30</v>
      </c>
      <c r="E545" t="s">
        <v>15</v>
      </c>
      <c r="F545" t="s">
        <v>13</v>
      </c>
      <c r="G545">
        <f>MONTH(cleaned_personal_finance_data[[#This Row],[date]])</f>
        <v>11</v>
      </c>
      <c r="H545">
        <f>YEAR(cleaned_personal_finance_data[[#This Row],[date]])</f>
        <v>2024</v>
      </c>
      <c r="I545" t="s">
        <v>241</v>
      </c>
    </row>
    <row r="546" spans="1:9" x14ac:dyDescent="0.25">
      <c r="A546">
        <v>544</v>
      </c>
      <c r="B546" s="1">
        <v>45601</v>
      </c>
      <c r="C546" t="s">
        <v>242</v>
      </c>
      <c r="D546">
        <v>15</v>
      </c>
      <c r="E546" t="s">
        <v>15</v>
      </c>
      <c r="F546" t="s">
        <v>13</v>
      </c>
      <c r="G546">
        <f>MONTH(cleaned_personal_finance_data[[#This Row],[date]])</f>
        <v>11</v>
      </c>
      <c r="H546">
        <f>YEAR(cleaned_personal_finance_data[[#This Row],[date]])</f>
        <v>2024</v>
      </c>
      <c r="I546" t="s">
        <v>242</v>
      </c>
    </row>
    <row r="547" spans="1:9" x14ac:dyDescent="0.25">
      <c r="A547">
        <v>545</v>
      </c>
      <c r="B547" s="1">
        <v>45602</v>
      </c>
      <c r="C547" t="s">
        <v>242</v>
      </c>
      <c r="D547">
        <v>15</v>
      </c>
      <c r="E547" t="s">
        <v>15</v>
      </c>
      <c r="F547" t="s">
        <v>13</v>
      </c>
      <c r="G547">
        <f>MONTH(cleaned_personal_finance_data[[#This Row],[date]])</f>
        <v>11</v>
      </c>
      <c r="H547">
        <f>YEAR(cleaned_personal_finance_data[[#This Row],[date]])</f>
        <v>2024</v>
      </c>
      <c r="I547" t="s">
        <v>242</v>
      </c>
    </row>
    <row r="548" spans="1:9" x14ac:dyDescent="0.25">
      <c r="A548">
        <v>546</v>
      </c>
      <c r="B548" s="1">
        <v>45603</v>
      </c>
      <c r="C548" t="s">
        <v>242</v>
      </c>
      <c r="D548">
        <v>15</v>
      </c>
      <c r="E548" t="s">
        <v>15</v>
      </c>
      <c r="F548" t="s">
        <v>13</v>
      </c>
      <c r="G548">
        <f>MONTH(cleaned_personal_finance_data[[#This Row],[date]])</f>
        <v>11</v>
      </c>
      <c r="H548">
        <f>YEAR(cleaned_personal_finance_data[[#This Row],[date]])</f>
        <v>2024</v>
      </c>
      <c r="I548" t="s">
        <v>242</v>
      </c>
    </row>
    <row r="549" spans="1:9" x14ac:dyDescent="0.25">
      <c r="A549">
        <v>547</v>
      </c>
      <c r="B549" s="1">
        <v>45603</v>
      </c>
      <c r="C549" t="s">
        <v>243</v>
      </c>
      <c r="D549">
        <v>20</v>
      </c>
      <c r="E549" t="s">
        <v>15</v>
      </c>
      <c r="F549" t="s">
        <v>13</v>
      </c>
      <c r="G549">
        <f>MONTH(cleaned_personal_finance_data[[#This Row],[date]])</f>
        <v>11</v>
      </c>
      <c r="H549">
        <f>YEAR(cleaned_personal_finance_data[[#This Row],[date]])</f>
        <v>2024</v>
      </c>
      <c r="I549" t="s">
        <v>243</v>
      </c>
    </row>
    <row r="550" spans="1:9" x14ac:dyDescent="0.25">
      <c r="A550">
        <v>548</v>
      </c>
      <c r="B550" s="1">
        <v>45607</v>
      </c>
      <c r="C550" t="s">
        <v>244</v>
      </c>
      <c r="D550">
        <v>500</v>
      </c>
      <c r="E550" t="s">
        <v>15</v>
      </c>
      <c r="F550" t="s">
        <v>13</v>
      </c>
      <c r="G550">
        <f>MONTH(cleaned_personal_finance_data[[#This Row],[date]])</f>
        <v>11</v>
      </c>
      <c r="H550">
        <f>YEAR(cleaned_personal_finance_data[[#This Row],[date]])</f>
        <v>2024</v>
      </c>
      <c r="I550" t="s">
        <v>244</v>
      </c>
    </row>
    <row r="551" spans="1:9" x14ac:dyDescent="0.25">
      <c r="A551">
        <v>549</v>
      </c>
      <c r="B551" s="1">
        <v>45607</v>
      </c>
      <c r="C551" t="s">
        <v>245</v>
      </c>
      <c r="D551">
        <v>200</v>
      </c>
      <c r="E551" t="s">
        <v>15</v>
      </c>
      <c r="F551" t="s">
        <v>13</v>
      </c>
      <c r="G551">
        <f>MONTH(cleaned_personal_finance_data[[#This Row],[date]])</f>
        <v>11</v>
      </c>
      <c r="H551">
        <f>YEAR(cleaned_personal_finance_data[[#This Row],[date]])</f>
        <v>2024</v>
      </c>
      <c r="I551" t="s">
        <v>245</v>
      </c>
    </row>
    <row r="552" spans="1:9" x14ac:dyDescent="0.25">
      <c r="A552">
        <v>550</v>
      </c>
      <c r="B552" s="1">
        <v>45607</v>
      </c>
      <c r="C552" t="s">
        <v>67</v>
      </c>
      <c r="D552">
        <v>50</v>
      </c>
      <c r="E552" t="s">
        <v>15</v>
      </c>
      <c r="F552" t="s">
        <v>13</v>
      </c>
      <c r="G552">
        <f>MONTH(cleaned_personal_finance_data[[#This Row],[date]])</f>
        <v>11</v>
      </c>
      <c r="H552">
        <f>YEAR(cleaned_personal_finance_data[[#This Row],[date]])</f>
        <v>2024</v>
      </c>
      <c r="I552" t="s">
        <v>67</v>
      </c>
    </row>
    <row r="553" spans="1:9" x14ac:dyDescent="0.25">
      <c r="A553">
        <v>551</v>
      </c>
      <c r="B553" s="1">
        <v>45607</v>
      </c>
      <c r="C553" t="s">
        <v>246</v>
      </c>
      <c r="D553">
        <v>20</v>
      </c>
      <c r="E553" t="s">
        <v>15</v>
      </c>
      <c r="F553" t="s">
        <v>13</v>
      </c>
      <c r="G553">
        <f>MONTH(cleaned_personal_finance_data[[#This Row],[date]])</f>
        <v>11</v>
      </c>
      <c r="H553">
        <f>YEAR(cleaned_personal_finance_data[[#This Row],[date]])</f>
        <v>2024</v>
      </c>
      <c r="I553" t="s">
        <v>246</v>
      </c>
    </row>
    <row r="554" spans="1:9" x14ac:dyDescent="0.25">
      <c r="A554">
        <v>552</v>
      </c>
      <c r="B554" s="1">
        <v>45607</v>
      </c>
      <c r="C554" t="s">
        <v>247</v>
      </c>
      <c r="D554">
        <v>40</v>
      </c>
      <c r="E554" t="s">
        <v>15</v>
      </c>
      <c r="F554" t="s">
        <v>13</v>
      </c>
      <c r="G554">
        <f>MONTH(cleaned_personal_finance_data[[#This Row],[date]])</f>
        <v>11</v>
      </c>
      <c r="H554">
        <f>YEAR(cleaned_personal_finance_data[[#This Row],[date]])</f>
        <v>2024</v>
      </c>
      <c r="I554" t="s">
        <v>247</v>
      </c>
    </row>
    <row r="555" spans="1:9" x14ac:dyDescent="0.25">
      <c r="A555">
        <v>553</v>
      </c>
      <c r="B555" s="1">
        <v>45608</v>
      </c>
      <c r="C555" t="s">
        <v>218</v>
      </c>
      <c r="D555">
        <v>45</v>
      </c>
      <c r="E555" t="s">
        <v>15</v>
      </c>
      <c r="F555" t="s">
        <v>13</v>
      </c>
      <c r="G555">
        <f>MONTH(cleaned_personal_finance_data[[#This Row],[date]])</f>
        <v>11</v>
      </c>
      <c r="H555">
        <f>YEAR(cleaned_personal_finance_data[[#This Row],[date]])</f>
        <v>2024</v>
      </c>
      <c r="I555" t="s">
        <v>218</v>
      </c>
    </row>
    <row r="556" spans="1:9" x14ac:dyDescent="0.25">
      <c r="A556">
        <v>554</v>
      </c>
      <c r="B556" s="1">
        <v>45608</v>
      </c>
      <c r="C556" t="s">
        <v>103</v>
      </c>
      <c r="D556">
        <v>265</v>
      </c>
      <c r="E556" t="s">
        <v>15</v>
      </c>
      <c r="F556" t="s">
        <v>13</v>
      </c>
      <c r="G556">
        <f>MONTH(cleaned_personal_finance_data[[#This Row],[date]])</f>
        <v>11</v>
      </c>
      <c r="H556">
        <f>YEAR(cleaned_personal_finance_data[[#This Row],[date]])</f>
        <v>2024</v>
      </c>
      <c r="I556" t="s">
        <v>329</v>
      </c>
    </row>
    <row r="557" spans="1:9" x14ac:dyDescent="0.25">
      <c r="A557">
        <v>555</v>
      </c>
      <c r="B557" s="1">
        <v>45608</v>
      </c>
      <c r="C557" t="s">
        <v>248</v>
      </c>
      <c r="D557">
        <v>27000</v>
      </c>
      <c r="E557" t="s">
        <v>7</v>
      </c>
      <c r="F557" t="s">
        <v>8</v>
      </c>
      <c r="G557">
        <f>MONTH(cleaned_personal_finance_data[[#This Row],[date]])</f>
        <v>11</v>
      </c>
      <c r="H557">
        <f>YEAR(cleaned_personal_finance_data[[#This Row],[date]])</f>
        <v>2024</v>
      </c>
      <c r="I557" t="s">
        <v>327</v>
      </c>
    </row>
    <row r="558" spans="1:9" x14ac:dyDescent="0.25">
      <c r="A558">
        <v>556</v>
      </c>
      <c r="B558" s="1">
        <v>45608</v>
      </c>
      <c r="C558" t="s">
        <v>249</v>
      </c>
      <c r="D558">
        <v>5000</v>
      </c>
      <c r="E558" t="s">
        <v>7</v>
      </c>
      <c r="F558" t="s">
        <v>8</v>
      </c>
      <c r="G558">
        <f>MONTH(cleaned_personal_finance_data[[#This Row],[date]])</f>
        <v>11</v>
      </c>
      <c r="H558">
        <f>YEAR(cleaned_personal_finance_data[[#This Row],[date]])</f>
        <v>2024</v>
      </c>
      <c r="I558" t="s">
        <v>249</v>
      </c>
    </row>
    <row r="559" spans="1:9" x14ac:dyDescent="0.25">
      <c r="A559">
        <v>557</v>
      </c>
      <c r="B559" s="1">
        <v>45608</v>
      </c>
      <c r="C559" t="s">
        <v>6</v>
      </c>
      <c r="D559">
        <v>14752</v>
      </c>
      <c r="E559" t="s">
        <v>7</v>
      </c>
      <c r="F559" t="s">
        <v>8</v>
      </c>
      <c r="G559">
        <f>MONTH(cleaned_personal_finance_data[[#This Row],[date]])</f>
        <v>11</v>
      </c>
      <c r="H559">
        <f>YEAR(cleaned_personal_finance_data[[#This Row],[date]])</f>
        <v>2024</v>
      </c>
      <c r="I559" t="s">
        <v>318</v>
      </c>
    </row>
    <row r="560" spans="1:9" x14ac:dyDescent="0.25">
      <c r="A560">
        <v>558</v>
      </c>
      <c r="B560" s="1">
        <v>45609</v>
      </c>
      <c r="C560" t="s">
        <v>218</v>
      </c>
      <c r="D560">
        <v>30</v>
      </c>
      <c r="E560" t="s">
        <v>15</v>
      </c>
      <c r="F560" t="s">
        <v>13</v>
      </c>
      <c r="G560">
        <f>MONTH(cleaned_personal_finance_data[[#This Row],[date]])</f>
        <v>11</v>
      </c>
      <c r="H560">
        <f>YEAR(cleaned_personal_finance_data[[#This Row],[date]])</f>
        <v>2024</v>
      </c>
      <c r="I560" t="s">
        <v>218</v>
      </c>
    </row>
    <row r="561" spans="1:9" x14ac:dyDescent="0.25">
      <c r="A561">
        <v>559</v>
      </c>
      <c r="B561" s="1">
        <v>45609</v>
      </c>
      <c r="C561" t="s">
        <v>250</v>
      </c>
      <c r="D561">
        <v>2325</v>
      </c>
      <c r="E561" t="s">
        <v>15</v>
      </c>
      <c r="F561" t="s">
        <v>13</v>
      </c>
      <c r="G561">
        <f>MONTH(cleaned_personal_finance_data[[#This Row],[date]])</f>
        <v>11</v>
      </c>
      <c r="H561">
        <f>YEAR(cleaned_personal_finance_data[[#This Row],[date]])</f>
        <v>2024</v>
      </c>
      <c r="I561" t="s">
        <v>159</v>
      </c>
    </row>
    <row r="562" spans="1:9" x14ac:dyDescent="0.25">
      <c r="A562">
        <v>560</v>
      </c>
      <c r="B562" s="1">
        <v>45609</v>
      </c>
      <c r="C562" t="s">
        <v>145</v>
      </c>
      <c r="D562">
        <v>5000</v>
      </c>
      <c r="E562" t="s">
        <v>15</v>
      </c>
      <c r="F562" t="s">
        <v>13</v>
      </c>
      <c r="G562">
        <f>MONTH(cleaned_personal_finance_data[[#This Row],[date]])</f>
        <v>11</v>
      </c>
      <c r="H562">
        <f>YEAR(cleaned_personal_finance_data[[#This Row],[date]])</f>
        <v>2024</v>
      </c>
      <c r="I562" t="s">
        <v>145</v>
      </c>
    </row>
    <row r="563" spans="1:9" x14ac:dyDescent="0.25">
      <c r="A563">
        <v>561</v>
      </c>
      <c r="B563" s="1">
        <v>45609</v>
      </c>
      <c r="C563" t="s">
        <v>251</v>
      </c>
      <c r="D563">
        <v>300</v>
      </c>
      <c r="E563" t="s">
        <v>15</v>
      </c>
      <c r="F563" t="s">
        <v>13</v>
      </c>
      <c r="G563">
        <f>MONTH(cleaned_personal_finance_data[[#This Row],[date]])</f>
        <v>11</v>
      </c>
      <c r="H563">
        <f>YEAR(cleaned_personal_finance_data[[#This Row],[date]])</f>
        <v>2024</v>
      </c>
      <c r="I563" t="s">
        <v>251</v>
      </c>
    </row>
    <row r="564" spans="1:9" x14ac:dyDescent="0.25">
      <c r="A564">
        <v>562</v>
      </c>
      <c r="B564" s="1">
        <v>45611</v>
      </c>
      <c r="C564" t="s">
        <v>226</v>
      </c>
      <c r="D564">
        <v>100</v>
      </c>
      <c r="E564" t="s">
        <v>15</v>
      </c>
      <c r="F564" t="s">
        <v>13</v>
      </c>
      <c r="G564">
        <f>MONTH(cleaned_personal_finance_data[[#This Row],[date]])</f>
        <v>11</v>
      </c>
      <c r="H564">
        <f>YEAR(cleaned_personal_finance_data[[#This Row],[date]])</f>
        <v>2024</v>
      </c>
      <c r="I564" t="s">
        <v>226</v>
      </c>
    </row>
    <row r="565" spans="1:9" x14ac:dyDescent="0.25">
      <c r="A565">
        <v>563</v>
      </c>
      <c r="B565" s="1">
        <v>45614</v>
      </c>
      <c r="C565" t="s">
        <v>252</v>
      </c>
      <c r="D565">
        <v>100</v>
      </c>
      <c r="E565" t="s">
        <v>15</v>
      </c>
      <c r="F565" t="s">
        <v>13</v>
      </c>
      <c r="G565">
        <f>MONTH(cleaned_personal_finance_data[[#This Row],[date]])</f>
        <v>11</v>
      </c>
      <c r="H565">
        <f>YEAR(cleaned_personal_finance_data[[#This Row],[date]])</f>
        <v>2024</v>
      </c>
      <c r="I565" t="s">
        <v>198</v>
      </c>
    </row>
    <row r="566" spans="1:9" x14ac:dyDescent="0.25">
      <c r="A566">
        <v>564</v>
      </c>
      <c r="B566" s="1">
        <v>45614</v>
      </c>
      <c r="C566" t="s">
        <v>218</v>
      </c>
      <c r="D566">
        <v>15</v>
      </c>
      <c r="E566" t="s">
        <v>15</v>
      </c>
      <c r="F566" t="s">
        <v>13</v>
      </c>
      <c r="G566">
        <f>MONTH(cleaned_personal_finance_data[[#This Row],[date]])</f>
        <v>11</v>
      </c>
      <c r="H566">
        <f>YEAR(cleaned_personal_finance_data[[#This Row],[date]])</f>
        <v>2024</v>
      </c>
      <c r="I566" t="s">
        <v>218</v>
      </c>
    </row>
    <row r="567" spans="1:9" x14ac:dyDescent="0.25">
      <c r="A567">
        <v>565</v>
      </c>
      <c r="B567" s="1">
        <v>45615</v>
      </c>
      <c r="C567" t="s">
        <v>218</v>
      </c>
      <c r="D567">
        <v>15</v>
      </c>
      <c r="E567" t="s">
        <v>15</v>
      </c>
      <c r="F567" t="s">
        <v>13</v>
      </c>
      <c r="G567">
        <f>MONTH(cleaned_personal_finance_data[[#This Row],[date]])</f>
        <v>11</v>
      </c>
      <c r="H567">
        <f>YEAR(cleaned_personal_finance_data[[#This Row],[date]])</f>
        <v>2024</v>
      </c>
      <c r="I567" t="s">
        <v>218</v>
      </c>
    </row>
    <row r="568" spans="1:9" x14ac:dyDescent="0.25">
      <c r="A568">
        <v>566</v>
      </c>
      <c r="B568" s="1">
        <v>45615</v>
      </c>
      <c r="C568" t="s">
        <v>253</v>
      </c>
      <c r="D568">
        <v>100</v>
      </c>
      <c r="E568" t="s">
        <v>15</v>
      </c>
      <c r="F568" t="s">
        <v>13</v>
      </c>
      <c r="G568">
        <f>MONTH(cleaned_personal_finance_data[[#This Row],[date]])</f>
        <v>11</v>
      </c>
      <c r="H568">
        <f>YEAR(cleaned_personal_finance_data[[#This Row],[date]])</f>
        <v>2024</v>
      </c>
      <c r="I568" t="s">
        <v>198</v>
      </c>
    </row>
    <row r="569" spans="1:9" x14ac:dyDescent="0.25">
      <c r="A569">
        <v>567</v>
      </c>
      <c r="B569" s="1">
        <v>45616</v>
      </c>
      <c r="C569" t="s">
        <v>254</v>
      </c>
      <c r="D569">
        <v>100</v>
      </c>
      <c r="E569" t="s">
        <v>15</v>
      </c>
      <c r="F569" t="s">
        <v>13</v>
      </c>
      <c r="G569">
        <f>MONTH(cleaned_personal_finance_data[[#This Row],[date]])</f>
        <v>11</v>
      </c>
      <c r="H569">
        <f>YEAR(cleaned_personal_finance_data[[#This Row],[date]])</f>
        <v>2024</v>
      </c>
      <c r="I569" t="s">
        <v>198</v>
      </c>
    </row>
    <row r="570" spans="1:9" x14ac:dyDescent="0.25">
      <c r="A570">
        <v>568</v>
      </c>
      <c r="B570" s="1">
        <v>45618</v>
      </c>
      <c r="C570" t="s">
        <v>255</v>
      </c>
      <c r="D570">
        <v>100</v>
      </c>
      <c r="E570" t="s">
        <v>15</v>
      </c>
      <c r="F570" t="s">
        <v>13</v>
      </c>
      <c r="G570">
        <f>MONTH(cleaned_personal_finance_data[[#This Row],[date]])</f>
        <v>11</v>
      </c>
      <c r="H570">
        <f>YEAR(cleaned_personal_finance_data[[#This Row],[date]])</f>
        <v>2024</v>
      </c>
      <c r="I570" t="s">
        <v>198</v>
      </c>
    </row>
    <row r="571" spans="1:9" x14ac:dyDescent="0.25">
      <c r="A571">
        <v>569</v>
      </c>
      <c r="B571" s="1">
        <v>45618</v>
      </c>
      <c r="C571" t="s">
        <v>218</v>
      </c>
      <c r="D571">
        <v>45</v>
      </c>
      <c r="E571" t="s">
        <v>15</v>
      </c>
      <c r="F571" t="s">
        <v>13</v>
      </c>
      <c r="G571">
        <f>MONTH(cleaned_personal_finance_data[[#This Row],[date]])</f>
        <v>11</v>
      </c>
      <c r="H571">
        <f>YEAR(cleaned_personal_finance_data[[#This Row],[date]])</f>
        <v>2024</v>
      </c>
      <c r="I571" t="s">
        <v>218</v>
      </c>
    </row>
    <row r="572" spans="1:9" x14ac:dyDescent="0.25">
      <c r="A572">
        <v>570</v>
      </c>
      <c r="B572" s="1">
        <v>45625</v>
      </c>
      <c r="C572" t="s">
        <v>256</v>
      </c>
      <c r="D572">
        <v>12</v>
      </c>
      <c r="E572" t="s">
        <v>15</v>
      </c>
      <c r="F572" t="s">
        <v>13</v>
      </c>
      <c r="G572">
        <f>MONTH(cleaned_personal_finance_data[[#This Row],[date]])</f>
        <v>11</v>
      </c>
      <c r="H572">
        <f>YEAR(cleaned_personal_finance_data[[#This Row],[date]])</f>
        <v>2024</v>
      </c>
      <c r="I572" t="s">
        <v>256</v>
      </c>
    </row>
    <row r="573" spans="1:9" x14ac:dyDescent="0.25">
      <c r="A573">
        <v>571</v>
      </c>
      <c r="B573" s="1">
        <v>45625</v>
      </c>
      <c r="C573" t="s">
        <v>240</v>
      </c>
      <c r="D573">
        <v>30</v>
      </c>
      <c r="E573" t="s">
        <v>15</v>
      </c>
      <c r="F573" t="s">
        <v>13</v>
      </c>
      <c r="G573">
        <f>MONTH(cleaned_personal_finance_data[[#This Row],[date]])</f>
        <v>11</v>
      </c>
      <c r="H573">
        <f>YEAR(cleaned_personal_finance_data[[#This Row],[date]])</f>
        <v>2024</v>
      </c>
      <c r="I573" t="s">
        <v>240</v>
      </c>
    </row>
    <row r="574" spans="1:9" x14ac:dyDescent="0.25">
      <c r="A574">
        <v>572</v>
      </c>
      <c r="B574" s="1">
        <v>45626</v>
      </c>
      <c r="C574" t="s">
        <v>6</v>
      </c>
      <c r="D574">
        <v>13240</v>
      </c>
      <c r="E574" t="s">
        <v>7</v>
      </c>
      <c r="F574" t="s">
        <v>13</v>
      </c>
      <c r="G574">
        <f>MONTH(cleaned_personal_finance_data[[#This Row],[date]])</f>
        <v>11</v>
      </c>
      <c r="H574">
        <f>YEAR(cleaned_personal_finance_data[[#This Row],[date]])</f>
        <v>2024</v>
      </c>
      <c r="I574" t="s">
        <v>318</v>
      </c>
    </row>
    <row r="575" spans="1:9" x14ac:dyDescent="0.25">
      <c r="A575">
        <v>573</v>
      </c>
      <c r="B575" s="1">
        <v>45630</v>
      </c>
      <c r="C575" t="s">
        <v>242</v>
      </c>
      <c r="D575">
        <v>15</v>
      </c>
      <c r="E575" t="s">
        <v>15</v>
      </c>
      <c r="F575" t="s">
        <v>13</v>
      </c>
      <c r="G575">
        <f>MONTH(cleaned_personal_finance_data[[#This Row],[date]])</f>
        <v>12</v>
      </c>
      <c r="H575">
        <f>YEAR(cleaned_personal_finance_data[[#This Row],[date]])</f>
        <v>2024</v>
      </c>
      <c r="I575" t="s">
        <v>242</v>
      </c>
    </row>
    <row r="576" spans="1:9" x14ac:dyDescent="0.25">
      <c r="A576">
        <v>574</v>
      </c>
      <c r="B576" s="1">
        <v>45632</v>
      </c>
      <c r="C576" t="s">
        <v>218</v>
      </c>
      <c r="D576">
        <v>45</v>
      </c>
      <c r="E576" t="s">
        <v>15</v>
      </c>
      <c r="F576" t="s">
        <v>13</v>
      </c>
      <c r="G576">
        <f>MONTH(cleaned_personal_finance_data[[#This Row],[date]])</f>
        <v>12</v>
      </c>
      <c r="H576">
        <f>YEAR(cleaned_personal_finance_data[[#This Row],[date]])</f>
        <v>2024</v>
      </c>
      <c r="I576" t="s">
        <v>218</v>
      </c>
    </row>
    <row r="577" spans="1:9" x14ac:dyDescent="0.25">
      <c r="A577">
        <v>575</v>
      </c>
      <c r="B577" s="1">
        <v>45634</v>
      </c>
      <c r="C577" t="s">
        <v>257</v>
      </c>
      <c r="D577">
        <v>135</v>
      </c>
      <c r="E577" t="s">
        <v>15</v>
      </c>
      <c r="F577" t="s">
        <v>13</v>
      </c>
      <c r="G577">
        <f>MONTH(cleaned_personal_finance_data[[#This Row],[date]])</f>
        <v>12</v>
      </c>
      <c r="H577">
        <f>YEAR(cleaned_personal_finance_data[[#This Row],[date]])</f>
        <v>2024</v>
      </c>
      <c r="I577" t="s">
        <v>329</v>
      </c>
    </row>
    <row r="578" spans="1:9" x14ac:dyDescent="0.25">
      <c r="A578">
        <v>576</v>
      </c>
      <c r="B578" s="1">
        <v>45634</v>
      </c>
      <c r="C578" t="s">
        <v>139</v>
      </c>
      <c r="D578">
        <v>35</v>
      </c>
      <c r="E578" t="s">
        <v>15</v>
      </c>
      <c r="F578" t="s">
        <v>13</v>
      </c>
      <c r="G578">
        <f>MONTH(cleaned_personal_finance_data[[#This Row],[date]])</f>
        <v>12</v>
      </c>
      <c r="H578">
        <f>YEAR(cleaned_personal_finance_data[[#This Row],[date]])</f>
        <v>2024</v>
      </c>
      <c r="I578" t="s">
        <v>139</v>
      </c>
    </row>
    <row r="579" spans="1:9" x14ac:dyDescent="0.25">
      <c r="A579">
        <v>577</v>
      </c>
      <c r="B579" s="1">
        <v>45636</v>
      </c>
      <c r="C579" t="s">
        <v>242</v>
      </c>
      <c r="D579">
        <v>15</v>
      </c>
      <c r="E579" t="s">
        <v>15</v>
      </c>
      <c r="F579" t="s">
        <v>13</v>
      </c>
      <c r="G579">
        <f>MONTH(cleaned_personal_finance_data[[#This Row],[date]])</f>
        <v>12</v>
      </c>
      <c r="H579">
        <f>YEAR(cleaned_personal_finance_data[[#This Row],[date]])</f>
        <v>2024</v>
      </c>
      <c r="I579" t="s">
        <v>242</v>
      </c>
    </row>
    <row r="580" spans="1:9" x14ac:dyDescent="0.25">
      <c r="A580">
        <v>578</v>
      </c>
      <c r="B580" s="1">
        <v>45637</v>
      </c>
      <c r="C580" t="s">
        <v>218</v>
      </c>
      <c r="D580">
        <v>45</v>
      </c>
      <c r="E580" t="s">
        <v>15</v>
      </c>
      <c r="F580" t="s">
        <v>13</v>
      </c>
      <c r="G580">
        <f>MONTH(cleaned_personal_finance_data[[#This Row],[date]])</f>
        <v>12</v>
      </c>
      <c r="H580">
        <f>YEAR(cleaned_personal_finance_data[[#This Row],[date]])</f>
        <v>2024</v>
      </c>
      <c r="I580" t="s">
        <v>218</v>
      </c>
    </row>
    <row r="581" spans="1:9" x14ac:dyDescent="0.25">
      <c r="A581">
        <v>579</v>
      </c>
      <c r="B581" s="1">
        <v>45639</v>
      </c>
      <c r="C581" t="s">
        <v>218</v>
      </c>
      <c r="D581">
        <v>45</v>
      </c>
      <c r="E581" t="s">
        <v>15</v>
      </c>
      <c r="F581" t="s">
        <v>13</v>
      </c>
      <c r="G581">
        <f>MONTH(cleaned_personal_finance_data[[#This Row],[date]])</f>
        <v>12</v>
      </c>
      <c r="H581">
        <f>YEAR(cleaned_personal_finance_data[[#This Row],[date]])</f>
        <v>2024</v>
      </c>
      <c r="I581" t="s">
        <v>218</v>
      </c>
    </row>
    <row r="582" spans="1:9" x14ac:dyDescent="0.25">
      <c r="A582">
        <v>580</v>
      </c>
      <c r="B582" s="1">
        <v>45640</v>
      </c>
      <c r="C582" t="s">
        <v>258</v>
      </c>
      <c r="D582">
        <v>225</v>
      </c>
      <c r="E582" t="s">
        <v>15</v>
      </c>
      <c r="F582" t="s">
        <v>13</v>
      </c>
      <c r="G582">
        <f>MONTH(cleaned_personal_finance_data[[#This Row],[date]])</f>
        <v>12</v>
      </c>
      <c r="H582">
        <f>YEAR(cleaned_personal_finance_data[[#This Row],[date]])</f>
        <v>2024</v>
      </c>
      <c r="I582" t="s">
        <v>258</v>
      </c>
    </row>
    <row r="583" spans="1:9" x14ac:dyDescent="0.25">
      <c r="A583">
        <v>581</v>
      </c>
      <c r="B583" s="1">
        <v>45645</v>
      </c>
      <c r="C583" t="s">
        <v>259</v>
      </c>
      <c r="D583">
        <v>200</v>
      </c>
      <c r="E583" t="s">
        <v>15</v>
      </c>
      <c r="F583" t="s">
        <v>13</v>
      </c>
      <c r="G583">
        <f>MONTH(cleaned_personal_finance_data[[#This Row],[date]])</f>
        <v>12</v>
      </c>
      <c r="H583">
        <f>YEAR(cleaned_personal_finance_data[[#This Row],[date]])</f>
        <v>2024</v>
      </c>
      <c r="I583" t="s">
        <v>259</v>
      </c>
    </row>
    <row r="584" spans="1:9" x14ac:dyDescent="0.25">
      <c r="A584">
        <v>582</v>
      </c>
      <c r="B584" s="1">
        <v>45645</v>
      </c>
      <c r="C584" t="s">
        <v>260</v>
      </c>
      <c r="D584">
        <v>365</v>
      </c>
      <c r="E584" t="s">
        <v>15</v>
      </c>
      <c r="F584" t="s">
        <v>13</v>
      </c>
      <c r="G584">
        <f>MONTH(cleaned_personal_finance_data[[#This Row],[date]])</f>
        <v>12</v>
      </c>
      <c r="H584">
        <f>YEAR(cleaned_personal_finance_data[[#This Row],[date]])</f>
        <v>2024</v>
      </c>
      <c r="I584" t="s">
        <v>260</v>
      </c>
    </row>
    <row r="585" spans="1:9" x14ac:dyDescent="0.25">
      <c r="A585">
        <v>583</v>
      </c>
      <c r="B585" s="1">
        <v>45645</v>
      </c>
      <c r="C585" t="s">
        <v>261</v>
      </c>
      <c r="D585">
        <v>180</v>
      </c>
      <c r="E585" t="s">
        <v>15</v>
      </c>
      <c r="F585" t="s">
        <v>13</v>
      </c>
      <c r="G585">
        <f>MONTH(cleaned_personal_finance_data[[#This Row],[date]])</f>
        <v>12</v>
      </c>
      <c r="H585">
        <f>YEAR(cleaned_personal_finance_data[[#This Row],[date]])</f>
        <v>2024</v>
      </c>
      <c r="I585" t="s">
        <v>261</v>
      </c>
    </row>
    <row r="586" spans="1:9" x14ac:dyDescent="0.25">
      <c r="A586">
        <v>584</v>
      </c>
      <c r="B586" s="1">
        <v>45645</v>
      </c>
      <c r="C586" t="s">
        <v>262</v>
      </c>
      <c r="D586">
        <v>350</v>
      </c>
      <c r="E586" t="s">
        <v>15</v>
      </c>
      <c r="F586" t="s">
        <v>13</v>
      </c>
      <c r="G586">
        <f>MONTH(cleaned_personal_finance_data[[#This Row],[date]])</f>
        <v>12</v>
      </c>
      <c r="H586">
        <f>YEAR(cleaned_personal_finance_data[[#This Row],[date]])</f>
        <v>2024</v>
      </c>
      <c r="I586" t="s">
        <v>262</v>
      </c>
    </row>
    <row r="587" spans="1:9" x14ac:dyDescent="0.25">
      <c r="A587">
        <v>585</v>
      </c>
      <c r="B587" s="1">
        <v>45645</v>
      </c>
      <c r="C587" t="s">
        <v>263</v>
      </c>
      <c r="D587">
        <v>175</v>
      </c>
      <c r="E587" t="s">
        <v>15</v>
      </c>
      <c r="F587" t="s">
        <v>13</v>
      </c>
      <c r="G587">
        <f>MONTH(cleaned_personal_finance_data[[#This Row],[date]])</f>
        <v>12</v>
      </c>
      <c r="H587">
        <f>YEAR(cleaned_personal_finance_data[[#This Row],[date]])</f>
        <v>2024</v>
      </c>
      <c r="I587" t="s">
        <v>263</v>
      </c>
    </row>
    <row r="588" spans="1:9" x14ac:dyDescent="0.25">
      <c r="A588">
        <v>586</v>
      </c>
      <c r="B588" s="1">
        <v>45647</v>
      </c>
      <c r="C588" t="s">
        <v>6</v>
      </c>
      <c r="D588">
        <v>13240</v>
      </c>
      <c r="E588" t="s">
        <v>7</v>
      </c>
      <c r="F588" t="s">
        <v>8</v>
      </c>
      <c r="G588">
        <f>MONTH(cleaned_personal_finance_data[[#This Row],[date]])</f>
        <v>12</v>
      </c>
      <c r="H588">
        <f>YEAR(cleaned_personal_finance_data[[#This Row],[date]])</f>
        <v>2024</v>
      </c>
      <c r="I588" t="s">
        <v>318</v>
      </c>
    </row>
    <row r="589" spans="1:9" x14ac:dyDescent="0.25">
      <c r="A589">
        <v>587</v>
      </c>
      <c r="B589" s="1">
        <v>45647</v>
      </c>
      <c r="C589" t="s">
        <v>264</v>
      </c>
      <c r="D589">
        <v>25000</v>
      </c>
      <c r="E589" t="s">
        <v>7</v>
      </c>
      <c r="F589" t="s">
        <v>8</v>
      </c>
      <c r="G589">
        <f>MONTH(cleaned_personal_finance_data[[#This Row],[date]])</f>
        <v>12</v>
      </c>
      <c r="H589">
        <f>YEAR(cleaned_personal_finance_data[[#This Row],[date]])</f>
        <v>2024</v>
      </c>
      <c r="I589" t="s">
        <v>326</v>
      </c>
    </row>
    <row r="590" spans="1:9" x14ac:dyDescent="0.25">
      <c r="A590">
        <v>588</v>
      </c>
      <c r="B590" s="1">
        <v>45647</v>
      </c>
      <c r="C590" t="s">
        <v>175</v>
      </c>
      <c r="D590">
        <v>3000</v>
      </c>
      <c r="E590" t="s">
        <v>15</v>
      </c>
      <c r="F590" t="s">
        <v>13</v>
      </c>
      <c r="G590">
        <f>MONTH(cleaned_personal_finance_data[[#This Row],[date]])</f>
        <v>12</v>
      </c>
      <c r="H590">
        <f>YEAR(cleaned_personal_finance_data[[#This Row],[date]])</f>
        <v>2024</v>
      </c>
      <c r="I590" t="s">
        <v>159</v>
      </c>
    </row>
    <row r="591" spans="1:9" x14ac:dyDescent="0.25">
      <c r="A591">
        <v>589</v>
      </c>
      <c r="B591" s="1">
        <v>45647</v>
      </c>
      <c r="C591" t="s">
        <v>145</v>
      </c>
      <c r="D591">
        <v>6000</v>
      </c>
      <c r="E591" t="s">
        <v>15</v>
      </c>
      <c r="F591" t="s">
        <v>13</v>
      </c>
      <c r="G591">
        <f>MONTH(cleaned_personal_finance_data[[#This Row],[date]])</f>
        <v>12</v>
      </c>
      <c r="H591">
        <f>YEAR(cleaned_personal_finance_data[[#This Row],[date]])</f>
        <v>2024</v>
      </c>
      <c r="I591" t="s">
        <v>145</v>
      </c>
    </row>
    <row r="592" spans="1:9" x14ac:dyDescent="0.25">
      <c r="A592">
        <v>590</v>
      </c>
      <c r="B592" s="1">
        <v>45647</v>
      </c>
      <c r="C592" t="s">
        <v>265</v>
      </c>
      <c r="D592">
        <v>1050</v>
      </c>
      <c r="E592" t="s">
        <v>15</v>
      </c>
      <c r="F592" t="s">
        <v>13</v>
      </c>
      <c r="G592">
        <f>MONTH(cleaned_personal_finance_data[[#This Row],[date]])</f>
        <v>12</v>
      </c>
      <c r="H592">
        <f>YEAR(cleaned_personal_finance_data[[#This Row],[date]])</f>
        <v>2024</v>
      </c>
      <c r="I592" t="s">
        <v>265</v>
      </c>
    </row>
    <row r="593" spans="1:9" x14ac:dyDescent="0.25">
      <c r="A593">
        <v>591</v>
      </c>
      <c r="B593" s="1">
        <v>45647</v>
      </c>
      <c r="C593" t="s">
        <v>266</v>
      </c>
      <c r="D593">
        <v>100</v>
      </c>
      <c r="E593" t="s">
        <v>15</v>
      </c>
      <c r="F593" t="s">
        <v>13</v>
      </c>
      <c r="G593">
        <f>MONTH(cleaned_personal_finance_data[[#This Row],[date]])</f>
        <v>12</v>
      </c>
      <c r="H593">
        <f>YEAR(cleaned_personal_finance_data[[#This Row],[date]])</f>
        <v>2024</v>
      </c>
      <c r="I593" t="s">
        <v>266</v>
      </c>
    </row>
    <row r="594" spans="1:9" x14ac:dyDescent="0.25">
      <c r="A594">
        <v>592</v>
      </c>
      <c r="B594" s="1">
        <v>45647</v>
      </c>
      <c r="C594" t="s">
        <v>267</v>
      </c>
      <c r="D594">
        <v>210</v>
      </c>
      <c r="E594" t="s">
        <v>15</v>
      </c>
      <c r="F594" t="s">
        <v>13</v>
      </c>
      <c r="G594">
        <f>MONTH(cleaned_personal_finance_data[[#This Row],[date]])</f>
        <v>12</v>
      </c>
      <c r="H594">
        <f>YEAR(cleaned_personal_finance_data[[#This Row],[date]])</f>
        <v>2024</v>
      </c>
      <c r="I594" t="s">
        <v>267</v>
      </c>
    </row>
    <row r="595" spans="1:9" x14ac:dyDescent="0.25">
      <c r="A595">
        <v>593</v>
      </c>
      <c r="B595" s="1">
        <v>45649</v>
      </c>
      <c r="C595" t="s">
        <v>108</v>
      </c>
      <c r="D595">
        <v>25</v>
      </c>
      <c r="E595" t="s">
        <v>15</v>
      </c>
      <c r="F595" t="s">
        <v>13</v>
      </c>
      <c r="G595">
        <f>MONTH(cleaned_personal_finance_data[[#This Row],[date]])</f>
        <v>12</v>
      </c>
      <c r="H595">
        <f>YEAR(cleaned_personal_finance_data[[#This Row],[date]])</f>
        <v>2024</v>
      </c>
      <c r="I595" t="s">
        <v>43</v>
      </c>
    </row>
    <row r="596" spans="1:9" x14ac:dyDescent="0.25">
      <c r="A596">
        <v>594</v>
      </c>
      <c r="B596" s="1">
        <v>45649</v>
      </c>
      <c r="C596" t="s">
        <v>66</v>
      </c>
      <c r="D596">
        <v>10</v>
      </c>
      <c r="E596" t="s">
        <v>15</v>
      </c>
      <c r="F596" t="s">
        <v>13</v>
      </c>
      <c r="G596">
        <f>MONTH(cleaned_personal_finance_data[[#This Row],[date]])</f>
        <v>12</v>
      </c>
      <c r="H596">
        <f>YEAR(cleaned_personal_finance_data[[#This Row],[date]])</f>
        <v>2024</v>
      </c>
      <c r="I596" t="s">
        <v>66</v>
      </c>
    </row>
    <row r="597" spans="1:9" x14ac:dyDescent="0.25">
      <c r="A597">
        <v>595</v>
      </c>
      <c r="B597" s="1">
        <v>45649</v>
      </c>
      <c r="C597" t="s">
        <v>67</v>
      </c>
      <c r="D597">
        <v>15</v>
      </c>
      <c r="E597" t="s">
        <v>15</v>
      </c>
      <c r="F597" t="s">
        <v>13</v>
      </c>
      <c r="G597">
        <f>MONTH(cleaned_personal_finance_data[[#This Row],[date]])</f>
        <v>12</v>
      </c>
      <c r="H597">
        <f>YEAR(cleaned_personal_finance_data[[#This Row],[date]])</f>
        <v>2024</v>
      </c>
      <c r="I597" t="s">
        <v>67</v>
      </c>
    </row>
    <row r="598" spans="1:9" x14ac:dyDescent="0.25">
      <c r="A598">
        <v>596</v>
      </c>
      <c r="B598" s="1">
        <v>45649</v>
      </c>
      <c r="C598" t="s">
        <v>54</v>
      </c>
      <c r="D598">
        <v>160</v>
      </c>
      <c r="E598" t="s">
        <v>15</v>
      </c>
      <c r="F598" t="s">
        <v>13</v>
      </c>
      <c r="G598">
        <f>MONTH(cleaned_personal_finance_data[[#This Row],[date]])</f>
        <v>12</v>
      </c>
      <c r="H598">
        <f>YEAR(cleaned_personal_finance_data[[#This Row],[date]])</f>
        <v>2024</v>
      </c>
      <c r="I598" t="s">
        <v>54</v>
      </c>
    </row>
    <row r="599" spans="1:9" x14ac:dyDescent="0.25">
      <c r="A599">
        <v>597</v>
      </c>
      <c r="B599" s="1">
        <v>45649</v>
      </c>
      <c r="C599" t="s">
        <v>106</v>
      </c>
      <c r="D599">
        <v>185</v>
      </c>
      <c r="E599" t="s">
        <v>15</v>
      </c>
      <c r="F599" t="s">
        <v>13</v>
      </c>
      <c r="G599">
        <f>MONTH(cleaned_personal_finance_data[[#This Row],[date]])</f>
        <v>12</v>
      </c>
      <c r="H599">
        <f>YEAR(cleaned_personal_finance_data[[#This Row],[date]])</f>
        <v>2024</v>
      </c>
      <c r="I599" t="s">
        <v>106</v>
      </c>
    </row>
    <row r="600" spans="1:9" x14ac:dyDescent="0.25">
      <c r="A600">
        <v>598</v>
      </c>
      <c r="B600" s="1">
        <v>45649</v>
      </c>
      <c r="C600" t="s">
        <v>268</v>
      </c>
      <c r="D600">
        <v>190</v>
      </c>
      <c r="E600" t="s">
        <v>15</v>
      </c>
      <c r="F600" t="s">
        <v>13</v>
      </c>
      <c r="G600">
        <f>MONTH(cleaned_personal_finance_data[[#This Row],[date]])</f>
        <v>12</v>
      </c>
      <c r="H600">
        <f>YEAR(cleaned_personal_finance_data[[#This Row],[date]])</f>
        <v>2024</v>
      </c>
      <c r="I600" t="s">
        <v>268</v>
      </c>
    </row>
    <row r="601" spans="1:9" x14ac:dyDescent="0.25">
      <c r="A601">
        <v>599</v>
      </c>
      <c r="B601" s="1">
        <v>45649</v>
      </c>
      <c r="C601" t="s">
        <v>6</v>
      </c>
      <c r="D601">
        <v>13241</v>
      </c>
      <c r="E601" t="s">
        <v>7</v>
      </c>
      <c r="F601" t="s">
        <v>8</v>
      </c>
      <c r="G601">
        <f>MONTH(cleaned_personal_finance_data[[#This Row],[date]])</f>
        <v>12</v>
      </c>
      <c r="H601">
        <f>YEAR(cleaned_personal_finance_data[[#This Row],[date]])</f>
        <v>2024</v>
      </c>
      <c r="I601" t="s">
        <v>318</v>
      </c>
    </row>
    <row r="602" spans="1:9" x14ac:dyDescent="0.25">
      <c r="A602">
        <v>600</v>
      </c>
      <c r="B602" s="1">
        <v>45649</v>
      </c>
      <c r="C602" t="s">
        <v>162</v>
      </c>
      <c r="D602">
        <v>10000</v>
      </c>
      <c r="E602" t="s">
        <v>10</v>
      </c>
      <c r="F602" t="s">
        <v>8</v>
      </c>
      <c r="G602">
        <f>MONTH(cleaned_personal_finance_data[[#This Row],[date]])</f>
        <v>12</v>
      </c>
      <c r="H602">
        <f>YEAR(cleaned_personal_finance_data[[#This Row],[date]])</f>
        <v>2024</v>
      </c>
      <c r="I602" t="s">
        <v>162</v>
      </c>
    </row>
    <row r="603" spans="1:9" x14ac:dyDescent="0.25">
      <c r="A603">
        <v>601</v>
      </c>
      <c r="B603" s="1">
        <v>45650</v>
      </c>
      <c r="C603" t="s">
        <v>170</v>
      </c>
      <c r="D603">
        <v>320</v>
      </c>
      <c r="E603" t="s">
        <v>15</v>
      </c>
      <c r="F603" t="s">
        <v>13</v>
      </c>
      <c r="G603">
        <f>MONTH(cleaned_personal_finance_data[[#This Row],[date]])</f>
        <v>12</v>
      </c>
      <c r="H603">
        <f>YEAR(cleaned_personal_finance_data[[#This Row],[date]])</f>
        <v>2024</v>
      </c>
      <c r="I603" t="s">
        <v>170</v>
      </c>
    </row>
    <row r="604" spans="1:9" x14ac:dyDescent="0.25">
      <c r="A604">
        <v>602</v>
      </c>
      <c r="B604" s="1">
        <v>45650</v>
      </c>
      <c r="C604" t="s">
        <v>269</v>
      </c>
      <c r="D604">
        <v>798</v>
      </c>
      <c r="E604" t="s">
        <v>15</v>
      </c>
      <c r="F604" t="s">
        <v>13</v>
      </c>
      <c r="G604">
        <f>MONTH(cleaned_personal_finance_data[[#This Row],[date]])</f>
        <v>12</v>
      </c>
      <c r="H604">
        <f>YEAR(cleaned_personal_finance_data[[#This Row],[date]])</f>
        <v>2024</v>
      </c>
      <c r="I604" t="s">
        <v>269</v>
      </c>
    </row>
    <row r="605" spans="1:9" x14ac:dyDescent="0.25">
      <c r="A605">
        <v>603</v>
      </c>
      <c r="B605" s="1">
        <v>45650</v>
      </c>
      <c r="C605" t="s">
        <v>270</v>
      </c>
      <c r="D605">
        <v>180</v>
      </c>
      <c r="E605" t="s">
        <v>15</v>
      </c>
      <c r="F605" t="s">
        <v>13</v>
      </c>
      <c r="G605">
        <f>MONTH(cleaned_personal_finance_data[[#This Row],[date]])</f>
        <v>12</v>
      </c>
      <c r="H605">
        <f>YEAR(cleaned_personal_finance_data[[#This Row],[date]])</f>
        <v>2024</v>
      </c>
      <c r="I605" t="s">
        <v>270</v>
      </c>
    </row>
    <row r="606" spans="1:9" x14ac:dyDescent="0.25">
      <c r="A606">
        <v>604</v>
      </c>
      <c r="B606" s="1">
        <v>45650</v>
      </c>
      <c r="C606" t="s">
        <v>179</v>
      </c>
      <c r="D606">
        <v>28</v>
      </c>
      <c r="E606" t="s">
        <v>15</v>
      </c>
      <c r="F606" t="s">
        <v>13</v>
      </c>
      <c r="G606">
        <f>MONTH(cleaned_personal_finance_data[[#This Row],[date]])</f>
        <v>12</v>
      </c>
      <c r="H606">
        <f>YEAR(cleaned_personal_finance_data[[#This Row],[date]])</f>
        <v>2024</v>
      </c>
      <c r="I606" t="s">
        <v>179</v>
      </c>
    </row>
    <row r="607" spans="1:9" x14ac:dyDescent="0.25">
      <c r="A607">
        <v>605</v>
      </c>
      <c r="B607" s="1">
        <v>45650</v>
      </c>
      <c r="C607" t="s">
        <v>108</v>
      </c>
      <c r="D607">
        <v>140</v>
      </c>
      <c r="E607" t="s">
        <v>15</v>
      </c>
      <c r="F607" t="s">
        <v>13</v>
      </c>
      <c r="G607">
        <f>MONTH(cleaned_personal_finance_data[[#This Row],[date]])</f>
        <v>12</v>
      </c>
      <c r="H607">
        <f>YEAR(cleaned_personal_finance_data[[#This Row],[date]])</f>
        <v>2024</v>
      </c>
      <c r="I607" t="s">
        <v>43</v>
      </c>
    </row>
    <row r="608" spans="1:9" x14ac:dyDescent="0.25">
      <c r="A608">
        <v>606</v>
      </c>
      <c r="B608" s="1">
        <v>45650</v>
      </c>
      <c r="C608" t="s">
        <v>271</v>
      </c>
      <c r="D608">
        <v>200</v>
      </c>
      <c r="E608" t="s">
        <v>15</v>
      </c>
      <c r="F608" t="s">
        <v>13</v>
      </c>
      <c r="G608">
        <f>MONTH(cleaned_personal_finance_data[[#This Row],[date]])</f>
        <v>12</v>
      </c>
      <c r="H608">
        <f>YEAR(cleaned_personal_finance_data[[#This Row],[date]])</f>
        <v>2024</v>
      </c>
      <c r="I608" t="s">
        <v>271</v>
      </c>
    </row>
    <row r="609" spans="1:9" x14ac:dyDescent="0.25">
      <c r="A609">
        <v>607</v>
      </c>
      <c r="B609" s="1">
        <v>45650</v>
      </c>
      <c r="C609" t="s">
        <v>272</v>
      </c>
      <c r="D609">
        <v>720</v>
      </c>
      <c r="E609" t="s">
        <v>15</v>
      </c>
      <c r="F609" t="s">
        <v>13</v>
      </c>
      <c r="G609">
        <f>MONTH(cleaned_personal_finance_data[[#This Row],[date]])</f>
        <v>12</v>
      </c>
      <c r="H609">
        <f>YEAR(cleaned_personal_finance_data[[#This Row],[date]])</f>
        <v>2024</v>
      </c>
      <c r="I609" t="s">
        <v>322</v>
      </c>
    </row>
    <row r="610" spans="1:9" x14ac:dyDescent="0.25">
      <c r="A610">
        <v>608</v>
      </c>
      <c r="B610" s="1">
        <v>45651</v>
      </c>
      <c r="C610" t="s">
        <v>273</v>
      </c>
      <c r="D610">
        <v>1150</v>
      </c>
      <c r="E610" t="s">
        <v>15</v>
      </c>
      <c r="F610" t="s">
        <v>13</v>
      </c>
      <c r="G610">
        <f>MONTH(cleaned_personal_finance_data[[#This Row],[date]])</f>
        <v>12</v>
      </c>
      <c r="H610">
        <f>YEAR(cleaned_personal_finance_data[[#This Row],[date]])</f>
        <v>2024</v>
      </c>
      <c r="I610" t="s">
        <v>273</v>
      </c>
    </row>
    <row r="611" spans="1:9" x14ac:dyDescent="0.25">
      <c r="A611">
        <v>609</v>
      </c>
      <c r="B611" s="1">
        <v>45652</v>
      </c>
      <c r="C611" t="s">
        <v>78</v>
      </c>
      <c r="D611">
        <v>350</v>
      </c>
      <c r="E611" t="s">
        <v>15</v>
      </c>
      <c r="F611" t="s">
        <v>13</v>
      </c>
      <c r="G611">
        <f>MONTH(cleaned_personal_finance_data[[#This Row],[date]])</f>
        <v>12</v>
      </c>
      <c r="H611">
        <f>YEAR(cleaned_personal_finance_data[[#This Row],[date]])</f>
        <v>2024</v>
      </c>
      <c r="I611" t="s">
        <v>78</v>
      </c>
    </row>
    <row r="612" spans="1:9" x14ac:dyDescent="0.25">
      <c r="A612">
        <v>610</v>
      </c>
      <c r="B612" s="1">
        <v>45655</v>
      </c>
      <c r="C612" t="s">
        <v>66</v>
      </c>
      <c r="D612">
        <v>20</v>
      </c>
      <c r="E612" t="s">
        <v>15</v>
      </c>
      <c r="F612" t="s">
        <v>13</v>
      </c>
      <c r="G612">
        <f>MONTH(cleaned_personal_finance_data[[#This Row],[date]])</f>
        <v>12</v>
      </c>
      <c r="H612">
        <f>YEAR(cleaned_personal_finance_data[[#This Row],[date]])</f>
        <v>2024</v>
      </c>
      <c r="I612" t="s">
        <v>66</v>
      </c>
    </row>
    <row r="613" spans="1:9" x14ac:dyDescent="0.25">
      <c r="A613">
        <v>611</v>
      </c>
      <c r="B613" s="1">
        <v>45655</v>
      </c>
      <c r="C613" t="s">
        <v>67</v>
      </c>
      <c r="D613">
        <v>15</v>
      </c>
      <c r="E613" t="s">
        <v>15</v>
      </c>
      <c r="F613" t="s">
        <v>13</v>
      </c>
      <c r="G613">
        <f>MONTH(cleaned_personal_finance_data[[#This Row],[date]])</f>
        <v>12</v>
      </c>
      <c r="H613">
        <f>YEAR(cleaned_personal_finance_data[[#This Row],[date]])</f>
        <v>2024</v>
      </c>
      <c r="I613" t="s">
        <v>67</v>
      </c>
    </row>
    <row r="614" spans="1:9" x14ac:dyDescent="0.25">
      <c r="A614">
        <v>612</v>
      </c>
      <c r="B614" s="1">
        <v>45655</v>
      </c>
      <c r="C614" t="s">
        <v>54</v>
      </c>
      <c r="D614">
        <v>281</v>
      </c>
      <c r="E614" t="s">
        <v>15</v>
      </c>
      <c r="F614" t="s">
        <v>13</v>
      </c>
      <c r="G614">
        <f>MONTH(cleaned_personal_finance_data[[#This Row],[date]])</f>
        <v>12</v>
      </c>
      <c r="H614">
        <f>YEAR(cleaned_personal_finance_data[[#This Row],[date]])</f>
        <v>2024</v>
      </c>
      <c r="I614" t="s">
        <v>54</v>
      </c>
    </row>
    <row r="615" spans="1:9" x14ac:dyDescent="0.25">
      <c r="A615">
        <v>613</v>
      </c>
      <c r="B615" s="1">
        <v>45655</v>
      </c>
      <c r="C615" t="s">
        <v>162</v>
      </c>
      <c r="D615">
        <v>9972</v>
      </c>
      <c r="E615" t="s">
        <v>10</v>
      </c>
      <c r="F615" t="s">
        <v>8</v>
      </c>
      <c r="G615">
        <f>MONTH(cleaned_personal_finance_data[[#This Row],[date]])</f>
        <v>12</v>
      </c>
      <c r="H615">
        <f>YEAR(cleaned_personal_finance_data[[#This Row],[date]])</f>
        <v>2024</v>
      </c>
      <c r="I615" t="s">
        <v>162</v>
      </c>
    </row>
    <row r="616" spans="1:9" x14ac:dyDescent="0.25">
      <c r="A616">
        <v>614</v>
      </c>
      <c r="B616" s="1">
        <v>45655</v>
      </c>
      <c r="C616" t="s">
        <v>179</v>
      </c>
      <c r="D616">
        <v>26</v>
      </c>
      <c r="E616" t="s">
        <v>15</v>
      </c>
      <c r="F616" t="s">
        <v>13</v>
      </c>
      <c r="G616">
        <f>MONTH(cleaned_personal_finance_data[[#This Row],[date]])</f>
        <v>12</v>
      </c>
      <c r="H616">
        <f>YEAR(cleaned_personal_finance_data[[#This Row],[date]])</f>
        <v>2024</v>
      </c>
      <c r="I616" t="s">
        <v>179</v>
      </c>
    </row>
    <row r="617" spans="1:9" x14ac:dyDescent="0.25">
      <c r="A617">
        <v>615</v>
      </c>
      <c r="B617" s="1">
        <v>45655</v>
      </c>
      <c r="C617" t="s">
        <v>274</v>
      </c>
      <c r="D617">
        <v>69</v>
      </c>
      <c r="E617" t="s">
        <v>15</v>
      </c>
      <c r="F617" t="s">
        <v>13</v>
      </c>
      <c r="G617">
        <f>MONTH(cleaned_personal_finance_data[[#This Row],[date]])</f>
        <v>12</v>
      </c>
      <c r="H617">
        <f>YEAR(cleaned_personal_finance_data[[#This Row],[date]])</f>
        <v>2024</v>
      </c>
      <c r="I617" t="s">
        <v>274</v>
      </c>
    </row>
    <row r="618" spans="1:9" x14ac:dyDescent="0.25">
      <c r="A618">
        <v>616</v>
      </c>
      <c r="B618" s="1">
        <v>45655</v>
      </c>
      <c r="C618" t="s">
        <v>275</v>
      </c>
      <c r="D618">
        <v>269</v>
      </c>
      <c r="E618" t="s">
        <v>15</v>
      </c>
      <c r="F618" t="s">
        <v>13</v>
      </c>
      <c r="G618">
        <f>MONTH(cleaned_personal_finance_data[[#This Row],[date]])</f>
        <v>12</v>
      </c>
      <c r="H618">
        <f>YEAR(cleaned_personal_finance_data[[#This Row],[date]])</f>
        <v>2024</v>
      </c>
      <c r="I618" t="s">
        <v>275</v>
      </c>
    </row>
    <row r="619" spans="1:9" x14ac:dyDescent="0.25">
      <c r="A619">
        <v>617</v>
      </c>
      <c r="B619" s="1">
        <v>45655</v>
      </c>
      <c r="C619" t="s">
        <v>276</v>
      </c>
      <c r="D619">
        <v>263</v>
      </c>
      <c r="E619" t="s">
        <v>15</v>
      </c>
      <c r="F619" t="s">
        <v>13</v>
      </c>
      <c r="G619">
        <f>MONTH(cleaned_personal_finance_data[[#This Row],[date]])</f>
        <v>12</v>
      </c>
      <c r="H619">
        <f>YEAR(cleaned_personal_finance_data[[#This Row],[date]])</f>
        <v>2024</v>
      </c>
      <c r="I619" t="s">
        <v>276</v>
      </c>
    </row>
    <row r="620" spans="1:9" x14ac:dyDescent="0.25">
      <c r="A620">
        <v>618</v>
      </c>
      <c r="B620" s="1">
        <v>45655</v>
      </c>
      <c r="C620" t="s">
        <v>277</v>
      </c>
      <c r="D620">
        <v>279</v>
      </c>
      <c r="E620" t="s">
        <v>15</v>
      </c>
      <c r="F620" t="s">
        <v>13</v>
      </c>
      <c r="G620">
        <f>MONTH(cleaned_personal_finance_data[[#This Row],[date]])</f>
        <v>12</v>
      </c>
      <c r="H620">
        <f>YEAR(cleaned_personal_finance_data[[#This Row],[date]])</f>
        <v>2024</v>
      </c>
      <c r="I620" t="s">
        <v>277</v>
      </c>
    </row>
    <row r="621" spans="1:9" x14ac:dyDescent="0.25">
      <c r="A621">
        <v>619</v>
      </c>
      <c r="B621" s="1">
        <v>45655</v>
      </c>
      <c r="C621" t="s">
        <v>82</v>
      </c>
      <c r="D621">
        <v>250</v>
      </c>
      <c r="E621" t="s">
        <v>15</v>
      </c>
      <c r="F621" t="s">
        <v>13</v>
      </c>
      <c r="G621">
        <f>MONTH(cleaned_personal_finance_data[[#This Row],[date]])</f>
        <v>12</v>
      </c>
      <c r="H621">
        <f>YEAR(cleaned_personal_finance_data[[#This Row],[date]])</f>
        <v>2024</v>
      </c>
      <c r="I621" t="s">
        <v>82</v>
      </c>
    </row>
    <row r="622" spans="1:9" x14ac:dyDescent="0.25">
      <c r="A622">
        <v>620</v>
      </c>
      <c r="B622" s="1">
        <v>45655</v>
      </c>
      <c r="C622" t="s">
        <v>278</v>
      </c>
      <c r="D622">
        <v>87</v>
      </c>
      <c r="E622" t="s">
        <v>15</v>
      </c>
      <c r="F622" t="s">
        <v>13</v>
      </c>
      <c r="G622">
        <f>MONTH(cleaned_personal_finance_data[[#This Row],[date]])</f>
        <v>12</v>
      </c>
      <c r="H622">
        <f>YEAR(cleaned_personal_finance_data[[#This Row],[date]])</f>
        <v>2024</v>
      </c>
      <c r="I622" t="s">
        <v>278</v>
      </c>
    </row>
    <row r="623" spans="1:9" x14ac:dyDescent="0.25">
      <c r="A623">
        <v>621</v>
      </c>
      <c r="B623" s="1">
        <v>45656</v>
      </c>
      <c r="C623" t="s">
        <v>279</v>
      </c>
      <c r="D623">
        <v>1289</v>
      </c>
      <c r="E623" t="s">
        <v>15</v>
      </c>
      <c r="F623" t="s">
        <v>13</v>
      </c>
      <c r="G623">
        <f>MONTH(cleaned_personal_finance_data[[#This Row],[date]])</f>
        <v>12</v>
      </c>
      <c r="H623">
        <f>YEAR(cleaned_personal_finance_data[[#This Row],[date]])</f>
        <v>2024</v>
      </c>
      <c r="I623" t="s">
        <v>279</v>
      </c>
    </row>
    <row r="624" spans="1:9" x14ac:dyDescent="0.25">
      <c r="A624">
        <v>622</v>
      </c>
      <c r="B624" s="1">
        <v>45656</v>
      </c>
      <c r="C624" t="s">
        <v>103</v>
      </c>
      <c r="D624">
        <v>270</v>
      </c>
      <c r="E624" t="s">
        <v>15</v>
      </c>
      <c r="F624" t="s">
        <v>13</v>
      </c>
      <c r="G624">
        <f>MONTH(cleaned_personal_finance_data[[#This Row],[date]])</f>
        <v>12</v>
      </c>
      <c r="H624">
        <f>YEAR(cleaned_personal_finance_data[[#This Row],[date]])</f>
        <v>2024</v>
      </c>
      <c r="I624" t="s">
        <v>329</v>
      </c>
    </row>
    <row r="625" spans="1:9" x14ac:dyDescent="0.25">
      <c r="A625">
        <v>623</v>
      </c>
      <c r="B625" s="1">
        <v>45657</v>
      </c>
      <c r="C625" t="s">
        <v>280</v>
      </c>
      <c r="D625">
        <v>720</v>
      </c>
      <c r="E625" t="s">
        <v>15</v>
      </c>
      <c r="F625" t="s">
        <v>13</v>
      </c>
      <c r="G625">
        <f>MONTH(cleaned_personal_finance_data[[#This Row],[date]])</f>
        <v>12</v>
      </c>
      <c r="H625">
        <f>YEAR(cleaned_personal_finance_data[[#This Row],[date]])</f>
        <v>2024</v>
      </c>
      <c r="I625" t="s">
        <v>280</v>
      </c>
    </row>
    <row r="626" spans="1:9" x14ac:dyDescent="0.25">
      <c r="A626">
        <v>624</v>
      </c>
      <c r="B626" s="1">
        <v>45658</v>
      </c>
      <c r="C626" t="s">
        <v>36</v>
      </c>
      <c r="D626">
        <v>5</v>
      </c>
      <c r="E626" t="s">
        <v>15</v>
      </c>
      <c r="F626" t="s">
        <v>13</v>
      </c>
      <c r="G626">
        <f>MONTH(cleaned_personal_finance_data[[#This Row],[date]])</f>
        <v>1</v>
      </c>
      <c r="H626">
        <f>YEAR(cleaned_personal_finance_data[[#This Row],[date]])</f>
        <v>2025</v>
      </c>
      <c r="I626" t="s">
        <v>329</v>
      </c>
    </row>
    <row r="627" spans="1:9" x14ac:dyDescent="0.25">
      <c r="A627">
        <v>625</v>
      </c>
      <c r="B627" s="1">
        <v>45659</v>
      </c>
      <c r="C627" t="s">
        <v>67</v>
      </c>
      <c r="D627">
        <v>25</v>
      </c>
      <c r="E627" t="s">
        <v>15</v>
      </c>
      <c r="F627" t="s">
        <v>13</v>
      </c>
      <c r="G627">
        <f>MONTH(cleaned_personal_finance_data[[#This Row],[date]])</f>
        <v>1</v>
      </c>
      <c r="H627">
        <f>YEAR(cleaned_personal_finance_data[[#This Row],[date]])</f>
        <v>2025</v>
      </c>
      <c r="I627" t="s">
        <v>67</v>
      </c>
    </row>
    <row r="628" spans="1:9" x14ac:dyDescent="0.25">
      <c r="A628">
        <v>626</v>
      </c>
      <c r="B628" s="1">
        <v>45661</v>
      </c>
      <c r="C628" t="s">
        <v>175</v>
      </c>
      <c r="D628">
        <v>2100</v>
      </c>
      <c r="E628" t="s">
        <v>15</v>
      </c>
      <c r="F628" t="s">
        <v>13</v>
      </c>
      <c r="G628">
        <f>MONTH(cleaned_personal_finance_data[[#This Row],[date]])</f>
        <v>1</v>
      </c>
      <c r="H628">
        <f>YEAR(cleaned_personal_finance_data[[#This Row],[date]])</f>
        <v>2025</v>
      </c>
      <c r="I628" t="s">
        <v>159</v>
      </c>
    </row>
    <row r="629" spans="1:9" x14ac:dyDescent="0.25">
      <c r="A629">
        <v>627</v>
      </c>
      <c r="B629" s="1">
        <v>45661</v>
      </c>
      <c r="C629" t="s">
        <v>145</v>
      </c>
      <c r="D629">
        <v>7000</v>
      </c>
      <c r="E629" t="s">
        <v>15</v>
      </c>
      <c r="F629" t="s">
        <v>13</v>
      </c>
      <c r="G629">
        <f>MONTH(cleaned_personal_finance_data[[#This Row],[date]])</f>
        <v>1</v>
      </c>
      <c r="H629">
        <f>YEAR(cleaned_personal_finance_data[[#This Row],[date]])</f>
        <v>2025</v>
      </c>
      <c r="I629" t="s">
        <v>145</v>
      </c>
    </row>
    <row r="630" spans="1:9" x14ac:dyDescent="0.25">
      <c r="A630">
        <v>628</v>
      </c>
      <c r="B630" s="1">
        <v>45667</v>
      </c>
      <c r="C630" t="s">
        <v>281</v>
      </c>
      <c r="D630">
        <v>150</v>
      </c>
      <c r="E630" t="s">
        <v>15</v>
      </c>
      <c r="F630" t="s">
        <v>13</v>
      </c>
      <c r="G630">
        <f>MONTH(cleaned_personal_finance_data[[#This Row],[date]])</f>
        <v>1</v>
      </c>
      <c r="H630">
        <f>YEAR(cleaned_personal_finance_data[[#This Row],[date]])</f>
        <v>2025</v>
      </c>
      <c r="I630" t="s">
        <v>43</v>
      </c>
    </row>
    <row r="631" spans="1:9" x14ac:dyDescent="0.25">
      <c r="A631">
        <v>629</v>
      </c>
      <c r="B631" s="1">
        <v>45667</v>
      </c>
      <c r="C631" t="s">
        <v>180</v>
      </c>
      <c r="D631">
        <v>30</v>
      </c>
      <c r="E631" t="s">
        <v>15</v>
      </c>
      <c r="F631" t="s">
        <v>13</v>
      </c>
      <c r="G631">
        <f>MONTH(cleaned_personal_finance_data[[#This Row],[date]])</f>
        <v>1</v>
      </c>
      <c r="H631">
        <f>YEAR(cleaned_personal_finance_data[[#This Row],[date]])</f>
        <v>2025</v>
      </c>
      <c r="I631" t="s">
        <v>43</v>
      </c>
    </row>
    <row r="632" spans="1:9" x14ac:dyDescent="0.25">
      <c r="A632">
        <v>630</v>
      </c>
      <c r="B632" s="1">
        <v>45667</v>
      </c>
      <c r="C632" t="s">
        <v>107</v>
      </c>
      <c r="D632">
        <v>40</v>
      </c>
      <c r="E632" t="s">
        <v>15</v>
      </c>
      <c r="F632" t="s">
        <v>13</v>
      </c>
      <c r="G632">
        <f>MONTH(cleaned_personal_finance_data[[#This Row],[date]])</f>
        <v>1</v>
      </c>
      <c r="H632">
        <f>YEAR(cleaned_personal_finance_data[[#This Row],[date]])</f>
        <v>2025</v>
      </c>
      <c r="I632" t="s">
        <v>107</v>
      </c>
    </row>
    <row r="633" spans="1:9" x14ac:dyDescent="0.25">
      <c r="A633">
        <v>631</v>
      </c>
      <c r="B633" s="1">
        <v>45667</v>
      </c>
      <c r="C633" t="s">
        <v>106</v>
      </c>
      <c r="D633">
        <v>83</v>
      </c>
      <c r="E633" t="s">
        <v>15</v>
      </c>
      <c r="F633" t="s">
        <v>13</v>
      </c>
      <c r="G633">
        <f>MONTH(cleaned_personal_finance_data[[#This Row],[date]])</f>
        <v>1</v>
      </c>
      <c r="H633">
        <f>YEAR(cleaned_personal_finance_data[[#This Row],[date]])</f>
        <v>2025</v>
      </c>
      <c r="I633" t="s">
        <v>106</v>
      </c>
    </row>
    <row r="634" spans="1:9" x14ac:dyDescent="0.25">
      <c r="A634">
        <v>632</v>
      </c>
      <c r="B634" s="1">
        <v>45667</v>
      </c>
      <c r="C634" t="s">
        <v>282</v>
      </c>
      <c r="D634">
        <v>230</v>
      </c>
      <c r="E634" t="s">
        <v>15</v>
      </c>
      <c r="F634" t="s">
        <v>13</v>
      </c>
      <c r="G634">
        <f>MONTH(cleaned_personal_finance_data[[#This Row],[date]])</f>
        <v>1</v>
      </c>
      <c r="H634">
        <f>YEAR(cleaned_personal_finance_data[[#This Row],[date]])</f>
        <v>2025</v>
      </c>
      <c r="I634" t="s">
        <v>282</v>
      </c>
    </row>
    <row r="635" spans="1:9" x14ac:dyDescent="0.25">
      <c r="A635">
        <v>633</v>
      </c>
      <c r="B635" s="1">
        <v>45667</v>
      </c>
      <c r="C635" t="s">
        <v>283</v>
      </c>
      <c r="D635">
        <v>130</v>
      </c>
      <c r="E635" t="s">
        <v>15</v>
      </c>
      <c r="F635" t="s">
        <v>13</v>
      </c>
      <c r="G635">
        <f>MONTH(cleaned_personal_finance_data[[#This Row],[date]])</f>
        <v>1</v>
      </c>
      <c r="H635">
        <f>YEAR(cleaned_personal_finance_data[[#This Row],[date]])</f>
        <v>2025</v>
      </c>
      <c r="I635" t="s">
        <v>43</v>
      </c>
    </row>
    <row r="636" spans="1:9" x14ac:dyDescent="0.25">
      <c r="A636">
        <v>634</v>
      </c>
      <c r="B636" s="1">
        <v>45667</v>
      </c>
      <c r="C636" t="s">
        <v>284</v>
      </c>
      <c r="D636">
        <v>200</v>
      </c>
      <c r="E636" t="s">
        <v>15</v>
      </c>
      <c r="F636" t="s">
        <v>13</v>
      </c>
      <c r="G636">
        <f>MONTH(cleaned_personal_finance_data[[#This Row],[date]])</f>
        <v>1</v>
      </c>
      <c r="H636">
        <f>YEAR(cleaned_personal_finance_data[[#This Row],[date]])</f>
        <v>2025</v>
      </c>
      <c r="I636" t="s">
        <v>43</v>
      </c>
    </row>
    <row r="637" spans="1:9" x14ac:dyDescent="0.25">
      <c r="A637">
        <v>635</v>
      </c>
      <c r="B637" s="1">
        <v>45670</v>
      </c>
      <c r="C637" t="s">
        <v>281</v>
      </c>
      <c r="D637">
        <v>150</v>
      </c>
      <c r="E637" t="s">
        <v>15</v>
      </c>
      <c r="F637" t="s">
        <v>13</v>
      </c>
      <c r="G637">
        <f>MONTH(cleaned_personal_finance_data[[#This Row],[date]])</f>
        <v>1</v>
      </c>
      <c r="H637">
        <f>YEAR(cleaned_personal_finance_data[[#This Row],[date]])</f>
        <v>2025</v>
      </c>
      <c r="I637" t="s">
        <v>43</v>
      </c>
    </row>
    <row r="638" spans="1:9" x14ac:dyDescent="0.25">
      <c r="A638">
        <v>636</v>
      </c>
      <c r="B638" s="1">
        <v>45670</v>
      </c>
      <c r="C638" t="s">
        <v>54</v>
      </c>
      <c r="D638">
        <v>89</v>
      </c>
      <c r="E638" t="s">
        <v>15</v>
      </c>
      <c r="F638" t="s">
        <v>13</v>
      </c>
      <c r="G638">
        <f>MONTH(cleaned_personal_finance_data[[#This Row],[date]])</f>
        <v>1</v>
      </c>
      <c r="H638">
        <f>YEAR(cleaned_personal_finance_data[[#This Row],[date]])</f>
        <v>2025</v>
      </c>
      <c r="I638" t="s">
        <v>54</v>
      </c>
    </row>
    <row r="639" spans="1:9" x14ac:dyDescent="0.25">
      <c r="A639">
        <v>637</v>
      </c>
      <c r="B639" s="1">
        <v>45670</v>
      </c>
      <c r="C639" t="s">
        <v>108</v>
      </c>
      <c r="D639">
        <v>60</v>
      </c>
      <c r="E639" t="s">
        <v>15</v>
      </c>
      <c r="F639" t="s">
        <v>13</v>
      </c>
      <c r="G639">
        <f>MONTH(cleaned_personal_finance_data[[#This Row],[date]])</f>
        <v>1</v>
      </c>
      <c r="H639">
        <f>YEAR(cleaned_personal_finance_data[[#This Row],[date]])</f>
        <v>2025</v>
      </c>
      <c r="I639" t="s">
        <v>43</v>
      </c>
    </row>
    <row r="640" spans="1:9" x14ac:dyDescent="0.25">
      <c r="A640">
        <v>638</v>
      </c>
      <c r="B640" s="1">
        <v>45670</v>
      </c>
      <c r="C640" t="s">
        <v>162</v>
      </c>
      <c r="D640">
        <v>20000</v>
      </c>
      <c r="E640" t="s">
        <v>10</v>
      </c>
      <c r="F640" t="s">
        <v>8</v>
      </c>
      <c r="G640">
        <f>MONTH(cleaned_personal_finance_data[[#This Row],[date]])</f>
        <v>1</v>
      </c>
      <c r="H640">
        <f>YEAR(cleaned_personal_finance_data[[#This Row],[date]])</f>
        <v>2025</v>
      </c>
      <c r="I640" t="s">
        <v>162</v>
      </c>
    </row>
    <row r="641" spans="1:9" x14ac:dyDescent="0.25">
      <c r="A641">
        <v>639</v>
      </c>
      <c r="B641" s="1">
        <v>45670</v>
      </c>
      <c r="C641" t="s">
        <v>285</v>
      </c>
      <c r="D641">
        <v>5490</v>
      </c>
      <c r="E641" t="s">
        <v>15</v>
      </c>
      <c r="F641" t="s">
        <v>13</v>
      </c>
      <c r="G641">
        <f>MONTH(cleaned_personal_finance_data[[#This Row],[date]])</f>
        <v>1</v>
      </c>
      <c r="H641">
        <f>YEAR(cleaned_personal_finance_data[[#This Row],[date]])</f>
        <v>2025</v>
      </c>
      <c r="I641" t="s">
        <v>285</v>
      </c>
    </row>
    <row r="642" spans="1:9" x14ac:dyDescent="0.25">
      <c r="A642">
        <v>640</v>
      </c>
      <c r="B642" s="1">
        <v>45670</v>
      </c>
      <c r="C642" t="s">
        <v>180</v>
      </c>
      <c r="D642">
        <v>10</v>
      </c>
      <c r="E642" t="s">
        <v>15</v>
      </c>
      <c r="F642" t="s">
        <v>13</v>
      </c>
      <c r="G642">
        <f>MONTH(cleaned_personal_finance_data[[#This Row],[date]])</f>
        <v>1</v>
      </c>
      <c r="H642">
        <f>YEAR(cleaned_personal_finance_data[[#This Row],[date]])</f>
        <v>2025</v>
      </c>
      <c r="I642" t="s">
        <v>43</v>
      </c>
    </row>
    <row r="643" spans="1:9" x14ac:dyDescent="0.25">
      <c r="A643">
        <v>641</v>
      </c>
      <c r="B643" s="1">
        <v>45670</v>
      </c>
      <c r="C643" t="s">
        <v>286</v>
      </c>
      <c r="D643">
        <v>150</v>
      </c>
      <c r="E643" t="s">
        <v>15</v>
      </c>
      <c r="F643" t="s">
        <v>13</v>
      </c>
      <c r="G643">
        <f>MONTH(cleaned_personal_finance_data[[#This Row],[date]])</f>
        <v>1</v>
      </c>
      <c r="H643">
        <f>YEAR(cleaned_personal_finance_data[[#This Row],[date]])</f>
        <v>2025</v>
      </c>
      <c r="I643" t="s">
        <v>43</v>
      </c>
    </row>
    <row r="644" spans="1:9" x14ac:dyDescent="0.25">
      <c r="A644">
        <v>642</v>
      </c>
      <c r="B644" s="1">
        <v>45672</v>
      </c>
      <c r="C644" t="s">
        <v>287</v>
      </c>
      <c r="D644">
        <v>30</v>
      </c>
      <c r="E644" t="s">
        <v>15</v>
      </c>
      <c r="F644" t="s">
        <v>13</v>
      </c>
      <c r="G644">
        <f>MONTH(cleaned_personal_finance_data[[#This Row],[date]])</f>
        <v>1</v>
      </c>
      <c r="H644">
        <f>YEAR(cleaned_personal_finance_data[[#This Row],[date]])</f>
        <v>2025</v>
      </c>
      <c r="I644" t="s">
        <v>43</v>
      </c>
    </row>
    <row r="645" spans="1:9" x14ac:dyDescent="0.25">
      <c r="A645">
        <v>643</v>
      </c>
      <c r="B645" s="1">
        <v>45672</v>
      </c>
      <c r="C645" t="s">
        <v>160</v>
      </c>
      <c r="D645">
        <v>120</v>
      </c>
      <c r="E645" t="s">
        <v>15</v>
      </c>
      <c r="F645" t="s">
        <v>13</v>
      </c>
      <c r="G645">
        <f>MONTH(cleaned_personal_finance_data[[#This Row],[date]])</f>
        <v>1</v>
      </c>
      <c r="H645">
        <f>YEAR(cleaned_personal_finance_data[[#This Row],[date]])</f>
        <v>2025</v>
      </c>
      <c r="I645" t="s">
        <v>43</v>
      </c>
    </row>
    <row r="646" spans="1:9" x14ac:dyDescent="0.25">
      <c r="A646">
        <v>644</v>
      </c>
      <c r="B646" s="1">
        <v>45672</v>
      </c>
      <c r="C646" t="s">
        <v>54</v>
      </c>
      <c r="D646">
        <v>184</v>
      </c>
      <c r="E646" t="s">
        <v>15</v>
      </c>
      <c r="F646" t="s">
        <v>13</v>
      </c>
      <c r="G646">
        <f>MONTH(cleaned_personal_finance_data[[#This Row],[date]])</f>
        <v>1</v>
      </c>
      <c r="H646">
        <f>YEAR(cleaned_personal_finance_data[[#This Row],[date]])</f>
        <v>2025</v>
      </c>
      <c r="I646" t="s">
        <v>54</v>
      </c>
    </row>
    <row r="647" spans="1:9" x14ac:dyDescent="0.25">
      <c r="A647">
        <v>645</v>
      </c>
      <c r="B647" s="1">
        <v>45672</v>
      </c>
      <c r="C647" t="s">
        <v>128</v>
      </c>
      <c r="D647">
        <v>13</v>
      </c>
      <c r="E647" t="s">
        <v>15</v>
      </c>
      <c r="F647" t="s">
        <v>13</v>
      </c>
      <c r="G647">
        <f>MONTH(cleaned_personal_finance_data[[#This Row],[date]])</f>
        <v>1</v>
      </c>
      <c r="H647">
        <f>YEAR(cleaned_personal_finance_data[[#This Row],[date]])</f>
        <v>2025</v>
      </c>
      <c r="I647" t="s">
        <v>43</v>
      </c>
    </row>
    <row r="648" spans="1:9" x14ac:dyDescent="0.25">
      <c r="A648">
        <v>646</v>
      </c>
      <c r="B648" s="1">
        <v>45672</v>
      </c>
      <c r="C648" t="s">
        <v>108</v>
      </c>
      <c r="D648">
        <v>40</v>
      </c>
      <c r="E648" t="s">
        <v>15</v>
      </c>
      <c r="F648" t="s">
        <v>13</v>
      </c>
      <c r="G648">
        <f>MONTH(cleaned_personal_finance_data[[#This Row],[date]])</f>
        <v>1</v>
      </c>
      <c r="H648">
        <f>YEAR(cleaned_personal_finance_data[[#This Row],[date]])</f>
        <v>2025</v>
      </c>
      <c r="I648" t="s">
        <v>43</v>
      </c>
    </row>
    <row r="649" spans="1:9" x14ac:dyDescent="0.25">
      <c r="A649">
        <v>647</v>
      </c>
      <c r="B649" s="1">
        <v>45672</v>
      </c>
      <c r="C649" t="s">
        <v>277</v>
      </c>
      <c r="D649">
        <v>638</v>
      </c>
      <c r="E649" t="s">
        <v>15</v>
      </c>
      <c r="F649" t="s">
        <v>13</v>
      </c>
      <c r="G649">
        <f>MONTH(cleaned_personal_finance_data[[#This Row],[date]])</f>
        <v>1</v>
      </c>
      <c r="H649">
        <f>YEAR(cleaned_personal_finance_data[[#This Row],[date]])</f>
        <v>2025</v>
      </c>
      <c r="I649" t="s">
        <v>277</v>
      </c>
    </row>
    <row r="650" spans="1:9" x14ac:dyDescent="0.25">
      <c r="A650">
        <v>648</v>
      </c>
      <c r="B650" s="1">
        <v>45672</v>
      </c>
      <c r="C650" t="s">
        <v>269</v>
      </c>
      <c r="D650">
        <v>599</v>
      </c>
      <c r="E650" t="s">
        <v>15</v>
      </c>
      <c r="F650" t="s">
        <v>13</v>
      </c>
      <c r="G650">
        <f>MONTH(cleaned_personal_finance_data[[#This Row],[date]])</f>
        <v>1</v>
      </c>
      <c r="H650">
        <f>YEAR(cleaned_personal_finance_data[[#This Row],[date]])</f>
        <v>2025</v>
      </c>
      <c r="I650" t="s">
        <v>269</v>
      </c>
    </row>
    <row r="651" spans="1:9" x14ac:dyDescent="0.25">
      <c r="A651">
        <v>649</v>
      </c>
      <c r="B651" s="1">
        <v>45672</v>
      </c>
      <c r="C651" t="s">
        <v>229</v>
      </c>
      <c r="D651">
        <v>42</v>
      </c>
      <c r="E651" t="s">
        <v>15</v>
      </c>
      <c r="F651" t="s">
        <v>13</v>
      </c>
      <c r="G651">
        <f>MONTH(cleaned_personal_finance_data[[#This Row],[date]])</f>
        <v>1</v>
      </c>
      <c r="H651">
        <f>YEAR(cleaned_personal_finance_data[[#This Row],[date]])</f>
        <v>2025</v>
      </c>
      <c r="I651" t="s">
        <v>229</v>
      </c>
    </row>
    <row r="652" spans="1:9" x14ac:dyDescent="0.25">
      <c r="A652">
        <v>650</v>
      </c>
      <c r="B652" s="1">
        <v>45672</v>
      </c>
      <c r="C652" t="s">
        <v>61</v>
      </c>
      <c r="D652">
        <v>120</v>
      </c>
      <c r="E652" t="s">
        <v>15</v>
      </c>
      <c r="F652" t="s">
        <v>13</v>
      </c>
      <c r="G652">
        <f>MONTH(cleaned_personal_finance_data[[#This Row],[date]])</f>
        <v>1</v>
      </c>
      <c r="H652">
        <f>YEAR(cleaned_personal_finance_data[[#This Row],[date]])</f>
        <v>2025</v>
      </c>
      <c r="I652" t="s">
        <v>43</v>
      </c>
    </row>
    <row r="653" spans="1:9" x14ac:dyDescent="0.25">
      <c r="A653">
        <v>651</v>
      </c>
      <c r="B653" s="1">
        <v>45672</v>
      </c>
      <c r="C653" t="s">
        <v>76</v>
      </c>
      <c r="D653">
        <v>20</v>
      </c>
      <c r="E653" t="s">
        <v>15</v>
      </c>
      <c r="F653" t="s">
        <v>13</v>
      </c>
      <c r="G653">
        <f>MONTH(cleaned_personal_finance_data[[#This Row],[date]])</f>
        <v>1</v>
      </c>
      <c r="H653">
        <f>YEAR(cleaned_personal_finance_data[[#This Row],[date]])</f>
        <v>2025</v>
      </c>
      <c r="I653" t="s">
        <v>43</v>
      </c>
    </row>
    <row r="654" spans="1:9" x14ac:dyDescent="0.25">
      <c r="A654">
        <v>652</v>
      </c>
      <c r="B654" s="1">
        <v>45672</v>
      </c>
      <c r="C654" t="s">
        <v>85</v>
      </c>
      <c r="D654">
        <v>300</v>
      </c>
      <c r="E654" t="s">
        <v>15</v>
      </c>
      <c r="F654" t="s">
        <v>13</v>
      </c>
      <c r="G654">
        <f>MONTH(cleaned_personal_finance_data[[#This Row],[date]])</f>
        <v>1</v>
      </c>
      <c r="H654">
        <f>YEAR(cleaned_personal_finance_data[[#This Row],[date]])</f>
        <v>2025</v>
      </c>
      <c r="I654" t="s">
        <v>85</v>
      </c>
    </row>
    <row r="655" spans="1:9" x14ac:dyDescent="0.25">
      <c r="A655">
        <v>653</v>
      </c>
      <c r="B655" s="1">
        <v>45673</v>
      </c>
      <c r="C655" t="s">
        <v>6</v>
      </c>
      <c r="D655">
        <v>13201</v>
      </c>
      <c r="E655" t="s">
        <v>7</v>
      </c>
      <c r="F655" t="s">
        <v>8</v>
      </c>
      <c r="G655">
        <f>MONTH(cleaned_personal_finance_data[[#This Row],[date]])</f>
        <v>1</v>
      </c>
      <c r="H655">
        <f>YEAR(cleaned_personal_finance_data[[#This Row],[date]])</f>
        <v>2025</v>
      </c>
      <c r="I655" t="s">
        <v>318</v>
      </c>
    </row>
    <row r="656" spans="1:9" x14ac:dyDescent="0.25">
      <c r="A656">
        <v>654</v>
      </c>
      <c r="B656" s="1">
        <v>45674</v>
      </c>
      <c r="C656" t="s">
        <v>287</v>
      </c>
      <c r="D656">
        <v>50</v>
      </c>
      <c r="E656" t="s">
        <v>15</v>
      </c>
      <c r="F656" t="s">
        <v>13</v>
      </c>
      <c r="G656">
        <f>MONTH(cleaned_personal_finance_data[[#This Row],[date]])</f>
        <v>1</v>
      </c>
      <c r="H656">
        <f>YEAR(cleaned_personal_finance_data[[#This Row],[date]])</f>
        <v>2025</v>
      </c>
      <c r="I656" t="s">
        <v>43</v>
      </c>
    </row>
    <row r="657" spans="1:9" x14ac:dyDescent="0.25">
      <c r="A657">
        <v>655</v>
      </c>
      <c r="B657" s="1">
        <v>45674</v>
      </c>
      <c r="C657" t="s">
        <v>59</v>
      </c>
      <c r="D657">
        <v>20</v>
      </c>
      <c r="E657" t="s">
        <v>15</v>
      </c>
      <c r="F657" t="s">
        <v>13</v>
      </c>
      <c r="G657">
        <f>MONTH(cleaned_personal_finance_data[[#This Row],[date]])</f>
        <v>1</v>
      </c>
      <c r="H657">
        <f>YEAR(cleaned_personal_finance_data[[#This Row],[date]])</f>
        <v>2025</v>
      </c>
      <c r="I657" t="s">
        <v>59</v>
      </c>
    </row>
    <row r="658" spans="1:9" x14ac:dyDescent="0.25">
      <c r="A658">
        <v>656</v>
      </c>
      <c r="B658" s="1">
        <v>45674</v>
      </c>
      <c r="C658" t="s">
        <v>67</v>
      </c>
      <c r="D658">
        <v>20</v>
      </c>
      <c r="E658" t="s">
        <v>15</v>
      </c>
      <c r="F658" t="s">
        <v>13</v>
      </c>
      <c r="G658">
        <f>MONTH(cleaned_personal_finance_data[[#This Row],[date]])</f>
        <v>1</v>
      </c>
      <c r="H658">
        <f>YEAR(cleaned_personal_finance_data[[#This Row],[date]])</f>
        <v>2025</v>
      </c>
      <c r="I658" t="s">
        <v>67</v>
      </c>
    </row>
    <row r="659" spans="1:9" x14ac:dyDescent="0.25">
      <c r="A659">
        <v>657</v>
      </c>
      <c r="B659" s="1">
        <v>45674</v>
      </c>
      <c r="C659" t="s">
        <v>110</v>
      </c>
      <c r="D659">
        <v>120</v>
      </c>
      <c r="E659" t="s">
        <v>15</v>
      </c>
      <c r="F659" t="s">
        <v>13</v>
      </c>
      <c r="G659">
        <f>MONTH(cleaned_personal_finance_data[[#This Row],[date]])</f>
        <v>1</v>
      </c>
      <c r="H659">
        <f>YEAR(cleaned_personal_finance_data[[#This Row],[date]])</f>
        <v>2025</v>
      </c>
      <c r="I659" t="s">
        <v>43</v>
      </c>
    </row>
    <row r="660" spans="1:9" x14ac:dyDescent="0.25">
      <c r="A660">
        <v>658</v>
      </c>
      <c r="B660" s="1">
        <v>45674</v>
      </c>
      <c r="C660" t="s">
        <v>54</v>
      </c>
      <c r="D660">
        <v>120</v>
      </c>
      <c r="E660" t="s">
        <v>15</v>
      </c>
      <c r="F660" t="s">
        <v>13</v>
      </c>
      <c r="G660">
        <f>MONTH(cleaned_personal_finance_data[[#This Row],[date]])</f>
        <v>1</v>
      </c>
      <c r="H660">
        <f>YEAR(cleaned_personal_finance_data[[#This Row],[date]])</f>
        <v>2025</v>
      </c>
      <c r="I660" t="s">
        <v>54</v>
      </c>
    </row>
    <row r="661" spans="1:9" x14ac:dyDescent="0.25">
      <c r="A661">
        <v>659</v>
      </c>
      <c r="B661" s="1">
        <v>45674</v>
      </c>
      <c r="C661" t="s">
        <v>108</v>
      </c>
      <c r="D661">
        <v>60</v>
      </c>
      <c r="E661" t="s">
        <v>15</v>
      </c>
      <c r="F661" t="s">
        <v>13</v>
      </c>
      <c r="G661">
        <f>MONTH(cleaned_personal_finance_data[[#This Row],[date]])</f>
        <v>1</v>
      </c>
      <c r="H661">
        <f>YEAR(cleaned_personal_finance_data[[#This Row],[date]])</f>
        <v>2025</v>
      </c>
      <c r="I661" t="s">
        <v>43</v>
      </c>
    </row>
    <row r="662" spans="1:9" x14ac:dyDescent="0.25">
      <c r="A662">
        <v>660</v>
      </c>
      <c r="B662" s="1">
        <v>45674</v>
      </c>
      <c r="C662" t="s">
        <v>288</v>
      </c>
      <c r="D662">
        <v>135</v>
      </c>
      <c r="E662" t="s">
        <v>15</v>
      </c>
      <c r="F662" t="s">
        <v>13</v>
      </c>
      <c r="G662">
        <f>MONTH(cleaned_personal_finance_data[[#This Row],[date]])</f>
        <v>1</v>
      </c>
      <c r="H662">
        <f>YEAR(cleaned_personal_finance_data[[#This Row],[date]])</f>
        <v>2025</v>
      </c>
      <c r="I662" t="s">
        <v>288</v>
      </c>
    </row>
    <row r="663" spans="1:9" x14ac:dyDescent="0.25">
      <c r="A663">
        <v>661</v>
      </c>
      <c r="B663" s="1">
        <v>45674</v>
      </c>
      <c r="C663" t="s">
        <v>179</v>
      </c>
      <c r="D663">
        <v>20</v>
      </c>
      <c r="E663" t="s">
        <v>15</v>
      </c>
      <c r="F663" t="s">
        <v>13</v>
      </c>
      <c r="G663">
        <f>MONTH(cleaned_personal_finance_data[[#This Row],[date]])</f>
        <v>1</v>
      </c>
      <c r="H663">
        <f>YEAR(cleaned_personal_finance_data[[#This Row],[date]])</f>
        <v>2025</v>
      </c>
      <c r="I663" t="s">
        <v>179</v>
      </c>
    </row>
    <row r="664" spans="1:9" x14ac:dyDescent="0.25">
      <c r="A664">
        <v>662</v>
      </c>
      <c r="B664" s="1">
        <v>45674</v>
      </c>
      <c r="C664" t="s">
        <v>180</v>
      </c>
      <c r="D664">
        <v>10</v>
      </c>
      <c r="E664" t="s">
        <v>15</v>
      </c>
      <c r="F664" t="s">
        <v>13</v>
      </c>
      <c r="G664">
        <f>MONTH(cleaned_personal_finance_data[[#This Row],[date]])</f>
        <v>1</v>
      </c>
      <c r="H664">
        <f>YEAR(cleaned_personal_finance_data[[#This Row],[date]])</f>
        <v>2025</v>
      </c>
      <c r="I664" t="s">
        <v>43</v>
      </c>
    </row>
    <row r="665" spans="1:9" x14ac:dyDescent="0.25">
      <c r="A665">
        <v>663</v>
      </c>
      <c r="B665" s="1">
        <v>45674</v>
      </c>
      <c r="C665" t="s">
        <v>67</v>
      </c>
      <c r="D665">
        <v>25</v>
      </c>
      <c r="E665" t="s">
        <v>15</v>
      </c>
      <c r="F665" t="s">
        <v>13</v>
      </c>
      <c r="G665">
        <f>MONTH(cleaned_personal_finance_data[[#This Row],[date]])</f>
        <v>1</v>
      </c>
      <c r="H665">
        <f>YEAR(cleaned_personal_finance_data[[#This Row],[date]])</f>
        <v>2025</v>
      </c>
      <c r="I665" t="s">
        <v>67</v>
      </c>
    </row>
    <row r="666" spans="1:9" x14ac:dyDescent="0.25">
      <c r="A666">
        <v>664</v>
      </c>
      <c r="B666" s="1">
        <v>45674</v>
      </c>
      <c r="C666" t="s">
        <v>181</v>
      </c>
      <c r="D666">
        <v>120</v>
      </c>
      <c r="E666" t="s">
        <v>15</v>
      </c>
      <c r="F666" t="s">
        <v>13</v>
      </c>
      <c r="G666">
        <f>MONTH(cleaned_personal_finance_data[[#This Row],[date]])</f>
        <v>1</v>
      </c>
      <c r="H666">
        <f>YEAR(cleaned_personal_finance_data[[#This Row],[date]])</f>
        <v>2025</v>
      </c>
      <c r="I666" t="s">
        <v>43</v>
      </c>
    </row>
    <row r="667" spans="1:9" x14ac:dyDescent="0.25">
      <c r="A667">
        <v>665</v>
      </c>
      <c r="B667" s="1">
        <v>45674</v>
      </c>
      <c r="C667" t="s">
        <v>76</v>
      </c>
      <c r="D667">
        <v>100</v>
      </c>
      <c r="E667" t="s">
        <v>15</v>
      </c>
      <c r="F667" t="s">
        <v>13</v>
      </c>
      <c r="G667">
        <f>MONTH(cleaned_personal_finance_data[[#This Row],[date]])</f>
        <v>1</v>
      </c>
      <c r="H667">
        <f>YEAR(cleaned_personal_finance_data[[#This Row],[date]])</f>
        <v>2025</v>
      </c>
      <c r="I667" t="s">
        <v>43</v>
      </c>
    </row>
    <row r="668" spans="1:9" x14ac:dyDescent="0.25">
      <c r="A668">
        <v>666</v>
      </c>
      <c r="B668" s="1">
        <v>45681</v>
      </c>
      <c r="C668" t="s">
        <v>281</v>
      </c>
      <c r="D668">
        <v>300</v>
      </c>
      <c r="E668" t="s">
        <v>15</v>
      </c>
      <c r="F668" t="s">
        <v>13</v>
      </c>
      <c r="G668">
        <f>MONTH(cleaned_personal_finance_data[[#This Row],[date]])</f>
        <v>1</v>
      </c>
      <c r="H668">
        <f>YEAR(cleaned_personal_finance_data[[#This Row],[date]])</f>
        <v>2025</v>
      </c>
      <c r="I668" t="s">
        <v>43</v>
      </c>
    </row>
    <row r="669" spans="1:9" x14ac:dyDescent="0.25">
      <c r="A669">
        <v>667</v>
      </c>
      <c r="B669" s="1">
        <v>45681</v>
      </c>
      <c r="C669" t="s">
        <v>54</v>
      </c>
      <c r="D669">
        <v>392</v>
      </c>
      <c r="E669" t="s">
        <v>15</v>
      </c>
      <c r="F669" t="s">
        <v>13</v>
      </c>
      <c r="G669">
        <f>MONTH(cleaned_personal_finance_data[[#This Row],[date]])</f>
        <v>1</v>
      </c>
      <c r="H669">
        <f>YEAR(cleaned_personal_finance_data[[#This Row],[date]])</f>
        <v>2025</v>
      </c>
      <c r="I669" t="s">
        <v>54</v>
      </c>
    </row>
    <row r="670" spans="1:9" x14ac:dyDescent="0.25">
      <c r="A670">
        <v>668</v>
      </c>
      <c r="B670" s="1">
        <v>45681</v>
      </c>
      <c r="C670" t="s">
        <v>289</v>
      </c>
      <c r="D670">
        <v>58</v>
      </c>
      <c r="E670" t="s">
        <v>15</v>
      </c>
      <c r="F670" t="s">
        <v>13</v>
      </c>
      <c r="G670">
        <f>MONTH(cleaned_personal_finance_data[[#This Row],[date]])</f>
        <v>1</v>
      </c>
      <c r="H670">
        <f>YEAR(cleaned_personal_finance_data[[#This Row],[date]])</f>
        <v>2025</v>
      </c>
      <c r="I670" t="s">
        <v>289</v>
      </c>
    </row>
    <row r="671" spans="1:9" x14ac:dyDescent="0.25">
      <c r="A671">
        <v>669</v>
      </c>
      <c r="B671" s="1">
        <v>45681</v>
      </c>
      <c r="C671" t="s">
        <v>290</v>
      </c>
      <c r="D671">
        <v>18</v>
      </c>
      <c r="E671" t="s">
        <v>15</v>
      </c>
      <c r="F671" t="s">
        <v>13</v>
      </c>
      <c r="G671">
        <f>MONTH(cleaned_personal_finance_data[[#This Row],[date]])</f>
        <v>1</v>
      </c>
      <c r="H671">
        <f>YEAR(cleaned_personal_finance_data[[#This Row],[date]])</f>
        <v>2025</v>
      </c>
      <c r="I671" t="s">
        <v>290</v>
      </c>
    </row>
    <row r="672" spans="1:9" x14ac:dyDescent="0.25">
      <c r="A672">
        <v>670</v>
      </c>
      <c r="B672" s="1">
        <v>45681</v>
      </c>
      <c r="C672" t="s">
        <v>291</v>
      </c>
      <c r="D672">
        <v>20</v>
      </c>
      <c r="E672" t="s">
        <v>15</v>
      </c>
      <c r="F672" t="s">
        <v>13</v>
      </c>
      <c r="G672">
        <f>MONTH(cleaned_personal_finance_data[[#This Row],[date]])</f>
        <v>1</v>
      </c>
      <c r="H672">
        <f>YEAR(cleaned_personal_finance_data[[#This Row],[date]])</f>
        <v>2025</v>
      </c>
      <c r="I672" t="s">
        <v>291</v>
      </c>
    </row>
    <row r="673" spans="1:9" x14ac:dyDescent="0.25">
      <c r="A673">
        <v>671</v>
      </c>
      <c r="B673" s="1">
        <v>45687</v>
      </c>
      <c r="C673" t="s">
        <v>6</v>
      </c>
      <c r="D673">
        <v>13202</v>
      </c>
      <c r="E673" t="s">
        <v>7</v>
      </c>
      <c r="F673" t="s">
        <v>8</v>
      </c>
      <c r="G673">
        <f>MONTH(cleaned_personal_finance_data[[#This Row],[date]])</f>
        <v>1</v>
      </c>
      <c r="H673">
        <f>YEAR(cleaned_personal_finance_data[[#This Row],[date]])</f>
        <v>2025</v>
      </c>
      <c r="I673" t="s">
        <v>318</v>
      </c>
    </row>
  </sheetData>
  <sheetProtection algorithmName="SHA-512" hashValue="u6vxl02fLMDkLGYG2zUIO80Atw2cp6RyK0A8p6ng3u2PHAsOzSKeroo2Dn1V6vrjmn+rEpgH6BtwBomytxDpYg==" saltValue="Ul+NhN6gD1lkvZOj/fifuQ==" spinCount="100000" sheet="1" objects="1" scenarios="1" sort="0" autoFilter="0" pivotTables="0"/>
  <hyperlinks>
    <hyperlink ref="B1" location="Dashboard!A1" display="Dashboard" xr:uid="{A792A3FC-4CF2-48E8-9A88-E569E1DF8856}"/>
    <hyperlink ref="C1" location="Findings!A1" display="Findings" xr:uid="{C0B002BF-CAE0-47FE-81CA-779A7FA08C0C}"/>
    <hyperlink ref="D1" location="'Pivot &amp; derived tables'!A1" display="Pivot &amp; Derived Tables" xr:uid="{00126788-4AFA-4213-BB31-9207D2E8A8DB}"/>
    <hyperlink ref="E1" location="'Analysis &amp; Diagnostics'!A1" display="Analysis &amp; Diagnosis" xr:uid="{389C9EBF-3AAD-4B30-88BB-6148F977C0A3}"/>
    <hyperlink ref="F1" location="data_visualization!A1" display="Data Visualization" xr:uid="{2E648F49-0C04-4CA7-8240-C2CCCE299649}"/>
    <hyperlink ref="G1" location="cleaned_source_dataset!A1" display="Cleaned Data" xr:uid="{EC54B228-DDD4-4EC5-9997-54F4FE113C13}"/>
    <hyperlink ref="H1" location="personal_finance_data!A1" display="Raw Data Source" xr:uid="{49E96970-FB8B-4D06-B259-E8252ECCAA7D}"/>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2164F-CA44-4F36-90DC-751F13F8716D}">
  <dimension ref="A1:I673"/>
  <sheetViews>
    <sheetView workbookViewId="0">
      <pane ySplit="2" topLeftCell="A83" activePane="bottomLeft" state="frozen"/>
      <selection pane="bottomLeft" activeCell="F1" sqref="F1"/>
    </sheetView>
  </sheetViews>
  <sheetFormatPr defaultRowHeight="15" x14ac:dyDescent="0.25"/>
  <cols>
    <col min="1" max="1" width="15.5703125" customWidth="1"/>
    <col min="2" max="2" width="17.140625" customWidth="1"/>
    <col min="3" max="3" width="27.28515625" customWidth="1"/>
    <col min="4" max="4" width="18.42578125" customWidth="1"/>
    <col min="5" max="5" width="17.85546875" customWidth="1"/>
    <col min="6" max="6" width="18.28515625" bestFit="1" customWidth="1"/>
    <col min="7" max="7" width="17.28515625" customWidth="1"/>
    <col min="8" max="8" width="16.7109375" customWidth="1"/>
  </cols>
  <sheetData>
    <row r="1" spans="1:9" s="38" customFormat="1" ht="37.5" customHeight="1" x14ac:dyDescent="0.25">
      <c r="A1" s="39" t="s">
        <v>431</v>
      </c>
      <c r="B1" s="36" t="s">
        <v>432</v>
      </c>
      <c r="C1" s="36" t="s">
        <v>433</v>
      </c>
      <c r="D1" s="36" t="s">
        <v>434</v>
      </c>
      <c r="E1" s="36" t="s">
        <v>435</v>
      </c>
      <c r="F1" s="36" t="s">
        <v>436</v>
      </c>
      <c r="G1" s="36" t="s">
        <v>437</v>
      </c>
      <c r="H1" s="36" t="s">
        <v>438</v>
      </c>
      <c r="I1" s="37"/>
    </row>
    <row r="2" spans="1:9" x14ac:dyDescent="0.25">
      <c r="A2" t="s">
        <v>0</v>
      </c>
      <c r="B2" t="s">
        <v>1</v>
      </c>
      <c r="C2" t="s">
        <v>2</v>
      </c>
      <c r="D2" t="s">
        <v>3</v>
      </c>
      <c r="E2" t="s">
        <v>4</v>
      </c>
      <c r="F2" t="s">
        <v>5</v>
      </c>
    </row>
    <row r="3" spans="1:9" x14ac:dyDescent="0.25">
      <c r="A3">
        <v>1</v>
      </c>
      <c r="B3" s="1">
        <v>45183</v>
      </c>
      <c r="C3" t="s">
        <v>6</v>
      </c>
      <c r="D3">
        <v>17732</v>
      </c>
      <c r="E3" t="s">
        <v>7</v>
      </c>
      <c r="F3" t="s">
        <v>8</v>
      </c>
    </row>
    <row r="4" spans="1:9" x14ac:dyDescent="0.25">
      <c r="A4">
        <v>2</v>
      </c>
      <c r="B4" s="1">
        <v>45208</v>
      </c>
      <c r="C4" t="s">
        <v>6</v>
      </c>
      <c r="D4">
        <v>12754</v>
      </c>
      <c r="E4" t="s">
        <v>7</v>
      </c>
      <c r="F4" t="s">
        <v>8</v>
      </c>
    </row>
    <row r="5" spans="1:9" x14ac:dyDescent="0.25">
      <c r="A5">
        <v>3</v>
      </c>
      <c r="B5" s="1">
        <v>45214</v>
      </c>
      <c r="C5" t="s">
        <v>9</v>
      </c>
      <c r="D5">
        <v>26142</v>
      </c>
      <c r="E5" t="s">
        <v>10</v>
      </c>
      <c r="F5" t="s">
        <v>8</v>
      </c>
    </row>
    <row r="6" spans="1:9" x14ac:dyDescent="0.25">
      <c r="A6">
        <v>4</v>
      </c>
      <c r="B6" s="1">
        <v>45214</v>
      </c>
      <c r="C6" t="s">
        <v>11</v>
      </c>
      <c r="D6">
        <v>26142</v>
      </c>
      <c r="E6" t="s">
        <v>12</v>
      </c>
      <c r="F6" t="s">
        <v>13</v>
      </c>
    </row>
    <row r="7" spans="1:9" x14ac:dyDescent="0.25">
      <c r="A7">
        <v>5</v>
      </c>
      <c r="B7" s="1">
        <v>45230</v>
      </c>
      <c r="C7" t="s">
        <v>6</v>
      </c>
      <c r="D7">
        <v>12834</v>
      </c>
      <c r="E7" t="s">
        <v>7</v>
      </c>
      <c r="F7" t="s">
        <v>8</v>
      </c>
    </row>
    <row r="8" spans="1:9" x14ac:dyDescent="0.25">
      <c r="A8">
        <v>6</v>
      </c>
      <c r="B8" s="1">
        <v>45235</v>
      </c>
      <c r="C8" t="s">
        <v>14</v>
      </c>
      <c r="D8">
        <v>2550</v>
      </c>
      <c r="E8" t="s">
        <v>15</v>
      </c>
      <c r="F8" t="s">
        <v>13</v>
      </c>
    </row>
    <row r="9" spans="1:9" x14ac:dyDescent="0.25">
      <c r="A9">
        <v>7</v>
      </c>
      <c r="B9" s="1">
        <v>45235</v>
      </c>
      <c r="C9" t="s">
        <v>16</v>
      </c>
      <c r="D9">
        <v>5000</v>
      </c>
      <c r="E9" t="s">
        <v>15</v>
      </c>
      <c r="F9" t="s">
        <v>13</v>
      </c>
    </row>
    <row r="10" spans="1:9" x14ac:dyDescent="0.25">
      <c r="A10">
        <v>8</v>
      </c>
      <c r="B10" s="1">
        <v>45235</v>
      </c>
      <c r="C10" t="s">
        <v>17</v>
      </c>
      <c r="D10">
        <v>12560</v>
      </c>
      <c r="E10" t="s">
        <v>7</v>
      </c>
      <c r="F10" t="s">
        <v>13</v>
      </c>
    </row>
    <row r="11" spans="1:9" x14ac:dyDescent="0.25">
      <c r="A11">
        <v>9</v>
      </c>
      <c r="B11" s="1">
        <v>45235</v>
      </c>
      <c r="C11" t="s">
        <v>18</v>
      </c>
      <c r="D11">
        <v>56</v>
      </c>
      <c r="E11" t="s">
        <v>15</v>
      </c>
      <c r="F11" t="s">
        <v>13</v>
      </c>
    </row>
    <row r="12" spans="1:9" x14ac:dyDescent="0.25">
      <c r="A12">
        <v>10</v>
      </c>
      <c r="B12" s="1">
        <v>45235</v>
      </c>
      <c r="C12" t="s">
        <v>19</v>
      </c>
      <c r="D12">
        <v>30</v>
      </c>
      <c r="E12" t="s">
        <v>15</v>
      </c>
      <c r="F12" t="s">
        <v>13</v>
      </c>
    </row>
    <row r="13" spans="1:9" x14ac:dyDescent="0.25">
      <c r="A13">
        <v>11</v>
      </c>
      <c r="B13" s="1">
        <v>45235</v>
      </c>
      <c r="C13" t="s">
        <v>20</v>
      </c>
      <c r="D13">
        <v>2010</v>
      </c>
      <c r="E13" t="s">
        <v>10</v>
      </c>
      <c r="F13" t="s">
        <v>13</v>
      </c>
    </row>
    <row r="14" spans="1:9" x14ac:dyDescent="0.25">
      <c r="A14">
        <v>12</v>
      </c>
      <c r="B14" s="1">
        <v>45235</v>
      </c>
      <c r="C14" t="s">
        <v>20</v>
      </c>
      <c r="D14">
        <v>2010</v>
      </c>
      <c r="E14" t="s">
        <v>12</v>
      </c>
      <c r="F14" t="s">
        <v>21</v>
      </c>
    </row>
    <row r="15" spans="1:9" x14ac:dyDescent="0.25">
      <c r="A15">
        <v>13</v>
      </c>
      <c r="B15" s="1">
        <v>45235</v>
      </c>
      <c r="C15" t="s">
        <v>22</v>
      </c>
      <c r="D15">
        <v>1000</v>
      </c>
      <c r="E15" t="s">
        <v>15</v>
      </c>
      <c r="F15" t="s">
        <v>13</v>
      </c>
    </row>
    <row r="16" spans="1:9" x14ac:dyDescent="0.25">
      <c r="A16">
        <v>14</v>
      </c>
      <c r="B16" s="1">
        <v>45236</v>
      </c>
      <c r="C16" t="s">
        <v>23</v>
      </c>
      <c r="D16">
        <v>20</v>
      </c>
      <c r="E16" t="s">
        <v>15</v>
      </c>
      <c r="F16" t="s">
        <v>13</v>
      </c>
    </row>
    <row r="17" spans="1:6" x14ac:dyDescent="0.25">
      <c r="A17">
        <v>15</v>
      </c>
      <c r="B17" s="1">
        <v>45236</v>
      </c>
      <c r="C17" t="s">
        <v>24</v>
      </c>
      <c r="D17">
        <v>194</v>
      </c>
      <c r="E17" t="s">
        <v>15</v>
      </c>
      <c r="F17" t="s">
        <v>21</v>
      </c>
    </row>
    <row r="18" spans="1:6" x14ac:dyDescent="0.25">
      <c r="A18">
        <v>16</v>
      </c>
      <c r="B18" s="1">
        <v>45240</v>
      </c>
      <c r="C18" t="s">
        <v>25</v>
      </c>
      <c r="D18">
        <v>30</v>
      </c>
      <c r="E18" t="s">
        <v>15</v>
      </c>
      <c r="F18" t="s">
        <v>13</v>
      </c>
    </row>
    <row r="19" spans="1:6" x14ac:dyDescent="0.25">
      <c r="A19">
        <v>17</v>
      </c>
      <c r="B19" s="1">
        <v>45240</v>
      </c>
      <c r="C19" t="s">
        <v>26</v>
      </c>
      <c r="D19">
        <v>43</v>
      </c>
      <c r="E19" t="s">
        <v>15</v>
      </c>
      <c r="F19" t="s">
        <v>13</v>
      </c>
    </row>
    <row r="20" spans="1:6" x14ac:dyDescent="0.25">
      <c r="A20">
        <v>18</v>
      </c>
      <c r="B20" s="1">
        <v>45243</v>
      </c>
      <c r="C20" t="s">
        <v>27</v>
      </c>
      <c r="D20">
        <v>12</v>
      </c>
      <c r="E20" t="s">
        <v>15</v>
      </c>
      <c r="F20" t="s">
        <v>13</v>
      </c>
    </row>
    <row r="21" spans="1:6" x14ac:dyDescent="0.25">
      <c r="A21">
        <v>19</v>
      </c>
      <c r="B21" s="1">
        <v>45243</v>
      </c>
      <c r="C21" t="s">
        <v>28</v>
      </c>
      <c r="D21">
        <v>25</v>
      </c>
      <c r="E21" t="s">
        <v>15</v>
      </c>
      <c r="F21" t="s">
        <v>21</v>
      </c>
    </row>
    <row r="22" spans="1:6" x14ac:dyDescent="0.25">
      <c r="A22">
        <v>20</v>
      </c>
      <c r="B22" s="1">
        <v>45243</v>
      </c>
      <c r="C22" t="s">
        <v>28</v>
      </c>
      <c r="D22">
        <v>125</v>
      </c>
      <c r="E22" t="s">
        <v>15</v>
      </c>
      <c r="F22" t="s">
        <v>21</v>
      </c>
    </row>
    <row r="23" spans="1:6" x14ac:dyDescent="0.25">
      <c r="A23">
        <v>21</v>
      </c>
      <c r="B23" s="1">
        <v>45244</v>
      </c>
      <c r="C23" t="s">
        <v>29</v>
      </c>
      <c r="D23">
        <v>25</v>
      </c>
      <c r="E23" t="s">
        <v>15</v>
      </c>
      <c r="F23" t="s">
        <v>13</v>
      </c>
    </row>
    <row r="24" spans="1:6" x14ac:dyDescent="0.25">
      <c r="A24">
        <v>22</v>
      </c>
      <c r="B24" s="1">
        <v>45245</v>
      </c>
      <c r="C24" t="s">
        <v>28</v>
      </c>
      <c r="D24">
        <v>125</v>
      </c>
      <c r="E24" t="s">
        <v>15</v>
      </c>
      <c r="F24" t="s">
        <v>21</v>
      </c>
    </row>
    <row r="25" spans="1:6" x14ac:dyDescent="0.25">
      <c r="A25">
        <v>23</v>
      </c>
      <c r="B25" s="1">
        <v>45246</v>
      </c>
      <c r="C25" t="s">
        <v>29</v>
      </c>
      <c r="D25">
        <v>25</v>
      </c>
      <c r="E25" t="s">
        <v>15</v>
      </c>
      <c r="F25" t="s">
        <v>13</v>
      </c>
    </row>
    <row r="26" spans="1:6" x14ac:dyDescent="0.25">
      <c r="A26">
        <v>24</v>
      </c>
      <c r="B26" s="1">
        <v>45247</v>
      </c>
      <c r="C26" t="s">
        <v>30</v>
      </c>
      <c r="D26">
        <v>12</v>
      </c>
      <c r="E26" t="s">
        <v>15</v>
      </c>
      <c r="F26" t="s">
        <v>13</v>
      </c>
    </row>
    <row r="27" spans="1:6" x14ac:dyDescent="0.25">
      <c r="A27">
        <v>25</v>
      </c>
      <c r="B27" s="1">
        <v>45247</v>
      </c>
      <c r="C27" t="s">
        <v>29</v>
      </c>
      <c r="D27">
        <v>25</v>
      </c>
      <c r="E27" t="s">
        <v>15</v>
      </c>
      <c r="F27" t="s">
        <v>13</v>
      </c>
    </row>
    <row r="28" spans="1:6" x14ac:dyDescent="0.25">
      <c r="A28">
        <v>26</v>
      </c>
      <c r="B28" s="1">
        <v>45248</v>
      </c>
      <c r="C28" t="s">
        <v>31</v>
      </c>
      <c r="D28">
        <v>300</v>
      </c>
      <c r="E28" t="s">
        <v>15</v>
      </c>
      <c r="F28" t="s">
        <v>13</v>
      </c>
    </row>
    <row r="29" spans="1:6" x14ac:dyDescent="0.25">
      <c r="A29">
        <v>27</v>
      </c>
      <c r="B29" s="1">
        <v>45248</v>
      </c>
      <c r="C29" t="s">
        <v>32</v>
      </c>
      <c r="D29">
        <v>20</v>
      </c>
      <c r="E29" t="s">
        <v>15</v>
      </c>
      <c r="F29" t="s">
        <v>13</v>
      </c>
    </row>
    <row r="30" spans="1:6" x14ac:dyDescent="0.25">
      <c r="A30">
        <v>28</v>
      </c>
      <c r="B30" s="1">
        <v>45248</v>
      </c>
      <c r="C30" t="s">
        <v>33</v>
      </c>
      <c r="D30">
        <v>44732</v>
      </c>
      <c r="E30" t="s">
        <v>7</v>
      </c>
      <c r="F30" t="s">
        <v>8</v>
      </c>
    </row>
    <row r="31" spans="1:6" x14ac:dyDescent="0.25">
      <c r="A31">
        <v>29</v>
      </c>
      <c r="B31" s="1">
        <v>45246</v>
      </c>
      <c r="C31" t="s">
        <v>25</v>
      </c>
      <c r="D31">
        <v>30</v>
      </c>
      <c r="E31" t="s">
        <v>15</v>
      </c>
      <c r="F31" t="s">
        <v>13</v>
      </c>
    </row>
    <row r="32" spans="1:6" x14ac:dyDescent="0.25">
      <c r="A32">
        <v>30</v>
      </c>
      <c r="B32" s="1">
        <v>45252</v>
      </c>
      <c r="C32" t="s">
        <v>34</v>
      </c>
      <c r="D32">
        <v>129</v>
      </c>
      <c r="E32" t="s">
        <v>15</v>
      </c>
      <c r="F32" t="s">
        <v>21</v>
      </c>
    </row>
    <row r="33" spans="1:6" x14ac:dyDescent="0.25">
      <c r="A33">
        <v>31</v>
      </c>
      <c r="B33" s="1">
        <v>45252</v>
      </c>
      <c r="C33" t="s">
        <v>35</v>
      </c>
      <c r="D33">
        <v>280</v>
      </c>
      <c r="E33" t="s">
        <v>15</v>
      </c>
      <c r="F33" t="s">
        <v>21</v>
      </c>
    </row>
    <row r="34" spans="1:6" x14ac:dyDescent="0.25">
      <c r="A34">
        <v>32</v>
      </c>
      <c r="B34" s="1">
        <v>45253</v>
      </c>
      <c r="C34" t="s">
        <v>28</v>
      </c>
      <c r="D34">
        <v>125</v>
      </c>
      <c r="E34" t="s">
        <v>15</v>
      </c>
      <c r="F34" t="s">
        <v>21</v>
      </c>
    </row>
    <row r="35" spans="1:6" x14ac:dyDescent="0.25">
      <c r="A35">
        <v>33</v>
      </c>
      <c r="B35" s="1">
        <v>45260</v>
      </c>
      <c r="C35" t="s">
        <v>6</v>
      </c>
      <c r="D35">
        <v>12734</v>
      </c>
      <c r="E35" t="s">
        <v>7</v>
      </c>
      <c r="F35" t="s">
        <v>8</v>
      </c>
    </row>
    <row r="36" spans="1:6" x14ac:dyDescent="0.25">
      <c r="A36">
        <v>34</v>
      </c>
      <c r="B36" s="1">
        <v>45262</v>
      </c>
      <c r="C36" t="s">
        <v>28</v>
      </c>
      <c r="D36">
        <v>125</v>
      </c>
      <c r="E36" t="s">
        <v>15</v>
      </c>
      <c r="F36" t="s">
        <v>21</v>
      </c>
    </row>
    <row r="37" spans="1:6" x14ac:dyDescent="0.25">
      <c r="A37">
        <v>35</v>
      </c>
      <c r="B37" s="1">
        <v>45263</v>
      </c>
      <c r="C37" t="s">
        <v>36</v>
      </c>
      <c r="D37">
        <v>265</v>
      </c>
      <c r="E37" t="s">
        <v>15</v>
      </c>
      <c r="F37" t="s">
        <v>13</v>
      </c>
    </row>
    <row r="38" spans="1:6" x14ac:dyDescent="0.25">
      <c r="A38">
        <v>36</v>
      </c>
      <c r="B38" s="1">
        <v>45264</v>
      </c>
      <c r="C38" t="s">
        <v>37</v>
      </c>
      <c r="D38">
        <v>25</v>
      </c>
      <c r="E38" t="s">
        <v>15</v>
      </c>
      <c r="F38" t="s">
        <v>13</v>
      </c>
    </row>
    <row r="39" spans="1:6" x14ac:dyDescent="0.25">
      <c r="A39">
        <v>37</v>
      </c>
      <c r="B39" s="1">
        <v>45264</v>
      </c>
      <c r="C39" t="s">
        <v>38</v>
      </c>
      <c r="D39">
        <v>1500</v>
      </c>
      <c r="E39" t="s">
        <v>15</v>
      </c>
      <c r="F39" t="s">
        <v>13</v>
      </c>
    </row>
    <row r="40" spans="1:6" x14ac:dyDescent="0.25">
      <c r="A40">
        <v>38</v>
      </c>
      <c r="B40" s="1">
        <v>45266</v>
      </c>
      <c r="C40" t="s">
        <v>24</v>
      </c>
      <c r="D40">
        <v>239</v>
      </c>
      <c r="E40" t="s">
        <v>15</v>
      </c>
      <c r="F40" t="s">
        <v>21</v>
      </c>
    </row>
    <row r="41" spans="1:6" x14ac:dyDescent="0.25">
      <c r="A41">
        <v>39</v>
      </c>
      <c r="B41" s="1">
        <v>45267</v>
      </c>
      <c r="C41" t="s">
        <v>29</v>
      </c>
      <c r="D41">
        <v>25</v>
      </c>
      <c r="E41" t="s">
        <v>15</v>
      </c>
      <c r="F41" t="s">
        <v>13</v>
      </c>
    </row>
    <row r="42" spans="1:6" x14ac:dyDescent="0.25">
      <c r="A42">
        <v>40</v>
      </c>
      <c r="B42" s="1">
        <v>45268</v>
      </c>
      <c r="C42" t="s">
        <v>28</v>
      </c>
      <c r="D42">
        <v>125</v>
      </c>
      <c r="E42" t="s">
        <v>15</v>
      </c>
      <c r="F42" t="s">
        <v>21</v>
      </c>
    </row>
    <row r="43" spans="1:6" x14ac:dyDescent="0.25">
      <c r="A43">
        <v>41</v>
      </c>
      <c r="B43" s="1">
        <v>45269</v>
      </c>
      <c r="C43" t="s">
        <v>39</v>
      </c>
      <c r="D43">
        <v>30</v>
      </c>
      <c r="E43" t="s">
        <v>15</v>
      </c>
      <c r="F43" t="s">
        <v>13</v>
      </c>
    </row>
    <row r="44" spans="1:6" x14ac:dyDescent="0.25">
      <c r="A44">
        <v>42</v>
      </c>
      <c r="B44" s="1">
        <v>45269</v>
      </c>
      <c r="C44" t="s">
        <v>40</v>
      </c>
      <c r="D44">
        <v>45</v>
      </c>
      <c r="E44" t="s">
        <v>15</v>
      </c>
      <c r="F44" t="s">
        <v>13</v>
      </c>
    </row>
    <row r="45" spans="1:6" x14ac:dyDescent="0.25">
      <c r="A45">
        <v>43</v>
      </c>
      <c r="B45" s="1">
        <v>45269</v>
      </c>
      <c r="C45" t="s">
        <v>29</v>
      </c>
      <c r="D45">
        <v>30</v>
      </c>
      <c r="E45" t="s">
        <v>15</v>
      </c>
      <c r="F45" t="s">
        <v>13</v>
      </c>
    </row>
    <row r="46" spans="1:6" x14ac:dyDescent="0.25">
      <c r="A46">
        <v>44</v>
      </c>
      <c r="B46" s="1">
        <v>45269</v>
      </c>
      <c r="C46" t="s">
        <v>41</v>
      </c>
      <c r="D46">
        <v>20</v>
      </c>
      <c r="E46" t="s">
        <v>15</v>
      </c>
      <c r="F46" t="s">
        <v>13</v>
      </c>
    </row>
    <row r="47" spans="1:6" x14ac:dyDescent="0.25">
      <c r="A47">
        <v>45</v>
      </c>
      <c r="B47" s="1">
        <v>45269</v>
      </c>
      <c r="C47" t="s">
        <v>42</v>
      </c>
      <c r="D47">
        <v>40</v>
      </c>
      <c r="E47" t="s">
        <v>15</v>
      </c>
      <c r="F47" t="s">
        <v>13</v>
      </c>
    </row>
    <row r="48" spans="1:6" x14ac:dyDescent="0.25">
      <c r="A48">
        <v>46</v>
      </c>
      <c r="B48" s="1">
        <v>45269</v>
      </c>
      <c r="C48" t="s">
        <v>43</v>
      </c>
      <c r="D48">
        <v>90</v>
      </c>
      <c r="E48" t="s">
        <v>15</v>
      </c>
      <c r="F48" t="s">
        <v>13</v>
      </c>
    </row>
    <row r="49" spans="1:6" x14ac:dyDescent="0.25">
      <c r="A49">
        <v>47</v>
      </c>
      <c r="B49" s="1">
        <v>45269</v>
      </c>
      <c r="C49" t="s">
        <v>44</v>
      </c>
      <c r="D49">
        <v>13</v>
      </c>
      <c r="E49" t="s">
        <v>15</v>
      </c>
      <c r="F49" t="s">
        <v>13</v>
      </c>
    </row>
    <row r="50" spans="1:6" x14ac:dyDescent="0.25">
      <c r="A50">
        <v>48</v>
      </c>
      <c r="B50" s="1">
        <v>45270</v>
      </c>
      <c r="C50" t="s">
        <v>45</v>
      </c>
      <c r="D50">
        <v>5000</v>
      </c>
      <c r="E50" t="s">
        <v>15</v>
      </c>
      <c r="F50" t="s">
        <v>13</v>
      </c>
    </row>
    <row r="51" spans="1:6" x14ac:dyDescent="0.25">
      <c r="A51">
        <v>49</v>
      </c>
      <c r="B51" s="1">
        <v>45270</v>
      </c>
      <c r="C51" t="s">
        <v>46</v>
      </c>
      <c r="D51">
        <v>2100</v>
      </c>
      <c r="E51" t="s">
        <v>15</v>
      </c>
      <c r="F51" t="s">
        <v>13</v>
      </c>
    </row>
    <row r="52" spans="1:6" x14ac:dyDescent="0.25">
      <c r="A52">
        <v>50</v>
      </c>
      <c r="B52" s="1">
        <v>45271</v>
      </c>
      <c r="C52" t="s">
        <v>47</v>
      </c>
      <c r="D52">
        <v>25</v>
      </c>
      <c r="E52" t="s">
        <v>15</v>
      </c>
      <c r="F52" t="s">
        <v>13</v>
      </c>
    </row>
    <row r="53" spans="1:6" x14ac:dyDescent="0.25">
      <c r="A53">
        <v>51</v>
      </c>
      <c r="B53" s="1">
        <v>45271</v>
      </c>
      <c r="C53" t="s">
        <v>29</v>
      </c>
      <c r="D53">
        <v>30</v>
      </c>
      <c r="E53" t="s">
        <v>15</v>
      </c>
      <c r="F53" t="s">
        <v>13</v>
      </c>
    </row>
    <row r="54" spans="1:6" x14ac:dyDescent="0.25">
      <c r="A54">
        <v>52</v>
      </c>
      <c r="B54" s="1">
        <v>45271</v>
      </c>
      <c r="C54" t="s">
        <v>48</v>
      </c>
      <c r="D54">
        <v>544</v>
      </c>
      <c r="E54" t="s">
        <v>15</v>
      </c>
      <c r="F54" t="s">
        <v>13</v>
      </c>
    </row>
    <row r="55" spans="1:6" x14ac:dyDescent="0.25">
      <c r="A55">
        <v>53</v>
      </c>
      <c r="B55" s="1">
        <v>45273</v>
      </c>
      <c r="C55" t="s">
        <v>49</v>
      </c>
      <c r="D55">
        <v>50</v>
      </c>
      <c r="E55" t="s">
        <v>15</v>
      </c>
      <c r="F55" t="s">
        <v>13</v>
      </c>
    </row>
    <row r="56" spans="1:6" x14ac:dyDescent="0.25">
      <c r="A56">
        <v>54</v>
      </c>
      <c r="B56" s="1">
        <v>45273</v>
      </c>
      <c r="C56" t="s">
        <v>29</v>
      </c>
      <c r="D56">
        <v>20</v>
      </c>
      <c r="E56" t="s">
        <v>15</v>
      </c>
      <c r="F56" t="s">
        <v>13</v>
      </c>
    </row>
    <row r="57" spans="1:6" x14ac:dyDescent="0.25">
      <c r="A57">
        <v>55</v>
      </c>
      <c r="B57" s="1">
        <v>45274</v>
      </c>
      <c r="C57" t="s">
        <v>6</v>
      </c>
      <c r="D57">
        <v>12732</v>
      </c>
      <c r="E57" t="s">
        <v>7</v>
      </c>
      <c r="F57" t="s">
        <v>8</v>
      </c>
    </row>
    <row r="58" spans="1:6" x14ac:dyDescent="0.25">
      <c r="A58">
        <v>56</v>
      </c>
      <c r="B58" s="1">
        <v>45274</v>
      </c>
      <c r="C58" t="s">
        <v>20</v>
      </c>
      <c r="D58">
        <v>3000</v>
      </c>
      <c r="E58" t="s">
        <v>10</v>
      </c>
      <c r="F58" t="s">
        <v>21</v>
      </c>
    </row>
    <row r="59" spans="1:6" x14ac:dyDescent="0.25">
      <c r="A59">
        <v>57</v>
      </c>
      <c r="B59" s="1">
        <v>45274</v>
      </c>
      <c r="C59" t="s">
        <v>20</v>
      </c>
      <c r="D59">
        <v>3000</v>
      </c>
      <c r="E59" t="s">
        <v>12</v>
      </c>
      <c r="F59" t="s">
        <v>21</v>
      </c>
    </row>
    <row r="60" spans="1:6" x14ac:dyDescent="0.25">
      <c r="A60">
        <v>58</v>
      </c>
      <c r="B60" s="1">
        <v>45274</v>
      </c>
      <c r="C60" t="s">
        <v>50</v>
      </c>
      <c r="D60">
        <v>599</v>
      </c>
      <c r="E60" t="s">
        <v>15</v>
      </c>
      <c r="F60" t="s">
        <v>21</v>
      </c>
    </row>
    <row r="61" spans="1:6" x14ac:dyDescent="0.25">
      <c r="A61">
        <v>59</v>
      </c>
      <c r="B61" s="1">
        <v>45275</v>
      </c>
      <c r="C61" t="s">
        <v>51</v>
      </c>
      <c r="D61">
        <v>30</v>
      </c>
      <c r="E61" t="s">
        <v>15</v>
      </c>
      <c r="F61" t="s">
        <v>13</v>
      </c>
    </row>
    <row r="62" spans="1:6" x14ac:dyDescent="0.25">
      <c r="A62">
        <v>60</v>
      </c>
      <c r="B62" s="1">
        <v>45275</v>
      </c>
      <c r="C62" t="s">
        <v>52</v>
      </c>
      <c r="D62">
        <v>15</v>
      </c>
      <c r="E62" t="s">
        <v>15</v>
      </c>
      <c r="F62" t="s">
        <v>13</v>
      </c>
    </row>
    <row r="63" spans="1:6" x14ac:dyDescent="0.25">
      <c r="A63">
        <v>61</v>
      </c>
      <c r="B63" s="1">
        <v>45275</v>
      </c>
      <c r="C63" t="s">
        <v>53</v>
      </c>
      <c r="D63">
        <v>120</v>
      </c>
      <c r="E63" t="s">
        <v>15</v>
      </c>
      <c r="F63" t="s">
        <v>13</v>
      </c>
    </row>
    <row r="64" spans="1:6" x14ac:dyDescent="0.25">
      <c r="A64">
        <v>62</v>
      </c>
      <c r="B64" s="1">
        <v>45275</v>
      </c>
      <c r="C64" t="s">
        <v>54</v>
      </c>
      <c r="D64">
        <v>142</v>
      </c>
      <c r="E64" t="s">
        <v>15</v>
      </c>
      <c r="F64" t="s">
        <v>13</v>
      </c>
    </row>
    <row r="65" spans="1:6" x14ac:dyDescent="0.25">
      <c r="A65">
        <v>63</v>
      </c>
      <c r="B65" s="1">
        <v>45275</v>
      </c>
      <c r="C65" t="s">
        <v>9</v>
      </c>
      <c r="D65">
        <v>19036</v>
      </c>
      <c r="E65" t="s">
        <v>10</v>
      </c>
      <c r="F65" t="s">
        <v>8</v>
      </c>
    </row>
    <row r="66" spans="1:6" x14ac:dyDescent="0.25">
      <c r="A66">
        <v>64</v>
      </c>
      <c r="B66" s="1">
        <v>45275</v>
      </c>
      <c r="C66" t="s">
        <v>11</v>
      </c>
      <c r="D66">
        <v>19000</v>
      </c>
      <c r="E66" t="s">
        <v>12</v>
      </c>
      <c r="F66" t="s">
        <v>13</v>
      </c>
    </row>
    <row r="67" spans="1:6" x14ac:dyDescent="0.25">
      <c r="A67">
        <v>65</v>
      </c>
      <c r="B67" s="1">
        <v>45275</v>
      </c>
      <c r="C67" t="s">
        <v>55</v>
      </c>
      <c r="D67">
        <v>1500</v>
      </c>
      <c r="E67" t="s">
        <v>15</v>
      </c>
      <c r="F67" t="s">
        <v>13</v>
      </c>
    </row>
    <row r="68" spans="1:6" x14ac:dyDescent="0.25">
      <c r="A68">
        <v>66</v>
      </c>
      <c r="B68" s="1">
        <v>45275</v>
      </c>
      <c r="C68" t="s">
        <v>56</v>
      </c>
      <c r="D68">
        <v>3600</v>
      </c>
      <c r="E68" t="s">
        <v>15</v>
      </c>
      <c r="F68" t="s">
        <v>13</v>
      </c>
    </row>
    <row r="69" spans="1:6" x14ac:dyDescent="0.25">
      <c r="A69">
        <v>67</v>
      </c>
      <c r="B69" s="1">
        <v>45275</v>
      </c>
      <c r="C69" t="s">
        <v>57</v>
      </c>
      <c r="D69">
        <v>2900</v>
      </c>
      <c r="E69" t="s">
        <v>15</v>
      </c>
      <c r="F69" t="s">
        <v>13</v>
      </c>
    </row>
    <row r="70" spans="1:6" x14ac:dyDescent="0.25">
      <c r="A70">
        <v>68</v>
      </c>
      <c r="B70" s="1">
        <v>45275</v>
      </c>
      <c r="C70" t="s">
        <v>58</v>
      </c>
      <c r="D70">
        <v>599</v>
      </c>
      <c r="E70" t="s">
        <v>15</v>
      </c>
      <c r="F70" t="s">
        <v>13</v>
      </c>
    </row>
    <row r="71" spans="1:6" x14ac:dyDescent="0.25">
      <c r="A71">
        <v>69</v>
      </c>
      <c r="B71" s="1">
        <v>45275</v>
      </c>
      <c r="C71" t="s">
        <v>59</v>
      </c>
      <c r="D71">
        <v>20</v>
      </c>
      <c r="E71" t="s">
        <v>15</v>
      </c>
      <c r="F71" t="s">
        <v>13</v>
      </c>
    </row>
    <row r="72" spans="1:6" x14ac:dyDescent="0.25">
      <c r="A72">
        <v>70</v>
      </c>
      <c r="B72" s="1">
        <v>45275</v>
      </c>
      <c r="C72" t="s">
        <v>60</v>
      </c>
      <c r="D72">
        <v>60</v>
      </c>
      <c r="E72" t="s">
        <v>15</v>
      </c>
      <c r="F72" t="s">
        <v>13</v>
      </c>
    </row>
    <row r="73" spans="1:6" x14ac:dyDescent="0.25">
      <c r="A73">
        <v>71</v>
      </c>
      <c r="B73" s="1">
        <v>45275</v>
      </c>
      <c r="C73" t="s">
        <v>61</v>
      </c>
      <c r="D73">
        <v>120</v>
      </c>
      <c r="E73" t="s">
        <v>15</v>
      </c>
      <c r="F73" t="s">
        <v>13</v>
      </c>
    </row>
    <row r="74" spans="1:6" x14ac:dyDescent="0.25">
      <c r="A74">
        <v>72</v>
      </c>
      <c r="B74" s="1">
        <v>45275</v>
      </c>
      <c r="C74" t="s">
        <v>62</v>
      </c>
      <c r="D74">
        <v>150</v>
      </c>
      <c r="E74" t="s">
        <v>15</v>
      </c>
      <c r="F74" t="s">
        <v>13</v>
      </c>
    </row>
    <row r="75" spans="1:6" x14ac:dyDescent="0.25">
      <c r="A75">
        <v>73</v>
      </c>
      <c r="B75" s="1">
        <v>45278</v>
      </c>
      <c r="C75" t="s">
        <v>37</v>
      </c>
      <c r="D75">
        <v>25</v>
      </c>
      <c r="E75" t="s">
        <v>15</v>
      </c>
      <c r="F75" t="s">
        <v>13</v>
      </c>
    </row>
    <row r="76" spans="1:6" x14ac:dyDescent="0.25">
      <c r="A76">
        <v>74</v>
      </c>
      <c r="B76" s="1">
        <v>45278</v>
      </c>
      <c r="C76" t="s">
        <v>63</v>
      </c>
      <c r="D76">
        <v>30</v>
      </c>
      <c r="E76" t="s">
        <v>15</v>
      </c>
      <c r="F76" t="s">
        <v>13</v>
      </c>
    </row>
    <row r="77" spans="1:6" x14ac:dyDescent="0.25">
      <c r="A77">
        <v>75</v>
      </c>
      <c r="B77" s="1">
        <v>45278</v>
      </c>
      <c r="C77" t="s">
        <v>35</v>
      </c>
      <c r="D77">
        <v>280</v>
      </c>
      <c r="E77" t="s">
        <v>15</v>
      </c>
      <c r="F77" t="s">
        <v>21</v>
      </c>
    </row>
    <row r="78" spans="1:6" x14ac:dyDescent="0.25">
      <c r="A78">
        <v>76</v>
      </c>
      <c r="B78" s="1">
        <v>45279</v>
      </c>
      <c r="C78" t="s">
        <v>64</v>
      </c>
      <c r="D78">
        <v>199</v>
      </c>
      <c r="E78" t="s">
        <v>15</v>
      </c>
      <c r="F78" t="s">
        <v>21</v>
      </c>
    </row>
    <row r="79" spans="1:6" x14ac:dyDescent="0.25">
      <c r="A79">
        <v>77</v>
      </c>
      <c r="B79" s="1">
        <v>45281</v>
      </c>
      <c r="C79" t="s">
        <v>65</v>
      </c>
      <c r="D79">
        <v>768</v>
      </c>
      <c r="E79" t="s">
        <v>15</v>
      </c>
      <c r="F79" t="s">
        <v>21</v>
      </c>
    </row>
    <row r="80" spans="1:6" x14ac:dyDescent="0.25">
      <c r="A80">
        <v>78</v>
      </c>
      <c r="B80" s="1">
        <v>45282</v>
      </c>
      <c r="C80" t="s">
        <v>34</v>
      </c>
      <c r="D80">
        <v>129</v>
      </c>
      <c r="E80" t="s">
        <v>15</v>
      </c>
      <c r="F80" t="s">
        <v>21</v>
      </c>
    </row>
    <row r="81" spans="1:6" x14ac:dyDescent="0.25">
      <c r="A81">
        <v>79</v>
      </c>
      <c r="B81" s="1">
        <v>45283</v>
      </c>
      <c r="C81" t="s">
        <v>51</v>
      </c>
      <c r="D81">
        <v>30</v>
      </c>
      <c r="E81" t="s">
        <v>15</v>
      </c>
      <c r="F81" t="s">
        <v>13</v>
      </c>
    </row>
    <row r="82" spans="1:6" x14ac:dyDescent="0.25">
      <c r="A82">
        <v>80</v>
      </c>
      <c r="B82" s="1">
        <v>45283</v>
      </c>
      <c r="C82" t="s">
        <v>66</v>
      </c>
      <c r="D82">
        <v>10</v>
      </c>
      <c r="E82" t="s">
        <v>15</v>
      </c>
      <c r="F82" t="s">
        <v>13</v>
      </c>
    </row>
    <row r="83" spans="1:6" x14ac:dyDescent="0.25">
      <c r="A83">
        <v>81</v>
      </c>
      <c r="B83" s="1">
        <v>45283</v>
      </c>
      <c r="C83" t="s">
        <v>67</v>
      </c>
      <c r="D83">
        <v>15</v>
      </c>
      <c r="E83" t="s">
        <v>15</v>
      </c>
      <c r="F83" t="s">
        <v>13</v>
      </c>
    </row>
    <row r="84" spans="1:6" x14ac:dyDescent="0.25">
      <c r="A84">
        <v>82</v>
      </c>
      <c r="B84" s="1">
        <v>45283</v>
      </c>
      <c r="C84" t="s">
        <v>68</v>
      </c>
      <c r="D84">
        <v>50</v>
      </c>
      <c r="E84" t="s">
        <v>15</v>
      </c>
      <c r="F84" t="s">
        <v>13</v>
      </c>
    </row>
    <row r="85" spans="1:6" x14ac:dyDescent="0.25">
      <c r="A85">
        <v>83</v>
      </c>
      <c r="B85" s="1">
        <v>45283</v>
      </c>
      <c r="C85" t="s">
        <v>69</v>
      </c>
      <c r="D85">
        <v>50</v>
      </c>
      <c r="E85" t="s">
        <v>15</v>
      </c>
      <c r="F85" t="s">
        <v>13</v>
      </c>
    </row>
    <row r="86" spans="1:6" x14ac:dyDescent="0.25">
      <c r="A86">
        <v>84</v>
      </c>
      <c r="B86" s="1">
        <v>45283</v>
      </c>
      <c r="C86" t="s">
        <v>67</v>
      </c>
      <c r="D86">
        <v>20</v>
      </c>
      <c r="E86" t="s">
        <v>15</v>
      </c>
      <c r="F86" t="s">
        <v>13</v>
      </c>
    </row>
    <row r="87" spans="1:6" x14ac:dyDescent="0.25">
      <c r="A87">
        <v>85</v>
      </c>
      <c r="B87" s="1">
        <v>45283</v>
      </c>
      <c r="C87" t="s">
        <v>70</v>
      </c>
      <c r="D87">
        <v>10</v>
      </c>
      <c r="E87" t="s">
        <v>15</v>
      </c>
      <c r="F87" t="s">
        <v>13</v>
      </c>
    </row>
    <row r="88" spans="1:6" x14ac:dyDescent="0.25">
      <c r="A88">
        <v>86</v>
      </c>
      <c r="B88" s="1">
        <v>45283</v>
      </c>
      <c r="C88" t="s">
        <v>71</v>
      </c>
      <c r="D88">
        <v>18000</v>
      </c>
      <c r="E88" t="s">
        <v>7</v>
      </c>
      <c r="F88" t="s">
        <v>13</v>
      </c>
    </row>
    <row r="89" spans="1:6" x14ac:dyDescent="0.25">
      <c r="A89">
        <v>87</v>
      </c>
      <c r="B89" s="1">
        <v>45283</v>
      </c>
      <c r="C89" t="s">
        <v>72</v>
      </c>
      <c r="D89">
        <v>600</v>
      </c>
      <c r="E89" t="s">
        <v>15</v>
      </c>
      <c r="F89" t="s">
        <v>13</v>
      </c>
    </row>
    <row r="90" spans="1:6" x14ac:dyDescent="0.25">
      <c r="A90">
        <v>88</v>
      </c>
      <c r="B90" s="1">
        <v>45283</v>
      </c>
      <c r="C90" t="s">
        <v>73</v>
      </c>
      <c r="D90">
        <v>150</v>
      </c>
      <c r="E90" t="s">
        <v>15</v>
      </c>
      <c r="F90" t="s">
        <v>13</v>
      </c>
    </row>
    <row r="91" spans="1:6" x14ac:dyDescent="0.25">
      <c r="A91">
        <v>89</v>
      </c>
      <c r="B91" s="1">
        <v>45283</v>
      </c>
      <c r="C91" t="s">
        <v>74</v>
      </c>
      <c r="D91">
        <v>20</v>
      </c>
      <c r="E91" t="s">
        <v>15</v>
      </c>
      <c r="F91" t="s">
        <v>13</v>
      </c>
    </row>
    <row r="92" spans="1:6" x14ac:dyDescent="0.25">
      <c r="A92">
        <v>90</v>
      </c>
      <c r="B92" s="1">
        <v>45283</v>
      </c>
      <c r="C92" t="s">
        <v>67</v>
      </c>
      <c r="D92">
        <v>15</v>
      </c>
      <c r="E92" t="s">
        <v>15</v>
      </c>
      <c r="F92" t="s">
        <v>13</v>
      </c>
    </row>
    <row r="93" spans="1:6" x14ac:dyDescent="0.25">
      <c r="A93">
        <v>91</v>
      </c>
      <c r="B93" s="1">
        <v>45283</v>
      </c>
      <c r="C93" t="s">
        <v>75</v>
      </c>
      <c r="D93">
        <v>15</v>
      </c>
      <c r="E93" t="s">
        <v>15</v>
      </c>
      <c r="F93" t="s">
        <v>13</v>
      </c>
    </row>
    <row r="94" spans="1:6" x14ac:dyDescent="0.25">
      <c r="A94">
        <v>92</v>
      </c>
      <c r="B94" s="1">
        <v>45283</v>
      </c>
      <c r="C94" t="s">
        <v>76</v>
      </c>
      <c r="D94">
        <v>50</v>
      </c>
      <c r="E94" t="s">
        <v>15</v>
      </c>
      <c r="F94" t="s">
        <v>13</v>
      </c>
    </row>
    <row r="95" spans="1:6" x14ac:dyDescent="0.25">
      <c r="A95">
        <v>93</v>
      </c>
      <c r="B95" s="1">
        <v>45283</v>
      </c>
      <c r="C95" t="s">
        <v>77</v>
      </c>
      <c r="D95">
        <v>3000</v>
      </c>
      <c r="E95" t="s">
        <v>15</v>
      </c>
      <c r="F95" t="s">
        <v>13</v>
      </c>
    </row>
    <row r="96" spans="1:6" x14ac:dyDescent="0.25">
      <c r="A96">
        <v>94</v>
      </c>
      <c r="B96" s="1">
        <v>45284</v>
      </c>
      <c r="C96" t="s">
        <v>78</v>
      </c>
      <c r="D96">
        <v>400</v>
      </c>
      <c r="E96" t="s">
        <v>15</v>
      </c>
      <c r="F96" t="s">
        <v>13</v>
      </c>
    </row>
    <row r="97" spans="1:6" x14ac:dyDescent="0.25">
      <c r="A97">
        <v>95</v>
      </c>
      <c r="B97" s="1">
        <v>45284</v>
      </c>
      <c r="C97" t="s">
        <v>79</v>
      </c>
      <c r="D97">
        <v>100</v>
      </c>
      <c r="E97" t="s">
        <v>15</v>
      </c>
      <c r="F97" t="s">
        <v>13</v>
      </c>
    </row>
    <row r="98" spans="1:6" x14ac:dyDescent="0.25">
      <c r="A98">
        <v>96</v>
      </c>
      <c r="B98" s="1">
        <v>45285</v>
      </c>
      <c r="C98" t="s">
        <v>78</v>
      </c>
      <c r="D98">
        <v>100</v>
      </c>
      <c r="E98" t="s">
        <v>15</v>
      </c>
      <c r="F98" t="s">
        <v>13</v>
      </c>
    </row>
    <row r="99" spans="1:6" x14ac:dyDescent="0.25">
      <c r="A99">
        <v>97</v>
      </c>
      <c r="B99" s="1">
        <v>45286</v>
      </c>
      <c r="C99" t="s">
        <v>64</v>
      </c>
      <c r="D99">
        <v>199</v>
      </c>
      <c r="E99" t="s">
        <v>15</v>
      </c>
      <c r="F99" t="s">
        <v>21</v>
      </c>
    </row>
    <row r="100" spans="1:6" x14ac:dyDescent="0.25">
      <c r="A100">
        <v>98</v>
      </c>
      <c r="B100" s="1">
        <v>45288</v>
      </c>
      <c r="C100" t="s">
        <v>51</v>
      </c>
      <c r="D100">
        <v>30</v>
      </c>
      <c r="E100" t="s">
        <v>15</v>
      </c>
      <c r="F100" t="s">
        <v>13</v>
      </c>
    </row>
    <row r="101" spans="1:6" x14ac:dyDescent="0.25">
      <c r="A101">
        <v>99</v>
      </c>
      <c r="B101" s="1">
        <v>45288</v>
      </c>
      <c r="C101" t="s">
        <v>80</v>
      </c>
      <c r="D101">
        <v>120</v>
      </c>
      <c r="E101" t="s">
        <v>15</v>
      </c>
      <c r="F101" t="s">
        <v>13</v>
      </c>
    </row>
    <row r="102" spans="1:6" x14ac:dyDescent="0.25">
      <c r="A102">
        <v>100</v>
      </c>
      <c r="B102" s="1">
        <v>45288</v>
      </c>
      <c r="C102" t="s">
        <v>81</v>
      </c>
      <c r="D102">
        <v>1375</v>
      </c>
      <c r="E102" t="s">
        <v>15</v>
      </c>
      <c r="F102" t="s">
        <v>13</v>
      </c>
    </row>
    <row r="103" spans="1:6" x14ac:dyDescent="0.25">
      <c r="A103">
        <v>101</v>
      </c>
      <c r="B103" s="1">
        <v>45288</v>
      </c>
      <c r="C103" t="s">
        <v>82</v>
      </c>
      <c r="D103">
        <v>157</v>
      </c>
      <c r="E103" t="s">
        <v>15</v>
      </c>
      <c r="F103" t="s">
        <v>13</v>
      </c>
    </row>
    <row r="104" spans="1:6" x14ac:dyDescent="0.25">
      <c r="A104">
        <v>102</v>
      </c>
      <c r="B104" s="1">
        <v>45288</v>
      </c>
      <c r="C104" t="s">
        <v>83</v>
      </c>
      <c r="D104">
        <v>2600</v>
      </c>
      <c r="E104" t="s">
        <v>15</v>
      </c>
      <c r="F104" t="s">
        <v>13</v>
      </c>
    </row>
    <row r="105" spans="1:6" x14ac:dyDescent="0.25">
      <c r="A105">
        <v>103</v>
      </c>
      <c r="B105" s="1">
        <v>45288</v>
      </c>
      <c r="C105" t="s">
        <v>84</v>
      </c>
      <c r="D105">
        <v>500</v>
      </c>
      <c r="E105" t="s">
        <v>15</v>
      </c>
      <c r="F105" t="s">
        <v>13</v>
      </c>
    </row>
    <row r="106" spans="1:6" x14ac:dyDescent="0.25">
      <c r="A106">
        <v>104</v>
      </c>
      <c r="B106" s="1">
        <v>45288</v>
      </c>
      <c r="C106" t="s">
        <v>85</v>
      </c>
      <c r="D106">
        <v>500</v>
      </c>
      <c r="E106" t="s">
        <v>15</v>
      </c>
      <c r="F106" t="s">
        <v>13</v>
      </c>
    </row>
    <row r="107" spans="1:6" x14ac:dyDescent="0.25">
      <c r="A107">
        <v>105</v>
      </c>
      <c r="B107" s="1">
        <v>45288</v>
      </c>
      <c r="C107" t="s">
        <v>61</v>
      </c>
      <c r="D107">
        <v>120</v>
      </c>
      <c r="E107" t="s">
        <v>15</v>
      </c>
      <c r="F107" t="s">
        <v>13</v>
      </c>
    </row>
    <row r="108" spans="1:6" x14ac:dyDescent="0.25">
      <c r="A108">
        <v>106</v>
      </c>
      <c r="B108" s="1">
        <v>45288</v>
      </c>
      <c r="C108" t="s">
        <v>6</v>
      </c>
      <c r="D108">
        <v>12733</v>
      </c>
      <c r="E108" t="s">
        <v>7</v>
      </c>
      <c r="F108" t="s">
        <v>8</v>
      </c>
    </row>
    <row r="109" spans="1:6" x14ac:dyDescent="0.25">
      <c r="A109">
        <v>107</v>
      </c>
      <c r="B109" s="1">
        <v>45291</v>
      </c>
      <c r="C109" t="s">
        <v>86</v>
      </c>
      <c r="D109">
        <v>160</v>
      </c>
      <c r="E109" t="s">
        <v>15</v>
      </c>
      <c r="F109" t="s">
        <v>13</v>
      </c>
    </row>
    <row r="110" spans="1:6" x14ac:dyDescent="0.25">
      <c r="A110">
        <v>108</v>
      </c>
      <c r="B110" s="1">
        <v>45292</v>
      </c>
      <c r="C110" t="s">
        <v>87</v>
      </c>
      <c r="D110">
        <v>200</v>
      </c>
      <c r="E110" t="s">
        <v>15</v>
      </c>
      <c r="F110" t="s">
        <v>13</v>
      </c>
    </row>
    <row r="111" spans="1:6" x14ac:dyDescent="0.25">
      <c r="A111">
        <v>109</v>
      </c>
      <c r="B111" s="1">
        <v>45295</v>
      </c>
      <c r="C111" t="s">
        <v>88</v>
      </c>
      <c r="D111">
        <v>784</v>
      </c>
      <c r="E111" t="s">
        <v>12</v>
      </c>
      <c r="F111" t="s">
        <v>21</v>
      </c>
    </row>
    <row r="112" spans="1:6" x14ac:dyDescent="0.25">
      <c r="A112">
        <v>110</v>
      </c>
      <c r="B112" s="1">
        <v>45297</v>
      </c>
      <c r="C112" t="s">
        <v>24</v>
      </c>
      <c r="D112">
        <v>239</v>
      </c>
      <c r="E112" t="s">
        <v>15</v>
      </c>
      <c r="F112" t="s">
        <v>21</v>
      </c>
    </row>
    <row r="113" spans="1:6" x14ac:dyDescent="0.25">
      <c r="A113">
        <v>111</v>
      </c>
      <c r="B113" s="1">
        <v>45298</v>
      </c>
      <c r="C113" t="s">
        <v>28</v>
      </c>
      <c r="D113">
        <v>125</v>
      </c>
      <c r="E113" t="s">
        <v>15</v>
      </c>
      <c r="F113" t="s">
        <v>21</v>
      </c>
    </row>
    <row r="114" spans="1:6" x14ac:dyDescent="0.25">
      <c r="A114">
        <v>112</v>
      </c>
      <c r="B114" s="1">
        <v>45298</v>
      </c>
      <c r="C114" t="s">
        <v>28</v>
      </c>
      <c r="D114">
        <v>50</v>
      </c>
      <c r="E114" t="s">
        <v>15</v>
      </c>
      <c r="F114" t="s">
        <v>21</v>
      </c>
    </row>
    <row r="115" spans="1:6" x14ac:dyDescent="0.25">
      <c r="A115">
        <v>113</v>
      </c>
      <c r="B115" s="1">
        <v>45298</v>
      </c>
      <c r="C115" t="s">
        <v>89</v>
      </c>
      <c r="D115">
        <v>380</v>
      </c>
      <c r="E115" t="s">
        <v>12</v>
      </c>
      <c r="F115" t="s">
        <v>21</v>
      </c>
    </row>
    <row r="116" spans="1:6" x14ac:dyDescent="0.25">
      <c r="A116">
        <v>114</v>
      </c>
      <c r="B116" s="1">
        <v>45298</v>
      </c>
      <c r="C116" t="s">
        <v>90</v>
      </c>
      <c r="D116">
        <v>34</v>
      </c>
      <c r="E116" t="s">
        <v>15</v>
      </c>
      <c r="F116" t="s">
        <v>21</v>
      </c>
    </row>
    <row r="117" spans="1:6" x14ac:dyDescent="0.25">
      <c r="A117">
        <v>115</v>
      </c>
      <c r="B117" s="1">
        <v>45299</v>
      </c>
      <c r="C117" t="s">
        <v>91</v>
      </c>
      <c r="D117">
        <v>392</v>
      </c>
      <c r="E117" t="s">
        <v>15</v>
      </c>
      <c r="F117" t="s">
        <v>13</v>
      </c>
    </row>
    <row r="118" spans="1:6" x14ac:dyDescent="0.25">
      <c r="A118">
        <v>116</v>
      </c>
      <c r="B118" s="1">
        <v>45299</v>
      </c>
      <c r="C118" t="s">
        <v>92</v>
      </c>
      <c r="D118">
        <v>1176</v>
      </c>
      <c r="E118" t="s">
        <v>10</v>
      </c>
      <c r="F118" t="s">
        <v>13</v>
      </c>
    </row>
    <row r="119" spans="1:6" x14ac:dyDescent="0.25">
      <c r="A119">
        <v>117</v>
      </c>
      <c r="B119" s="1">
        <v>45299</v>
      </c>
      <c r="C119" t="s">
        <v>28</v>
      </c>
      <c r="D119">
        <v>25</v>
      </c>
      <c r="E119" t="s">
        <v>15</v>
      </c>
      <c r="F119" t="s">
        <v>21</v>
      </c>
    </row>
    <row r="120" spans="1:6" x14ac:dyDescent="0.25">
      <c r="A120">
        <v>118</v>
      </c>
      <c r="B120" s="1">
        <v>45300</v>
      </c>
      <c r="C120" t="s">
        <v>28</v>
      </c>
      <c r="D120">
        <v>50</v>
      </c>
      <c r="E120" t="s">
        <v>15</v>
      </c>
      <c r="F120" t="s">
        <v>21</v>
      </c>
    </row>
    <row r="121" spans="1:6" x14ac:dyDescent="0.25">
      <c r="A121">
        <v>119</v>
      </c>
      <c r="B121" s="1">
        <v>45300</v>
      </c>
      <c r="C121" t="s">
        <v>93</v>
      </c>
      <c r="D121">
        <v>50</v>
      </c>
      <c r="E121" t="s">
        <v>15</v>
      </c>
      <c r="F121" t="s">
        <v>13</v>
      </c>
    </row>
    <row r="122" spans="1:6" x14ac:dyDescent="0.25">
      <c r="A122">
        <v>120</v>
      </c>
      <c r="B122" s="1">
        <v>45300</v>
      </c>
      <c r="C122" t="s">
        <v>94</v>
      </c>
      <c r="D122">
        <v>123</v>
      </c>
      <c r="E122" t="s">
        <v>15</v>
      </c>
      <c r="F122" t="s">
        <v>13</v>
      </c>
    </row>
    <row r="123" spans="1:6" x14ac:dyDescent="0.25">
      <c r="A123">
        <v>121</v>
      </c>
      <c r="B123" s="1">
        <v>45300</v>
      </c>
      <c r="C123" t="s">
        <v>95</v>
      </c>
      <c r="D123">
        <v>173</v>
      </c>
      <c r="E123" t="s">
        <v>12</v>
      </c>
      <c r="F123" t="s">
        <v>21</v>
      </c>
    </row>
    <row r="124" spans="1:6" x14ac:dyDescent="0.25">
      <c r="A124">
        <v>122</v>
      </c>
      <c r="B124" s="1">
        <v>45300</v>
      </c>
      <c r="C124" t="s">
        <v>95</v>
      </c>
      <c r="D124">
        <v>173</v>
      </c>
      <c r="E124" t="s">
        <v>10</v>
      </c>
      <c r="F124" t="s">
        <v>21</v>
      </c>
    </row>
    <row r="125" spans="1:6" x14ac:dyDescent="0.25">
      <c r="A125">
        <v>123</v>
      </c>
      <c r="B125" s="1">
        <v>45303</v>
      </c>
      <c r="C125" t="s">
        <v>96</v>
      </c>
      <c r="D125">
        <v>930</v>
      </c>
      <c r="E125" t="s">
        <v>15</v>
      </c>
      <c r="F125" t="s">
        <v>13</v>
      </c>
    </row>
    <row r="126" spans="1:6" x14ac:dyDescent="0.25">
      <c r="A126">
        <v>124</v>
      </c>
      <c r="B126" s="1">
        <v>45303</v>
      </c>
      <c r="C126" t="s">
        <v>97</v>
      </c>
      <c r="D126">
        <v>1990</v>
      </c>
      <c r="E126" t="s">
        <v>15</v>
      </c>
      <c r="F126" t="s">
        <v>13</v>
      </c>
    </row>
    <row r="127" spans="1:6" x14ac:dyDescent="0.25">
      <c r="A127">
        <v>125</v>
      </c>
      <c r="B127" s="1">
        <v>45303</v>
      </c>
      <c r="C127" t="s">
        <v>98</v>
      </c>
      <c r="D127">
        <v>695</v>
      </c>
      <c r="E127" t="s">
        <v>15</v>
      </c>
      <c r="F127" t="s">
        <v>13</v>
      </c>
    </row>
    <row r="128" spans="1:6" x14ac:dyDescent="0.25">
      <c r="A128">
        <v>126</v>
      </c>
      <c r="B128" s="1">
        <v>45303</v>
      </c>
      <c r="C128" t="s">
        <v>99</v>
      </c>
      <c r="D128">
        <v>77</v>
      </c>
      <c r="E128" t="s">
        <v>15</v>
      </c>
      <c r="F128" t="s">
        <v>13</v>
      </c>
    </row>
    <row r="129" spans="1:6" x14ac:dyDescent="0.25">
      <c r="A129">
        <v>127</v>
      </c>
      <c r="B129" s="1">
        <v>45303</v>
      </c>
      <c r="C129" t="s">
        <v>85</v>
      </c>
      <c r="D129">
        <v>300</v>
      </c>
      <c r="E129" t="s">
        <v>15</v>
      </c>
      <c r="F129" t="s">
        <v>13</v>
      </c>
    </row>
    <row r="130" spans="1:6" x14ac:dyDescent="0.25">
      <c r="A130">
        <v>128</v>
      </c>
      <c r="B130" s="1">
        <v>45303</v>
      </c>
      <c r="C130" t="s">
        <v>100</v>
      </c>
      <c r="D130">
        <v>10</v>
      </c>
      <c r="E130" t="s">
        <v>15</v>
      </c>
      <c r="F130" t="s">
        <v>13</v>
      </c>
    </row>
    <row r="131" spans="1:6" x14ac:dyDescent="0.25">
      <c r="A131">
        <v>129</v>
      </c>
      <c r="B131" s="1">
        <v>45303</v>
      </c>
      <c r="C131" t="s">
        <v>101</v>
      </c>
      <c r="D131">
        <v>600</v>
      </c>
      <c r="E131" t="s">
        <v>15</v>
      </c>
      <c r="F131" t="s">
        <v>13</v>
      </c>
    </row>
    <row r="132" spans="1:6" x14ac:dyDescent="0.25">
      <c r="A132">
        <v>130</v>
      </c>
      <c r="B132" s="1">
        <v>45303</v>
      </c>
      <c r="C132" t="s">
        <v>102</v>
      </c>
      <c r="D132">
        <v>1050</v>
      </c>
      <c r="E132" t="s">
        <v>15</v>
      </c>
      <c r="F132" t="s">
        <v>13</v>
      </c>
    </row>
    <row r="133" spans="1:6" x14ac:dyDescent="0.25">
      <c r="A133">
        <v>131</v>
      </c>
      <c r="B133" s="1">
        <v>45303</v>
      </c>
      <c r="C133" t="s">
        <v>35</v>
      </c>
      <c r="D133">
        <v>280</v>
      </c>
      <c r="E133" t="s">
        <v>15</v>
      </c>
      <c r="F133" t="s">
        <v>21</v>
      </c>
    </row>
    <row r="134" spans="1:6" x14ac:dyDescent="0.25">
      <c r="A134">
        <v>132</v>
      </c>
      <c r="B134" s="1">
        <v>45305</v>
      </c>
      <c r="C134" t="s">
        <v>103</v>
      </c>
      <c r="D134">
        <v>260</v>
      </c>
      <c r="E134" t="s">
        <v>15</v>
      </c>
      <c r="F134" t="s">
        <v>13</v>
      </c>
    </row>
    <row r="135" spans="1:6" x14ac:dyDescent="0.25">
      <c r="A135">
        <v>133</v>
      </c>
      <c r="B135" s="1">
        <v>45305</v>
      </c>
      <c r="C135" t="s">
        <v>6</v>
      </c>
      <c r="D135">
        <v>12732</v>
      </c>
      <c r="E135" t="s">
        <v>7</v>
      </c>
      <c r="F135" t="s">
        <v>8</v>
      </c>
    </row>
    <row r="136" spans="1:6" x14ac:dyDescent="0.25">
      <c r="A136">
        <v>134</v>
      </c>
      <c r="B136" s="1">
        <v>45306</v>
      </c>
      <c r="C136" t="s">
        <v>104</v>
      </c>
      <c r="D136">
        <v>300</v>
      </c>
      <c r="E136" t="s">
        <v>15</v>
      </c>
      <c r="F136" t="s">
        <v>13</v>
      </c>
    </row>
    <row r="137" spans="1:6" x14ac:dyDescent="0.25">
      <c r="A137">
        <v>135</v>
      </c>
      <c r="B137" s="1">
        <v>45306</v>
      </c>
      <c r="C137" t="s">
        <v>28</v>
      </c>
      <c r="D137">
        <v>125</v>
      </c>
      <c r="E137" t="s">
        <v>15</v>
      </c>
      <c r="F137" t="s">
        <v>21</v>
      </c>
    </row>
    <row r="138" spans="1:6" x14ac:dyDescent="0.25">
      <c r="A138">
        <v>136</v>
      </c>
      <c r="B138" s="1">
        <v>45308</v>
      </c>
      <c r="C138" t="s">
        <v>87</v>
      </c>
      <c r="D138">
        <v>200</v>
      </c>
      <c r="E138" t="s">
        <v>15</v>
      </c>
      <c r="F138" t="s">
        <v>13</v>
      </c>
    </row>
    <row r="139" spans="1:6" x14ac:dyDescent="0.25">
      <c r="A139">
        <v>137</v>
      </c>
      <c r="B139" s="1">
        <v>45309</v>
      </c>
      <c r="C139" t="s">
        <v>28</v>
      </c>
      <c r="D139">
        <v>125</v>
      </c>
      <c r="E139" t="s">
        <v>15</v>
      </c>
      <c r="F139" t="s">
        <v>21</v>
      </c>
    </row>
    <row r="140" spans="1:6" x14ac:dyDescent="0.25">
      <c r="A140">
        <v>138</v>
      </c>
      <c r="B140" s="1">
        <v>45310</v>
      </c>
      <c r="C140" t="s">
        <v>28</v>
      </c>
      <c r="D140">
        <v>125</v>
      </c>
      <c r="E140" t="s">
        <v>15</v>
      </c>
      <c r="F140" t="s">
        <v>21</v>
      </c>
    </row>
    <row r="141" spans="1:6" x14ac:dyDescent="0.25">
      <c r="A141">
        <v>139</v>
      </c>
      <c r="B141" s="1">
        <v>45311</v>
      </c>
      <c r="C141" t="s">
        <v>28</v>
      </c>
      <c r="D141">
        <v>125</v>
      </c>
      <c r="E141" t="s">
        <v>15</v>
      </c>
      <c r="F141" t="s">
        <v>21</v>
      </c>
    </row>
    <row r="142" spans="1:6" x14ac:dyDescent="0.25">
      <c r="A142">
        <v>140</v>
      </c>
      <c r="B142" s="1">
        <v>45312</v>
      </c>
      <c r="C142" t="s">
        <v>28</v>
      </c>
      <c r="D142">
        <v>125</v>
      </c>
      <c r="E142" t="s">
        <v>15</v>
      </c>
      <c r="F142" t="s">
        <v>21</v>
      </c>
    </row>
    <row r="143" spans="1:6" x14ac:dyDescent="0.25">
      <c r="A143">
        <v>141</v>
      </c>
      <c r="B143" s="1">
        <v>45313</v>
      </c>
      <c r="C143" t="s">
        <v>34</v>
      </c>
      <c r="D143">
        <v>129</v>
      </c>
      <c r="E143" t="s">
        <v>15</v>
      </c>
      <c r="F143" t="s">
        <v>21</v>
      </c>
    </row>
    <row r="144" spans="1:6" x14ac:dyDescent="0.25">
      <c r="A144">
        <v>142</v>
      </c>
      <c r="B144" s="1">
        <v>45313</v>
      </c>
      <c r="C144" t="s">
        <v>105</v>
      </c>
      <c r="D144">
        <v>50</v>
      </c>
      <c r="E144" t="s">
        <v>15</v>
      </c>
      <c r="F144" t="s">
        <v>13</v>
      </c>
    </row>
    <row r="145" spans="1:6" x14ac:dyDescent="0.25">
      <c r="A145">
        <v>143</v>
      </c>
      <c r="B145" s="1">
        <v>45315</v>
      </c>
      <c r="C145" t="s">
        <v>28</v>
      </c>
      <c r="D145">
        <v>125</v>
      </c>
      <c r="E145" t="s">
        <v>15</v>
      </c>
      <c r="F145" t="s">
        <v>21</v>
      </c>
    </row>
    <row r="146" spans="1:6" x14ac:dyDescent="0.25">
      <c r="A146">
        <v>144</v>
      </c>
      <c r="B146" s="1">
        <v>45315</v>
      </c>
      <c r="C146" t="s">
        <v>28</v>
      </c>
      <c r="D146">
        <v>25</v>
      </c>
      <c r="E146" t="s">
        <v>15</v>
      </c>
      <c r="F146" t="s">
        <v>21</v>
      </c>
    </row>
    <row r="147" spans="1:6" x14ac:dyDescent="0.25">
      <c r="A147">
        <v>145</v>
      </c>
      <c r="B147" s="1">
        <v>45316</v>
      </c>
      <c r="C147" t="s">
        <v>28</v>
      </c>
      <c r="D147">
        <v>125</v>
      </c>
      <c r="E147" t="s">
        <v>15</v>
      </c>
      <c r="F147" t="s">
        <v>21</v>
      </c>
    </row>
    <row r="148" spans="1:6" x14ac:dyDescent="0.25">
      <c r="A148">
        <v>146</v>
      </c>
      <c r="B148" s="1">
        <v>45319</v>
      </c>
      <c r="C148" t="s">
        <v>6</v>
      </c>
      <c r="D148">
        <v>12734</v>
      </c>
      <c r="E148" t="s">
        <v>7</v>
      </c>
      <c r="F148" t="s">
        <v>8</v>
      </c>
    </row>
    <row r="149" spans="1:6" x14ac:dyDescent="0.25">
      <c r="A149">
        <v>147</v>
      </c>
      <c r="B149" s="1">
        <v>45320</v>
      </c>
      <c r="C149" t="s">
        <v>51</v>
      </c>
      <c r="D149">
        <v>30</v>
      </c>
      <c r="E149" t="s">
        <v>15</v>
      </c>
      <c r="F149" t="s">
        <v>13</v>
      </c>
    </row>
    <row r="150" spans="1:6" x14ac:dyDescent="0.25">
      <c r="A150">
        <v>148</v>
      </c>
      <c r="B150" s="1">
        <v>45320</v>
      </c>
      <c r="C150" t="s">
        <v>54</v>
      </c>
      <c r="D150">
        <v>45</v>
      </c>
      <c r="E150" t="s">
        <v>15</v>
      </c>
      <c r="F150" t="s">
        <v>13</v>
      </c>
    </row>
    <row r="151" spans="1:6" x14ac:dyDescent="0.25">
      <c r="A151">
        <v>149</v>
      </c>
      <c r="B151" s="1">
        <v>45320</v>
      </c>
      <c r="C151" t="s">
        <v>106</v>
      </c>
      <c r="D151">
        <v>85</v>
      </c>
      <c r="E151" t="s">
        <v>15</v>
      </c>
      <c r="F151" t="s">
        <v>13</v>
      </c>
    </row>
    <row r="152" spans="1:6" x14ac:dyDescent="0.25">
      <c r="A152">
        <v>150</v>
      </c>
      <c r="B152" s="1">
        <v>45320</v>
      </c>
      <c r="C152" t="s">
        <v>107</v>
      </c>
      <c r="D152">
        <v>35</v>
      </c>
      <c r="E152" t="s">
        <v>15</v>
      </c>
      <c r="F152" t="s">
        <v>13</v>
      </c>
    </row>
    <row r="153" spans="1:6" x14ac:dyDescent="0.25">
      <c r="A153">
        <v>151</v>
      </c>
      <c r="B153" s="1">
        <v>45320</v>
      </c>
      <c r="C153" t="s">
        <v>76</v>
      </c>
      <c r="D153">
        <v>30</v>
      </c>
      <c r="E153" t="s">
        <v>15</v>
      </c>
      <c r="F153" t="s">
        <v>13</v>
      </c>
    </row>
    <row r="154" spans="1:6" x14ac:dyDescent="0.25">
      <c r="A154">
        <v>152</v>
      </c>
      <c r="B154" s="1">
        <v>45321</v>
      </c>
      <c r="C154" t="s">
        <v>51</v>
      </c>
      <c r="D154">
        <v>30</v>
      </c>
      <c r="E154" t="s">
        <v>15</v>
      </c>
      <c r="F154" t="s">
        <v>13</v>
      </c>
    </row>
    <row r="155" spans="1:6" x14ac:dyDescent="0.25">
      <c r="A155">
        <v>153</v>
      </c>
      <c r="B155" s="1">
        <v>45321</v>
      </c>
      <c r="C155" t="s">
        <v>54</v>
      </c>
      <c r="D155">
        <v>45</v>
      </c>
      <c r="E155" t="s">
        <v>15</v>
      </c>
      <c r="F155" t="s">
        <v>13</v>
      </c>
    </row>
    <row r="156" spans="1:6" x14ac:dyDescent="0.25">
      <c r="A156">
        <v>154</v>
      </c>
      <c r="B156" s="1">
        <v>45321</v>
      </c>
      <c r="C156" t="s">
        <v>108</v>
      </c>
      <c r="D156">
        <v>15</v>
      </c>
      <c r="E156" t="s">
        <v>15</v>
      </c>
      <c r="F156" t="s">
        <v>13</v>
      </c>
    </row>
    <row r="157" spans="1:6" x14ac:dyDescent="0.25">
      <c r="A157">
        <v>155</v>
      </c>
      <c r="B157" s="1">
        <v>45321</v>
      </c>
      <c r="C157" t="s">
        <v>106</v>
      </c>
      <c r="D157">
        <v>58</v>
      </c>
      <c r="E157" t="s">
        <v>15</v>
      </c>
      <c r="F157" t="s">
        <v>13</v>
      </c>
    </row>
    <row r="158" spans="1:6" x14ac:dyDescent="0.25">
      <c r="A158">
        <v>156</v>
      </c>
      <c r="B158" s="1">
        <v>45321</v>
      </c>
      <c r="C158" t="s">
        <v>29</v>
      </c>
      <c r="D158">
        <v>15</v>
      </c>
      <c r="E158" t="s">
        <v>15</v>
      </c>
      <c r="F158" t="s">
        <v>13</v>
      </c>
    </row>
    <row r="159" spans="1:6" x14ac:dyDescent="0.25">
      <c r="A159">
        <v>157</v>
      </c>
      <c r="B159" s="1">
        <v>45321</v>
      </c>
      <c r="C159" t="s">
        <v>107</v>
      </c>
      <c r="D159">
        <v>20</v>
      </c>
      <c r="E159" t="s">
        <v>15</v>
      </c>
      <c r="F159" t="s">
        <v>13</v>
      </c>
    </row>
    <row r="160" spans="1:6" x14ac:dyDescent="0.25">
      <c r="A160">
        <v>158</v>
      </c>
      <c r="B160" s="1">
        <v>45321</v>
      </c>
      <c r="C160" t="s">
        <v>109</v>
      </c>
      <c r="D160">
        <v>30</v>
      </c>
      <c r="E160" t="s">
        <v>15</v>
      </c>
      <c r="F160" t="s">
        <v>13</v>
      </c>
    </row>
    <row r="161" spans="1:6" x14ac:dyDescent="0.25">
      <c r="A161">
        <v>159</v>
      </c>
      <c r="B161" s="1">
        <v>45322</v>
      </c>
      <c r="C161" t="s">
        <v>29</v>
      </c>
      <c r="D161">
        <v>25</v>
      </c>
      <c r="E161" t="s">
        <v>15</v>
      </c>
      <c r="F161" t="s">
        <v>13</v>
      </c>
    </row>
    <row r="162" spans="1:6" x14ac:dyDescent="0.25">
      <c r="A162">
        <v>160</v>
      </c>
      <c r="B162" s="1">
        <v>45322</v>
      </c>
      <c r="C162" t="s">
        <v>28</v>
      </c>
      <c r="D162">
        <v>125</v>
      </c>
      <c r="E162" t="s">
        <v>15</v>
      </c>
      <c r="F162" t="s">
        <v>21</v>
      </c>
    </row>
    <row r="163" spans="1:6" x14ac:dyDescent="0.25">
      <c r="A163">
        <v>161</v>
      </c>
      <c r="B163" s="1">
        <v>45323</v>
      </c>
      <c r="C163" t="s">
        <v>28</v>
      </c>
      <c r="D163">
        <v>125</v>
      </c>
      <c r="E163" t="s">
        <v>15</v>
      </c>
      <c r="F163" t="s">
        <v>21</v>
      </c>
    </row>
    <row r="164" spans="1:6" x14ac:dyDescent="0.25">
      <c r="A164">
        <v>162</v>
      </c>
      <c r="B164" s="1">
        <v>45323</v>
      </c>
      <c r="C164" t="s">
        <v>50</v>
      </c>
      <c r="D164">
        <v>599</v>
      </c>
      <c r="E164" t="s">
        <v>15</v>
      </c>
      <c r="F164" t="s">
        <v>21</v>
      </c>
    </row>
    <row r="165" spans="1:6" x14ac:dyDescent="0.25">
      <c r="A165">
        <v>163</v>
      </c>
      <c r="B165" s="1">
        <v>45323</v>
      </c>
      <c r="C165" t="s">
        <v>28</v>
      </c>
      <c r="D165">
        <v>50</v>
      </c>
      <c r="E165" t="s">
        <v>15</v>
      </c>
      <c r="F165" t="s">
        <v>21</v>
      </c>
    </row>
    <row r="166" spans="1:6" x14ac:dyDescent="0.25">
      <c r="A166">
        <v>164</v>
      </c>
      <c r="B166" s="1">
        <v>45323</v>
      </c>
      <c r="C166" t="s">
        <v>28</v>
      </c>
      <c r="D166">
        <v>50</v>
      </c>
      <c r="E166" t="s">
        <v>15</v>
      </c>
      <c r="F166" t="s">
        <v>21</v>
      </c>
    </row>
    <row r="167" spans="1:6" x14ac:dyDescent="0.25">
      <c r="A167">
        <v>165</v>
      </c>
      <c r="B167" s="1">
        <v>45325</v>
      </c>
      <c r="C167" t="s">
        <v>51</v>
      </c>
      <c r="D167">
        <v>30</v>
      </c>
      <c r="E167" t="s">
        <v>15</v>
      </c>
      <c r="F167" t="s">
        <v>13</v>
      </c>
    </row>
    <row r="168" spans="1:6" x14ac:dyDescent="0.25">
      <c r="A168">
        <v>166</v>
      </c>
      <c r="B168" s="1">
        <v>45325</v>
      </c>
      <c r="C168" t="s">
        <v>54</v>
      </c>
      <c r="D168">
        <v>45</v>
      </c>
      <c r="E168" t="s">
        <v>15</v>
      </c>
      <c r="F168" t="s">
        <v>13</v>
      </c>
    </row>
    <row r="169" spans="1:6" x14ac:dyDescent="0.25">
      <c r="A169">
        <v>167</v>
      </c>
      <c r="B169" s="1">
        <v>45325</v>
      </c>
      <c r="C169" t="s">
        <v>66</v>
      </c>
      <c r="D169">
        <v>10</v>
      </c>
      <c r="E169" t="s">
        <v>15</v>
      </c>
      <c r="F169" t="s">
        <v>13</v>
      </c>
    </row>
    <row r="170" spans="1:6" x14ac:dyDescent="0.25">
      <c r="A170">
        <v>168</v>
      </c>
      <c r="B170" s="1">
        <v>45325</v>
      </c>
      <c r="C170" t="s">
        <v>106</v>
      </c>
      <c r="D170">
        <v>40</v>
      </c>
      <c r="E170" t="s">
        <v>15</v>
      </c>
      <c r="F170" t="s">
        <v>13</v>
      </c>
    </row>
    <row r="171" spans="1:6" x14ac:dyDescent="0.25">
      <c r="A171">
        <v>169</v>
      </c>
      <c r="B171" s="1">
        <v>45325</v>
      </c>
      <c r="C171" t="s">
        <v>76</v>
      </c>
      <c r="D171">
        <v>50</v>
      </c>
      <c r="E171" t="s">
        <v>15</v>
      </c>
      <c r="F171" t="s">
        <v>13</v>
      </c>
    </row>
    <row r="172" spans="1:6" x14ac:dyDescent="0.25">
      <c r="A172">
        <v>170</v>
      </c>
      <c r="B172" s="1">
        <v>45325</v>
      </c>
      <c r="C172" t="s">
        <v>78</v>
      </c>
      <c r="D172">
        <v>200</v>
      </c>
      <c r="E172" t="s">
        <v>15</v>
      </c>
      <c r="F172" t="s">
        <v>13</v>
      </c>
    </row>
    <row r="173" spans="1:6" x14ac:dyDescent="0.25">
      <c r="A173">
        <v>171</v>
      </c>
      <c r="B173" s="1">
        <v>45328</v>
      </c>
      <c r="C173" t="s">
        <v>38</v>
      </c>
      <c r="D173">
        <v>1500</v>
      </c>
      <c r="E173" t="s">
        <v>15</v>
      </c>
      <c r="F173" t="s">
        <v>13</v>
      </c>
    </row>
    <row r="174" spans="1:6" x14ac:dyDescent="0.25">
      <c r="A174">
        <v>172</v>
      </c>
      <c r="B174" s="1">
        <v>45329</v>
      </c>
      <c r="C174" t="s">
        <v>51</v>
      </c>
      <c r="D174">
        <v>30</v>
      </c>
      <c r="E174" t="s">
        <v>15</v>
      </c>
      <c r="F174" t="s">
        <v>13</v>
      </c>
    </row>
    <row r="175" spans="1:6" x14ac:dyDescent="0.25">
      <c r="A175">
        <v>173</v>
      </c>
      <c r="B175" s="1">
        <v>45329</v>
      </c>
      <c r="C175" t="s">
        <v>54</v>
      </c>
      <c r="D175">
        <v>45</v>
      </c>
      <c r="E175" t="s">
        <v>15</v>
      </c>
      <c r="F175" t="s">
        <v>13</v>
      </c>
    </row>
    <row r="176" spans="1:6" x14ac:dyDescent="0.25">
      <c r="A176">
        <v>174</v>
      </c>
      <c r="B176" s="1">
        <v>45329</v>
      </c>
      <c r="C176" t="s">
        <v>110</v>
      </c>
      <c r="D176">
        <v>120</v>
      </c>
      <c r="E176" t="s">
        <v>15</v>
      </c>
      <c r="F176" t="s">
        <v>13</v>
      </c>
    </row>
    <row r="177" spans="1:6" x14ac:dyDescent="0.25">
      <c r="A177">
        <v>175</v>
      </c>
      <c r="B177" s="1">
        <v>45329</v>
      </c>
      <c r="C177" t="s">
        <v>111</v>
      </c>
      <c r="D177">
        <v>1099</v>
      </c>
      <c r="E177" t="s">
        <v>15</v>
      </c>
      <c r="F177" t="s">
        <v>8</v>
      </c>
    </row>
    <row r="178" spans="1:6" x14ac:dyDescent="0.25">
      <c r="A178">
        <v>176</v>
      </c>
      <c r="B178" s="1">
        <v>45329</v>
      </c>
      <c r="C178" t="s">
        <v>112</v>
      </c>
      <c r="D178">
        <v>837</v>
      </c>
      <c r="E178" t="s">
        <v>15</v>
      </c>
      <c r="F178" t="s">
        <v>8</v>
      </c>
    </row>
    <row r="179" spans="1:6" x14ac:dyDescent="0.25">
      <c r="A179">
        <v>177</v>
      </c>
      <c r="B179" s="1">
        <v>45329</v>
      </c>
      <c r="C179" t="s">
        <v>113</v>
      </c>
      <c r="D179">
        <v>75</v>
      </c>
      <c r="E179" t="s">
        <v>15</v>
      </c>
      <c r="F179" t="s">
        <v>13</v>
      </c>
    </row>
    <row r="180" spans="1:6" x14ac:dyDescent="0.25">
      <c r="A180">
        <v>178</v>
      </c>
      <c r="B180" s="1">
        <v>45329</v>
      </c>
      <c r="C180" t="s">
        <v>114</v>
      </c>
      <c r="D180">
        <v>25</v>
      </c>
      <c r="E180" t="s">
        <v>15</v>
      </c>
      <c r="F180" t="s">
        <v>13</v>
      </c>
    </row>
    <row r="181" spans="1:6" x14ac:dyDescent="0.25">
      <c r="A181">
        <v>179</v>
      </c>
      <c r="B181" s="1">
        <v>45329</v>
      </c>
      <c r="C181" t="s">
        <v>115</v>
      </c>
      <c r="D181">
        <v>98</v>
      </c>
      <c r="E181" t="s">
        <v>15</v>
      </c>
      <c r="F181" t="s">
        <v>13</v>
      </c>
    </row>
    <row r="182" spans="1:6" x14ac:dyDescent="0.25">
      <c r="A182">
        <v>180</v>
      </c>
      <c r="B182" s="1">
        <v>45329</v>
      </c>
      <c r="C182" t="s">
        <v>106</v>
      </c>
      <c r="D182">
        <v>85</v>
      </c>
      <c r="E182" t="s">
        <v>15</v>
      </c>
      <c r="F182" t="s">
        <v>13</v>
      </c>
    </row>
    <row r="183" spans="1:6" x14ac:dyDescent="0.25">
      <c r="A183">
        <v>181</v>
      </c>
      <c r="B183" s="1">
        <v>45329</v>
      </c>
      <c r="C183" t="s">
        <v>9</v>
      </c>
      <c r="D183">
        <v>1500</v>
      </c>
      <c r="E183" t="s">
        <v>10</v>
      </c>
      <c r="F183" t="s">
        <v>8</v>
      </c>
    </row>
    <row r="184" spans="1:6" x14ac:dyDescent="0.25">
      <c r="A184">
        <v>182</v>
      </c>
      <c r="B184" s="1">
        <v>45329</v>
      </c>
      <c r="C184" t="s">
        <v>9</v>
      </c>
      <c r="D184">
        <v>1500</v>
      </c>
      <c r="E184" t="s">
        <v>12</v>
      </c>
      <c r="F184" t="s">
        <v>13</v>
      </c>
    </row>
    <row r="185" spans="1:6" x14ac:dyDescent="0.25">
      <c r="A185">
        <v>183</v>
      </c>
      <c r="B185" s="1">
        <v>45329</v>
      </c>
      <c r="C185" t="s">
        <v>85</v>
      </c>
      <c r="D185">
        <v>300</v>
      </c>
      <c r="E185" t="s">
        <v>15</v>
      </c>
      <c r="F185" t="s">
        <v>13</v>
      </c>
    </row>
    <row r="186" spans="1:6" x14ac:dyDescent="0.25">
      <c r="A186">
        <v>184</v>
      </c>
      <c r="B186" s="1">
        <v>45329</v>
      </c>
      <c r="C186" t="s">
        <v>116</v>
      </c>
      <c r="D186">
        <v>300</v>
      </c>
      <c r="E186" t="s">
        <v>15</v>
      </c>
      <c r="F186" t="s">
        <v>13</v>
      </c>
    </row>
    <row r="187" spans="1:6" x14ac:dyDescent="0.25">
      <c r="A187">
        <v>185</v>
      </c>
      <c r="B187" s="1">
        <v>45329</v>
      </c>
      <c r="C187" t="s">
        <v>81</v>
      </c>
      <c r="D187">
        <v>348</v>
      </c>
      <c r="E187" t="s">
        <v>15</v>
      </c>
      <c r="F187" t="s">
        <v>13</v>
      </c>
    </row>
    <row r="188" spans="1:6" x14ac:dyDescent="0.25">
      <c r="A188">
        <v>186</v>
      </c>
      <c r="B188" s="1">
        <v>45329</v>
      </c>
      <c r="C188" t="s">
        <v>117</v>
      </c>
      <c r="D188">
        <v>200</v>
      </c>
      <c r="E188" t="s">
        <v>15</v>
      </c>
      <c r="F188" t="s">
        <v>13</v>
      </c>
    </row>
    <row r="189" spans="1:6" x14ac:dyDescent="0.25">
      <c r="A189">
        <v>187</v>
      </c>
      <c r="B189" s="1">
        <v>45329</v>
      </c>
      <c r="C189" t="s">
        <v>118</v>
      </c>
      <c r="D189">
        <v>10</v>
      </c>
      <c r="E189" t="s">
        <v>15</v>
      </c>
      <c r="F189" t="s">
        <v>13</v>
      </c>
    </row>
    <row r="190" spans="1:6" x14ac:dyDescent="0.25">
      <c r="A190">
        <v>188</v>
      </c>
      <c r="B190" s="1">
        <v>45329</v>
      </c>
      <c r="C190" t="s">
        <v>119</v>
      </c>
      <c r="D190">
        <v>130</v>
      </c>
      <c r="E190" t="s">
        <v>15</v>
      </c>
      <c r="F190" t="s">
        <v>13</v>
      </c>
    </row>
    <row r="191" spans="1:6" x14ac:dyDescent="0.25">
      <c r="A191">
        <v>189</v>
      </c>
      <c r="B191" s="1">
        <v>45329</v>
      </c>
      <c r="C191" t="s">
        <v>20</v>
      </c>
      <c r="D191">
        <v>3000</v>
      </c>
      <c r="E191" t="s">
        <v>12</v>
      </c>
      <c r="F191" t="s">
        <v>21</v>
      </c>
    </row>
    <row r="192" spans="1:6" x14ac:dyDescent="0.25">
      <c r="A192">
        <v>190</v>
      </c>
      <c r="B192" s="1">
        <v>45329</v>
      </c>
      <c r="C192" t="s">
        <v>20</v>
      </c>
      <c r="D192">
        <v>3000</v>
      </c>
      <c r="E192" t="s">
        <v>10</v>
      </c>
      <c r="F192" t="s">
        <v>13</v>
      </c>
    </row>
    <row r="193" spans="1:6" x14ac:dyDescent="0.25">
      <c r="A193">
        <v>191</v>
      </c>
      <c r="B193" s="1">
        <v>45329</v>
      </c>
      <c r="C193" t="s">
        <v>24</v>
      </c>
      <c r="D193">
        <v>239</v>
      </c>
      <c r="E193" t="s">
        <v>15</v>
      </c>
      <c r="F193" t="s">
        <v>21</v>
      </c>
    </row>
    <row r="194" spans="1:6" x14ac:dyDescent="0.25">
      <c r="A194">
        <v>192</v>
      </c>
      <c r="B194" s="1">
        <v>45331</v>
      </c>
      <c r="C194" t="s">
        <v>120</v>
      </c>
      <c r="D194">
        <v>2000</v>
      </c>
      <c r="E194" t="s">
        <v>15</v>
      </c>
      <c r="F194" t="s">
        <v>13</v>
      </c>
    </row>
    <row r="195" spans="1:6" x14ac:dyDescent="0.25">
      <c r="A195">
        <v>193</v>
      </c>
      <c r="B195" s="1">
        <v>45331</v>
      </c>
      <c r="C195" t="s">
        <v>121</v>
      </c>
      <c r="D195">
        <v>5000</v>
      </c>
      <c r="E195" t="s">
        <v>15</v>
      </c>
      <c r="F195" t="s">
        <v>13</v>
      </c>
    </row>
    <row r="196" spans="1:6" x14ac:dyDescent="0.25">
      <c r="A196">
        <v>194</v>
      </c>
      <c r="B196" s="1">
        <v>45331</v>
      </c>
      <c r="C196" t="s">
        <v>64</v>
      </c>
      <c r="D196">
        <v>199</v>
      </c>
      <c r="E196" t="s">
        <v>15</v>
      </c>
      <c r="F196" t="s">
        <v>21</v>
      </c>
    </row>
    <row r="197" spans="1:6" x14ac:dyDescent="0.25">
      <c r="A197">
        <v>195</v>
      </c>
      <c r="B197" s="1">
        <v>45331</v>
      </c>
      <c r="C197" t="s">
        <v>122</v>
      </c>
      <c r="D197">
        <v>280</v>
      </c>
      <c r="E197" t="s">
        <v>15</v>
      </c>
      <c r="F197" t="s">
        <v>21</v>
      </c>
    </row>
    <row r="198" spans="1:6" x14ac:dyDescent="0.25">
      <c r="A198">
        <v>196</v>
      </c>
      <c r="B198" s="1">
        <v>45331</v>
      </c>
      <c r="C198" t="s">
        <v>64</v>
      </c>
      <c r="D198">
        <v>199</v>
      </c>
      <c r="E198" t="s">
        <v>15</v>
      </c>
      <c r="F198" t="s">
        <v>21</v>
      </c>
    </row>
    <row r="199" spans="1:6" x14ac:dyDescent="0.25">
      <c r="A199">
        <v>197</v>
      </c>
      <c r="B199" s="1">
        <v>45332</v>
      </c>
      <c r="C199" t="s">
        <v>103</v>
      </c>
      <c r="D199">
        <v>260</v>
      </c>
      <c r="E199" t="s">
        <v>15</v>
      </c>
      <c r="F199" t="s">
        <v>13</v>
      </c>
    </row>
    <row r="200" spans="1:6" x14ac:dyDescent="0.25">
      <c r="A200">
        <v>198</v>
      </c>
      <c r="B200" s="1">
        <v>45334</v>
      </c>
      <c r="C200" t="s">
        <v>37</v>
      </c>
      <c r="D200">
        <v>48</v>
      </c>
      <c r="E200" t="s">
        <v>15</v>
      </c>
      <c r="F200" t="s">
        <v>13</v>
      </c>
    </row>
    <row r="201" spans="1:6" x14ac:dyDescent="0.25">
      <c r="A201">
        <v>199</v>
      </c>
      <c r="B201" s="1">
        <v>45337</v>
      </c>
      <c r="C201" t="s">
        <v>123</v>
      </c>
      <c r="D201">
        <v>25</v>
      </c>
      <c r="E201" t="s">
        <v>15</v>
      </c>
      <c r="F201" t="s">
        <v>13</v>
      </c>
    </row>
    <row r="202" spans="1:6" x14ac:dyDescent="0.25">
      <c r="A202">
        <v>200</v>
      </c>
      <c r="B202" s="1">
        <v>45337</v>
      </c>
      <c r="C202" t="s">
        <v>124</v>
      </c>
      <c r="D202">
        <v>180</v>
      </c>
      <c r="E202" t="s">
        <v>15</v>
      </c>
      <c r="F202" t="s">
        <v>13</v>
      </c>
    </row>
    <row r="203" spans="1:6" x14ac:dyDescent="0.25">
      <c r="A203">
        <v>201</v>
      </c>
      <c r="B203" s="1">
        <v>45337</v>
      </c>
      <c r="C203" t="s">
        <v>107</v>
      </c>
      <c r="D203">
        <v>68</v>
      </c>
      <c r="E203" t="s">
        <v>15</v>
      </c>
      <c r="F203" t="s">
        <v>13</v>
      </c>
    </row>
    <row r="204" spans="1:6" x14ac:dyDescent="0.25">
      <c r="A204">
        <v>202</v>
      </c>
      <c r="B204" s="1">
        <v>45337</v>
      </c>
      <c r="C204" t="s">
        <v>6</v>
      </c>
      <c r="D204">
        <v>12597</v>
      </c>
      <c r="E204" t="s">
        <v>7</v>
      </c>
      <c r="F204" t="s">
        <v>8</v>
      </c>
    </row>
    <row r="205" spans="1:6" x14ac:dyDescent="0.25">
      <c r="A205">
        <v>203</v>
      </c>
      <c r="B205" s="1">
        <v>45337</v>
      </c>
      <c r="C205" t="s">
        <v>18</v>
      </c>
      <c r="D205">
        <v>28</v>
      </c>
      <c r="E205" t="s">
        <v>15</v>
      </c>
      <c r="F205" t="s">
        <v>8</v>
      </c>
    </row>
    <row r="206" spans="1:6" x14ac:dyDescent="0.25">
      <c r="A206">
        <v>204</v>
      </c>
      <c r="B206" s="1">
        <v>45337</v>
      </c>
      <c r="C206" t="s">
        <v>125</v>
      </c>
      <c r="D206">
        <v>144</v>
      </c>
      <c r="E206" t="s">
        <v>15</v>
      </c>
      <c r="F206" t="s">
        <v>21</v>
      </c>
    </row>
    <row r="207" spans="1:6" x14ac:dyDescent="0.25">
      <c r="A207">
        <v>205</v>
      </c>
      <c r="B207" s="1">
        <v>45338</v>
      </c>
      <c r="C207" t="s">
        <v>107</v>
      </c>
      <c r="D207">
        <v>50</v>
      </c>
      <c r="E207" t="s">
        <v>15</v>
      </c>
      <c r="F207" t="s">
        <v>13</v>
      </c>
    </row>
    <row r="208" spans="1:6" x14ac:dyDescent="0.25">
      <c r="A208">
        <v>206</v>
      </c>
      <c r="B208" s="1">
        <v>45338</v>
      </c>
      <c r="C208" t="s">
        <v>64</v>
      </c>
      <c r="D208">
        <v>199</v>
      </c>
      <c r="E208" t="s">
        <v>15</v>
      </c>
      <c r="F208" t="s">
        <v>21</v>
      </c>
    </row>
    <row r="209" spans="1:6" x14ac:dyDescent="0.25">
      <c r="A209">
        <v>207</v>
      </c>
      <c r="B209" s="1">
        <v>45338</v>
      </c>
      <c r="C209" t="s">
        <v>126</v>
      </c>
      <c r="D209">
        <v>199</v>
      </c>
      <c r="E209" t="s">
        <v>15</v>
      </c>
      <c r="F209" t="s">
        <v>21</v>
      </c>
    </row>
    <row r="210" spans="1:6" x14ac:dyDescent="0.25">
      <c r="A210">
        <v>208</v>
      </c>
      <c r="B210" s="1">
        <v>45342</v>
      </c>
      <c r="C210" t="s">
        <v>127</v>
      </c>
      <c r="D210">
        <v>90</v>
      </c>
      <c r="E210" t="s">
        <v>15</v>
      </c>
      <c r="F210" t="s">
        <v>13</v>
      </c>
    </row>
    <row r="211" spans="1:6" x14ac:dyDescent="0.25">
      <c r="A211">
        <v>209</v>
      </c>
      <c r="B211" s="1">
        <v>45343</v>
      </c>
      <c r="C211" t="s">
        <v>35</v>
      </c>
      <c r="D211">
        <v>280</v>
      </c>
      <c r="E211" t="s">
        <v>15</v>
      </c>
      <c r="F211" t="s">
        <v>21</v>
      </c>
    </row>
    <row r="212" spans="1:6" x14ac:dyDescent="0.25">
      <c r="A212">
        <v>210</v>
      </c>
      <c r="B212" s="1">
        <v>45344</v>
      </c>
      <c r="C212" t="s">
        <v>28</v>
      </c>
      <c r="D212">
        <v>129</v>
      </c>
      <c r="E212" t="s">
        <v>15</v>
      </c>
      <c r="F212" t="s">
        <v>21</v>
      </c>
    </row>
    <row r="213" spans="1:6" x14ac:dyDescent="0.25">
      <c r="A213">
        <v>211</v>
      </c>
      <c r="B213" s="1">
        <v>45346</v>
      </c>
      <c r="C213" t="s">
        <v>37</v>
      </c>
      <c r="D213">
        <v>48</v>
      </c>
      <c r="E213" t="s">
        <v>15</v>
      </c>
      <c r="F213" t="s">
        <v>13</v>
      </c>
    </row>
    <row r="214" spans="1:6" x14ac:dyDescent="0.25">
      <c r="A214">
        <v>212</v>
      </c>
      <c r="B214" s="1">
        <v>45349</v>
      </c>
      <c r="C214" t="s">
        <v>51</v>
      </c>
      <c r="D214">
        <v>30</v>
      </c>
      <c r="E214" t="s">
        <v>15</v>
      </c>
      <c r="F214" t="s">
        <v>13</v>
      </c>
    </row>
    <row r="215" spans="1:6" x14ac:dyDescent="0.25">
      <c r="A215">
        <v>213</v>
      </c>
      <c r="B215" s="1">
        <v>45349</v>
      </c>
      <c r="C215" t="s">
        <v>54</v>
      </c>
      <c r="D215">
        <v>45</v>
      </c>
      <c r="E215" t="s">
        <v>15</v>
      </c>
      <c r="F215" t="s">
        <v>13</v>
      </c>
    </row>
    <row r="216" spans="1:6" x14ac:dyDescent="0.25">
      <c r="A216">
        <v>214</v>
      </c>
      <c r="B216" s="1">
        <v>45349</v>
      </c>
      <c r="C216" t="s">
        <v>80</v>
      </c>
      <c r="D216">
        <v>130</v>
      </c>
      <c r="E216" t="s">
        <v>15</v>
      </c>
      <c r="F216" t="s">
        <v>13</v>
      </c>
    </row>
    <row r="217" spans="1:6" x14ac:dyDescent="0.25">
      <c r="A217">
        <v>215</v>
      </c>
      <c r="B217" s="1">
        <v>45349</v>
      </c>
      <c r="C217" t="s">
        <v>128</v>
      </c>
      <c r="D217">
        <v>13</v>
      </c>
      <c r="E217" t="s">
        <v>15</v>
      </c>
      <c r="F217" t="s">
        <v>13</v>
      </c>
    </row>
    <row r="218" spans="1:6" x14ac:dyDescent="0.25">
      <c r="A218">
        <v>216</v>
      </c>
      <c r="B218" s="1">
        <v>45349</v>
      </c>
      <c r="C218" t="s">
        <v>129</v>
      </c>
      <c r="D218">
        <v>13</v>
      </c>
      <c r="E218" t="s">
        <v>15</v>
      </c>
      <c r="F218" t="s">
        <v>13</v>
      </c>
    </row>
    <row r="219" spans="1:6" x14ac:dyDescent="0.25">
      <c r="A219">
        <v>217</v>
      </c>
      <c r="B219" s="1">
        <v>45349</v>
      </c>
      <c r="C219" t="s">
        <v>106</v>
      </c>
      <c r="D219">
        <v>157</v>
      </c>
      <c r="E219" t="s">
        <v>15</v>
      </c>
      <c r="F219" t="s">
        <v>13</v>
      </c>
    </row>
    <row r="220" spans="1:6" x14ac:dyDescent="0.25">
      <c r="A220">
        <v>218</v>
      </c>
      <c r="B220" s="1">
        <v>45349</v>
      </c>
      <c r="C220" t="s">
        <v>130</v>
      </c>
      <c r="D220">
        <v>899</v>
      </c>
      <c r="E220" t="s">
        <v>15</v>
      </c>
      <c r="F220" t="s">
        <v>13</v>
      </c>
    </row>
    <row r="221" spans="1:6" x14ac:dyDescent="0.25">
      <c r="A221">
        <v>219</v>
      </c>
      <c r="B221" s="1">
        <v>45349</v>
      </c>
      <c r="C221" t="s">
        <v>61</v>
      </c>
      <c r="D221">
        <v>130</v>
      </c>
      <c r="E221" t="s">
        <v>15</v>
      </c>
      <c r="F221" t="s">
        <v>13</v>
      </c>
    </row>
    <row r="222" spans="1:6" x14ac:dyDescent="0.25">
      <c r="A222">
        <v>220</v>
      </c>
      <c r="B222" s="1">
        <v>45349</v>
      </c>
      <c r="C222" t="s">
        <v>76</v>
      </c>
      <c r="D222">
        <v>100</v>
      </c>
      <c r="E222" t="s">
        <v>15</v>
      </c>
      <c r="F222" t="s">
        <v>13</v>
      </c>
    </row>
    <row r="223" spans="1:6" x14ac:dyDescent="0.25">
      <c r="A223">
        <v>221</v>
      </c>
      <c r="B223" s="1">
        <v>45351</v>
      </c>
      <c r="C223" t="s">
        <v>131</v>
      </c>
      <c r="D223">
        <v>12598</v>
      </c>
      <c r="E223" t="s">
        <v>7</v>
      </c>
      <c r="F223" t="s">
        <v>8</v>
      </c>
    </row>
    <row r="224" spans="1:6" x14ac:dyDescent="0.25">
      <c r="A224">
        <v>222</v>
      </c>
      <c r="B224" s="1">
        <v>45353</v>
      </c>
      <c r="C224" t="s">
        <v>132</v>
      </c>
      <c r="D224">
        <v>20</v>
      </c>
      <c r="E224" t="s">
        <v>15</v>
      </c>
      <c r="F224" t="s">
        <v>13</v>
      </c>
    </row>
    <row r="225" spans="1:6" x14ac:dyDescent="0.25">
      <c r="A225">
        <v>223</v>
      </c>
      <c r="B225" s="1">
        <v>45353</v>
      </c>
      <c r="C225" t="s">
        <v>28</v>
      </c>
      <c r="D225">
        <v>125</v>
      </c>
      <c r="E225" t="s">
        <v>15</v>
      </c>
      <c r="F225" t="s">
        <v>21</v>
      </c>
    </row>
    <row r="226" spans="1:6" x14ac:dyDescent="0.25">
      <c r="A226">
        <v>224</v>
      </c>
      <c r="B226" s="1">
        <v>45354</v>
      </c>
      <c r="C226" t="s">
        <v>103</v>
      </c>
      <c r="D226">
        <v>260</v>
      </c>
      <c r="E226" t="s">
        <v>15</v>
      </c>
      <c r="F226" t="s">
        <v>13</v>
      </c>
    </row>
    <row r="227" spans="1:6" x14ac:dyDescent="0.25">
      <c r="A227">
        <v>225</v>
      </c>
      <c r="B227" s="1">
        <v>45354</v>
      </c>
      <c r="C227" t="s">
        <v>133</v>
      </c>
      <c r="D227">
        <v>2560</v>
      </c>
      <c r="E227" t="s">
        <v>15</v>
      </c>
      <c r="F227" t="s">
        <v>13</v>
      </c>
    </row>
    <row r="228" spans="1:6" x14ac:dyDescent="0.25">
      <c r="A228">
        <v>226</v>
      </c>
      <c r="B228" s="1">
        <v>45354</v>
      </c>
      <c r="C228" t="s">
        <v>134</v>
      </c>
      <c r="D228">
        <v>5000</v>
      </c>
      <c r="E228" t="s">
        <v>15</v>
      </c>
      <c r="F228" t="s">
        <v>13</v>
      </c>
    </row>
    <row r="229" spans="1:6" x14ac:dyDescent="0.25">
      <c r="A229">
        <v>227</v>
      </c>
      <c r="B229" s="1">
        <v>45354</v>
      </c>
      <c r="C229" t="s">
        <v>38</v>
      </c>
      <c r="D229">
        <v>1500</v>
      </c>
      <c r="E229" t="s">
        <v>15</v>
      </c>
      <c r="F229" t="s">
        <v>13</v>
      </c>
    </row>
    <row r="230" spans="1:6" x14ac:dyDescent="0.25">
      <c r="A230">
        <v>228</v>
      </c>
      <c r="B230" s="1">
        <v>45354</v>
      </c>
      <c r="C230" t="s">
        <v>135</v>
      </c>
      <c r="D230">
        <v>30</v>
      </c>
      <c r="E230" t="s">
        <v>15</v>
      </c>
      <c r="F230" t="s">
        <v>13</v>
      </c>
    </row>
    <row r="231" spans="1:6" x14ac:dyDescent="0.25">
      <c r="A231">
        <v>229</v>
      </c>
      <c r="B231" s="1">
        <v>45356</v>
      </c>
      <c r="C231" t="s">
        <v>37</v>
      </c>
      <c r="D231">
        <v>48</v>
      </c>
      <c r="E231" t="s">
        <v>15</v>
      </c>
      <c r="F231" t="s">
        <v>13</v>
      </c>
    </row>
    <row r="232" spans="1:6" x14ac:dyDescent="0.25">
      <c r="A232">
        <v>230</v>
      </c>
      <c r="B232" s="1">
        <v>45356</v>
      </c>
      <c r="C232" t="s">
        <v>28</v>
      </c>
      <c r="D232">
        <v>50</v>
      </c>
      <c r="E232" t="s">
        <v>15</v>
      </c>
      <c r="F232" t="s">
        <v>21</v>
      </c>
    </row>
    <row r="233" spans="1:6" x14ac:dyDescent="0.25">
      <c r="A233">
        <v>231</v>
      </c>
      <c r="B233" s="1">
        <v>45356</v>
      </c>
      <c r="C233" t="s">
        <v>28</v>
      </c>
      <c r="D233">
        <v>125</v>
      </c>
      <c r="E233" t="s">
        <v>15</v>
      </c>
      <c r="F233" t="s">
        <v>21</v>
      </c>
    </row>
    <row r="234" spans="1:6" x14ac:dyDescent="0.25">
      <c r="A234">
        <v>232</v>
      </c>
      <c r="B234" s="1">
        <v>45357</v>
      </c>
      <c r="C234" t="s">
        <v>24</v>
      </c>
      <c r="D234">
        <v>239</v>
      </c>
      <c r="E234" t="s">
        <v>15</v>
      </c>
      <c r="F234" t="s">
        <v>21</v>
      </c>
    </row>
    <row r="235" spans="1:6" x14ac:dyDescent="0.25">
      <c r="A235">
        <v>233</v>
      </c>
      <c r="B235" s="1">
        <v>45361</v>
      </c>
      <c r="C235" t="s">
        <v>136</v>
      </c>
      <c r="D235">
        <v>19900</v>
      </c>
      <c r="E235" t="s">
        <v>10</v>
      </c>
      <c r="F235" t="s">
        <v>8</v>
      </c>
    </row>
    <row r="236" spans="1:6" x14ac:dyDescent="0.25">
      <c r="A236">
        <v>234</v>
      </c>
      <c r="B236" s="1">
        <v>45361</v>
      </c>
      <c r="C236" t="s">
        <v>137</v>
      </c>
      <c r="D236">
        <v>36</v>
      </c>
      <c r="E236" t="s">
        <v>15</v>
      </c>
      <c r="F236" t="s">
        <v>8</v>
      </c>
    </row>
    <row r="237" spans="1:6" x14ac:dyDescent="0.25">
      <c r="A237">
        <v>235</v>
      </c>
      <c r="B237" s="1">
        <v>45361</v>
      </c>
      <c r="C237" t="s">
        <v>138</v>
      </c>
      <c r="D237">
        <v>7000</v>
      </c>
      <c r="E237" t="s">
        <v>15</v>
      </c>
      <c r="F237" t="s">
        <v>13</v>
      </c>
    </row>
    <row r="238" spans="1:6" x14ac:dyDescent="0.25">
      <c r="A238">
        <v>236</v>
      </c>
      <c r="B238" s="1">
        <v>45365</v>
      </c>
      <c r="C238" t="s">
        <v>131</v>
      </c>
      <c r="D238">
        <v>12579</v>
      </c>
      <c r="E238" t="s">
        <v>7</v>
      </c>
      <c r="F238" t="s">
        <v>8</v>
      </c>
    </row>
    <row r="239" spans="1:6" x14ac:dyDescent="0.25">
      <c r="A239">
        <v>237</v>
      </c>
      <c r="B239" s="1">
        <v>45365</v>
      </c>
      <c r="C239" t="s">
        <v>50</v>
      </c>
      <c r="D239">
        <v>599</v>
      </c>
      <c r="E239" t="s">
        <v>15</v>
      </c>
      <c r="F239" t="s">
        <v>21</v>
      </c>
    </row>
    <row r="240" spans="1:6" x14ac:dyDescent="0.25">
      <c r="A240">
        <v>238</v>
      </c>
      <c r="B240" s="1">
        <v>45369</v>
      </c>
      <c r="C240" t="s">
        <v>25</v>
      </c>
      <c r="D240">
        <v>30</v>
      </c>
      <c r="E240" t="s">
        <v>15</v>
      </c>
      <c r="F240" t="s">
        <v>13</v>
      </c>
    </row>
    <row r="241" spans="1:6" x14ac:dyDescent="0.25">
      <c r="A241">
        <v>239</v>
      </c>
      <c r="B241" s="1">
        <v>45373</v>
      </c>
      <c r="C241" t="s">
        <v>34</v>
      </c>
      <c r="D241">
        <v>129</v>
      </c>
      <c r="E241" t="s">
        <v>15</v>
      </c>
      <c r="F241" t="s">
        <v>21</v>
      </c>
    </row>
    <row r="242" spans="1:6" x14ac:dyDescent="0.25">
      <c r="A242">
        <v>240</v>
      </c>
      <c r="B242" s="1">
        <v>45374</v>
      </c>
      <c r="C242" t="s">
        <v>20</v>
      </c>
      <c r="D242">
        <v>3000</v>
      </c>
      <c r="E242" t="s">
        <v>10</v>
      </c>
      <c r="F242" t="s">
        <v>13</v>
      </c>
    </row>
    <row r="243" spans="1:6" x14ac:dyDescent="0.25">
      <c r="A243">
        <v>241</v>
      </c>
      <c r="B243" s="1">
        <v>45374</v>
      </c>
      <c r="C243" t="s">
        <v>20</v>
      </c>
      <c r="D243">
        <v>3000</v>
      </c>
      <c r="E243" t="s">
        <v>12</v>
      </c>
      <c r="F243" t="s">
        <v>21</v>
      </c>
    </row>
    <row r="244" spans="1:6" x14ac:dyDescent="0.25">
      <c r="A244">
        <v>242</v>
      </c>
      <c r="B244" s="1">
        <v>45374</v>
      </c>
      <c r="C244" t="s">
        <v>35</v>
      </c>
      <c r="D244">
        <v>280</v>
      </c>
      <c r="E244" t="s">
        <v>15</v>
      </c>
      <c r="F244" t="s">
        <v>21</v>
      </c>
    </row>
    <row r="245" spans="1:6" x14ac:dyDescent="0.25">
      <c r="A245">
        <v>243</v>
      </c>
      <c r="B245" s="1">
        <v>45378</v>
      </c>
      <c r="C245" t="s">
        <v>139</v>
      </c>
      <c r="D245">
        <v>25</v>
      </c>
      <c r="E245" t="s">
        <v>15</v>
      </c>
      <c r="F245" t="s">
        <v>13</v>
      </c>
    </row>
    <row r="246" spans="1:6" x14ac:dyDescent="0.25">
      <c r="A246">
        <v>244</v>
      </c>
      <c r="B246" s="1">
        <v>45378</v>
      </c>
      <c r="C246" t="s">
        <v>127</v>
      </c>
      <c r="D246">
        <v>90</v>
      </c>
      <c r="E246" t="s">
        <v>15</v>
      </c>
      <c r="F246" t="s">
        <v>13</v>
      </c>
    </row>
    <row r="247" spans="1:6" x14ac:dyDescent="0.25">
      <c r="A247">
        <v>245</v>
      </c>
      <c r="B247" s="1">
        <v>45378</v>
      </c>
      <c r="C247" t="s">
        <v>18</v>
      </c>
      <c r="D247">
        <v>56</v>
      </c>
      <c r="E247" t="s">
        <v>15</v>
      </c>
      <c r="F247" t="s">
        <v>13</v>
      </c>
    </row>
    <row r="248" spans="1:6" x14ac:dyDescent="0.25">
      <c r="A248">
        <v>246</v>
      </c>
      <c r="B248" s="1">
        <v>45378</v>
      </c>
      <c r="C248" t="s">
        <v>131</v>
      </c>
      <c r="D248">
        <v>12616</v>
      </c>
      <c r="E248" t="s">
        <v>7</v>
      </c>
      <c r="F248" t="s">
        <v>8</v>
      </c>
    </row>
    <row r="249" spans="1:6" x14ac:dyDescent="0.25">
      <c r="A249">
        <v>247</v>
      </c>
      <c r="B249" s="1">
        <v>45378</v>
      </c>
      <c r="C249" t="s">
        <v>64</v>
      </c>
      <c r="D249">
        <v>199</v>
      </c>
      <c r="E249" t="s">
        <v>15</v>
      </c>
      <c r="F249" t="s">
        <v>21</v>
      </c>
    </row>
    <row r="250" spans="1:6" x14ac:dyDescent="0.25">
      <c r="A250">
        <v>248</v>
      </c>
      <c r="B250" s="1">
        <v>45381</v>
      </c>
      <c r="C250" t="s">
        <v>140</v>
      </c>
      <c r="D250">
        <v>200</v>
      </c>
      <c r="E250" t="s">
        <v>15</v>
      </c>
      <c r="F250" t="s">
        <v>13</v>
      </c>
    </row>
    <row r="251" spans="1:6" x14ac:dyDescent="0.25">
      <c r="A251">
        <v>249</v>
      </c>
      <c r="B251" s="1">
        <v>45381</v>
      </c>
      <c r="C251" t="s">
        <v>141</v>
      </c>
      <c r="D251">
        <v>50</v>
      </c>
      <c r="E251" t="s">
        <v>15</v>
      </c>
      <c r="F251" t="s">
        <v>13</v>
      </c>
    </row>
    <row r="252" spans="1:6" x14ac:dyDescent="0.25">
      <c r="A252">
        <v>250</v>
      </c>
      <c r="B252" s="1">
        <v>45382</v>
      </c>
      <c r="C252" t="s">
        <v>142</v>
      </c>
      <c r="D252">
        <v>8</v>
      </c>
      <c r="E252" t="s">
        <v>15</v>
      </c>
      <c r="F252" t="s">
        <v>13</v>
      </c>
    </row>
    <row r="253" spans="1:6" x14ac:dyDescent="0.25">
      <c r="A253">
        <v>251</v>
      </c>
      <c r="B253" s="1">
        <v>45382</v>
      </c>
      <c r="C253" t="s">
        <v>36</v>
      </c>
      <c r="D253">
        <v>130</v>
      </c>
      <c r="E253" t="s">
        <v>15</v>
      </c>
      <c r="F253" t="s">
        <v>13</v>
      </c>
    </row>
    <row r="254" spans="1:6" x14ac:dyDescent="0.25">
      <c r="A254">
        <v>252</v>
      </c>
      <c r="B254" s="1">
        <v>45384</v>
      </c>
      <c r="C254" t="s">
        <v>38</v>
      </c>
      <c r="D254">
        <v>1500</v>
      </c>
      <c r="E254" t="s">
        <v>15</v>
      </c>
      <c r="F254" t="s">
        <v>13</v>
      </c>
    </row>
    <row r="255" spans="1:6" x14ac:dyDescent="0.25">
      <c r="A255">
        <v>253</v>
      </c>
      <c r="B255" s="1">
        <v>45384</v>
      </c>
      <c r="C255" t="s">
        <v>28</v>
      </c>
      <c r="D255">
        <v>50</v>
      </c>
      <c r="E255" t="s">
        <v>15</v>
      </c>
      <c r="F255" t="s">
        <v>21</v>
      </c>
    </row>
    <row r="256" spans="1:6" x14ac:dyDescent="0.25">
      <c r="A256">
        <v>254</v>
      </c>
      <c r="B256" s="1">
        <v>45387</v>
      </c>
      <c r="C256" t="s">
        <v>28</v>
      </c>
      <c r="D256">
        <v>125</v>
      </c>
      <c r="E256" t="s">
        <v>15</v>
      </c>
      <c r="F256" t="s">
        <v>21</v>
      </c>
    </row>
    <row r="257" spans="1:6" x14ac:dyDescent="0.25">
      <c r="A257">
        <v>255</v>
      </c>
      <c r="B257" s="1">
        <v>45387</v>
      </c>
      <c r="C257" t="s">
        <v>143</v>
      </c>
      <c r="D257">
        <v>40</v>
      </c>
      <c r="E257" t="s">
        <v>15</v>
      </c>
      <c r="F257" t="s">
        <v>13</v>
      </c>
    </row>
    <row r="258" spans="1:6" x14ac:dyDescent="0.25">
      <c r="A258">
        <v>256</v>
      </c>
      <c r="B258" s="1">
        <v>45388</v>
      </c>
      <c r="C258" t="s">
        <v>24</v>
      </c>
      <c r="D258">
        <v>239</v>
      </c>
      <c r="E258" t="s">
        <v>15</v>
      </c>
      <c r="F258" t="s">
        <v>21</v>
      </c>
    </row>
    <row r="259" spans="1:6" x14ac:dyDescent="0.25">
      <c r="A259">
        <v>257</v>
      </c>
      <c r="B259" s="1">
        <v>45389</v>
      </c>
      <c r="C259" t="s">
        <v>144</v>
      </c>
      <c r="D259">
        <v>2560</v>
      </c>
      <c r="E259" t="s">
        <v>15</v>
      </c>
      <c r="F259" t="s">
        <v>13</v>
      </c>
    </row>
    <row r="260" spans="1:6" x14ac:dyDescent="0.25">
      <c r="A260">
        <v>258</v>
      </c>
      <c r="B260" s="1">
        <v>45389</v>
      </c>
      <c r="C260" t="s">
        <v>145</v>
      </c>
      <c r="D260">
        <v>5000</v>
      </c>
      <c r="E260" t="s">
        <v>15</v>
      </c>
      <c r="F260" t="s">
        <v>13</v>
      </c>
    </row>
    <row r="261" spans="1:6" x14ac:dyDescent="0.25">
      <c r="A261">
        <v>259</v>
      </c>
      <c r="B261" s="1">
        <v>45391</v>
      </c>
      <c r="C261" t="s">
        <v>146</v>
      </c>
      <c r="D261">
        <v>50</v>
      </c>
      <c r="E261" t="s">
        <v>15</v>
      </c>
      <c r="F261" t="s">
        <v>13</v>
      </c>
    </row>
    <row r="262" spans="1:6" x14ac:dyDescent="0.25">
      <c r="A262">
        <v>260</v>
      </c>
      <c r="B262" s="1">
        <v>45391</v>
      </c>
      <c r="C262" t="s">
        <v>136</v>
      </c>
      <c r="D262">
        <v>12995</v>
      </c>
      <c r="E262" t="s">
        <v>10</v>
      </c>
      <c r="F262" t="s">
        <v>8</v>
      </c>
    </row>
    <row r="263" spans="1:6" x14ac:dyDescent="0.25">
      <c r="A263">
        <v>261</v>
      </c>
      <c r="B263" s="1">
        <v>45391</v>
      </c>
      <c r="C263" t="s">
        <v>137</v>
      </c>
      <c r="D263">
        <v>100</v>
      </c>
      <c r="E263" t="s">
        <v>15</v>
      </c>
      <c r="F263" t="s">
        <v>13</v>
      </c>
    </row>
    <row r="264" spans="1:6" x14ac:dyDescent="0.25">
      <c r="A264">
        <v>262</v>
      </c>
      <c r="B264" s="1">
        <v>45391</v>
      </c>
      <c r="C264" t="s">
        <v>147</v>
      </c>
      <c r="D264">
        <v>6000</v>
      </c>
      <c r="E264" t="s">
        <v>7</v>
      </c>
      <c r="F264" t="s">
        <v>8</v>
      </c>
    </row>
    <row r="265" spans="1:6" x14ac:dyDescent="0.25">
      <c r="A265">
        <v>263</v>
      </c>
      <c r="B265" s="1">
        <v>45392</v>
      </c>
      <c r="C265" t="s">
        <v>127</v>
      </c>
      <c r="D265">
        <v>80</v>
      </c>
      <c r="E265" t="s">
        <v>15</v>
      </c>
      <c r="F265" t="s">
        <v>13</v>
      </c>
    </row>
    <row r="266" spans="1:6" x14ac:dyDescent="0.25">
      <c r="A266">
        <v>264</v>
      </c>
      <c r="B266" s="1">
        <v>45397</v>
      </c>
      <c r="C266" t="s">
        <v>131</v>
      </c>
      <c r="D266">
        <v>13615</v>
      </c>
      <c r="E266" t="s">
        <v>7</v>
      </c>
      <c r="F266" t="s">
        <v>8</v>
      </c>
    </row>
    <row r="267" spans="1:6" x14ac:dyDescent="0.25">
      <c r="A267">
        <v>265</v>
      </c>
      <c r="B267" s="1">
        <v>45398</v>
      </c>
      <c r="C267" t="s">
        <v>36</v>
      </c>
      <c r="D267">
        <v>130</v>
      </c>
      <c r="E267" t="s">
        <v>15</v>
      </c>
      <c r="F267" t="s">
        <v>13</v>
      </c>
    </row>
    <row r="268" spans="1:6" x14ac:dyDescent="0.25">
      <c r="A268">
        <v>266</v>
      </c>
      <c r="B268" s="1">
        <v>45398</v>
      </c>
      <c r="C268" t="s">
        <v>148</v>
      </c>
      <c r="D268">
        <v>43</v>
      </c>
      <c r="E268" t="s">
        <v>15</v>
      </c>
      <c r="F268" t="s">
        <v>13</v>
      </c>
    </row>
    <row r="269" spans="1:6" x14ac:dyDescent="0.25">
      <c r="A269">
        <v>267</v>
      </c>
      <c r="B269" s="1">
        <v>45398</v>
      </c>
      <c r="C269" t="s">
        <v>37</v>
      </c>
      <c r="D269">
        <v>25</v>
      </c>
      <c r="E269" t="s">
        <v>15</v>
      </c>
      <c r="F269" t="s">
        <v>13</v>
      </c>
    </row>
    <row r="270" spans="1:6" x14ac:dyDescent="0.25">
      <c r="A270">
        <v>268</v>
      </c>
      <c r="B270" s="1">
        <v>45398</v>
      </c>
      <c r="C270" t="s">
        <v>28</v>
      </c>
      <c r="D270">
        <v>125</v>
      </c>
      <c r="E270" t="s">
        <v>15</v>
      </c>
      <c r="F270" t="s">
        <v>21</v>
      </c>
    </row>
    <row r="271" spans="1:6" x14ac:dyDescent="0.25">
      <c r="A271">
        <v>269</v>
      </c>
      <c r="B271" s="1">
        <v>45402</v>
      </c>
      <c r="C271" t="s">
        <v>50</v>
      </c>
      <c r="D271">
        <v>599</v>
      </c>
      <c r="E271" t="s">
        <v>15</v>
      </c>
      <c r="F271" t="s">
        <v>21</v>
      </c>
    </row>
    <row r="272" spans="1:6" x14ac:dyDescent="0.25">
      <c r="A272">
        <v>270</v>
      </c>
      <c r="B272" s="1">
        <v>45403</v>
      </c>
      <c r="C272" t="s">
        <v>37</v>
      </c>
      <c r="D272">
        <v>25</v>
      </c>
      <c r="E272" t="s">
        <v>15</v>
      </c>
      <c r="F272" t="s">
        <v>13</v>
      </c>
    </row>
    <row r="273" spans="1:6" x14ac:dyDescent="0.25">
      <c r="A273">
        <v>271</v>
      </c>
      <c r="B273" s="1">
        <v>45403</v>
      </c>
      <c r="C273" t="s">
        <v>35</v>
      </c>
      <c r="D273">
        <v>280</v>
      </c>
      <c r="E273" t="s">
        <v>15</v>
      </c>
      <c r="F273" t="s">
        <v>21</v>
      </c>
    </row>
    <row r="274" spans="1:6" x14ac:dyDescent="0.25">
      <c r="A274">
        <v>272</v>
      </c>
      <c r="B274" s="1">
        <v>45404</v>
      </c>
      <c r="C274" t="s">
        <v>34</v>
      </c>
      <c r="D274">
        <v>129</v>
      </c>
      <c r="E274" t="s">
        <v>15</v>
      </c>
      <c r="F274" t="s">
        <v>21</v>
      </c>
    </row>
    <row r="275" spans="1:6" x14ac:dyDescent="0.25">
      <c r="A275">
        <v>273</v>
      </c>
      <c r="B275" s="1">
        <v>45404</v>
      </c>
      <c r="C275" t="s">
        <v>64</v>
      </c>
      <c r="D275">
        <v>199</v>
      </c>
      <c r="E275" t="s">
        <v>15</v>
      </c>
      <c r="F275" t="s">
        <v>21</v>
      </c>
    </row>
    <row r="276" spans="1:6" x14ac:dyDescent="0.25">
      <c r="A276">
        <v>274</v>
      </c>
      <c r="B276" s="1">
        <v>45412</v>
      </c>
      <c r="C276" t="s">
        <v>149</v>
      </c>
      <c r="D276">
        <v>500</v>
      </c>
      <c r="E276" t="s">
        <v>15</v>
      </c>
      <c r="F276" t="s">
        <v>21</v>
      </c>
    </row>
    <row r="277" spans="1:6" x14ac:dyDescent="0.25">
      <c r="A277">
        <v>275</v>
      </c>
      <c r="B277" s="1">
        <v>45412</v>
      </c>
      <c r="C277" t="s">
        <v>150</v>
      </c>
      <c r="D277">
        <v>1000</v>
      </c>
      <c r="E277" t="s">
        <v>15</v>
      </c>
      <c r="F277" t="s">
        <v>13</v>
      </c>
    </row>
    <row r="278" spans="1:6" x14ac:dyDescent="0.25">
      <c r="A278">
        <v>276</v>
      </c>
      <c r="B278" s="1">
        <v>45412</v>
      </c>
      <c r="C278" t="s">
        <v>151</v>
      </c>
      <c r="D278">
        <v>2000</v>
      </c>
      <c r="E278" t="s">
        <v>15</v>
      </c>
      <c r="F278" t="s">
        <v>13</v>
      </c>
    </row>
    <row r="279" spans="1:6" x14ac:dyDescent="0.25">
      <c r="A279">
        <v>277</v>
      </c>
      <c r="B279" s="1">
        <v>45412</v>
      </c>
      <c r="C279" t="s">
        <v>152</v>
      </c>
      <c r="D279">
        <v>1000</v>
      </c>
      <c r="E279" t="s">
        <v>15</v>
      </c>
      <c r="F279" t="s">
        <v>13</v>
      </c>
    </row>
    <row r="280" spans="1:6" x14ac:dyDescent="0.25">
      <c r="A280">
        <v>278</v>
      </c>
      <c r="B280" s="1">
        <v>45412</v>
      </c>
      <c r="C280" t="s">
        <v>6</v>
      </c>
      <c r="D280">
        <v>12616</v>
      </c>
      <c r="E280" t="s">
        <v>7</v>
      </c>
      <c r="F280" t="s">
        <v>8</v>
      </c>
    </row>
    <row r="281" spans="1:6" x14ac:dyDescent="0.25">
      <c r="A281">
        <v>279</v>
      </c>
      <c r="B281" s="1">
        <v>45412</v>
      </c>
      <c r="C281" t="s">
        <v>103</v>
      </c>
      <c r="D281">
        <v>260</v>
      </c>
      <c r="E281" t="s">
        <v>15</v>
      </c>
      <c r="F281" t="s">
        <v>13</v>
      </c>
    </row>
    <row r="282" spans="1:6" x14ac:dyDescent="0.25">
      <c r="A282">
        <v>280</v>
      </c>
      <c r="B282" s="1">
        <v>45415</v>
      </c>
      <c r="C282" t="s">
        <v>38</v>
      </c>
      <c r="D282">
        <v>1700</v>
      </c>
      <c r="E282" t="s">
        <v>15</v>
      </c>
      <c r="F282" t="s">
        <v>13</v>
      </c>
    </row>
    <row r="283" spans="1:6" x14ac:dyDescent="0.25">
      <c r="A283">
        <v>281</v>
      </c>
      <c r="B283" s="1">
        <v>45415</v>
      </c>
      <c r="C283" t="s">
        <v>28</v>
      </c>
      <c r="D283">
        <v>50</v>
      </c>
      <c r="E283" t="s">
        <v>15</v>
      </c>
      <c r="F283" t="s">
        <v>21</v>
      </c>
    </row>
    <row r="284" spans="1:6" x14ac:dyDescent="0.25">
      <c r="A284">
        <v>282</v>
      </c>
      <c r="B284" s="1">
        <v>45415</v>
      </c>
      <c r="C284" t="s">
        <v>28</v>
      </c>
      <c r="D284">
        <v>125</v>
      </c>
      <c r="E284" t="s">
        <v>15</v>
      </c>
      <c r="F284" t="s">
        <v>21</v>
      </c>
    </row>
    <row r="285" spans="1:6" x14ac:dyDescent="0.25">
      <c r="A285">
        <v>283</v>
      </c>
      <c r="B285" s="1">
        <v>45415</v>
      </c>
      <c r="C285" t="s">
        <v>64</v>
      </c>
      <c r="D285">
        <v>199</v>
      </c>
      <c r="E285" t="s">
        <v>15</v>
      </c>
      <c r="F285" t="s">
        <v>21</v>
      </c>
    </row>
    <row r="286" spans="1:6" x14ac:dyDescent="0.25">
      <c r="A286">
        <v>284</v>
      </c>
      <c r="B286" s="1">
        <v>45416</v>
      </c>
      <c r="C286" t="s">
        <v>136</v>
      </c>
      <c r="D286">
        <v>19000</v>
      </c>
      <c r="E286" t="s">
        <v>10</v>
      </c>
      <c r="F286" t="s">
        <v>8</v>
      </c>
    </row>
    <row r="287" spans="1:6" x14ac:dyDescent="0.25">
      <c r="A287">
        <v>285</v>
      </c>
      <c r="B287" s="1">
        <v>45416</v>
      </c>
      <c r="C287" t="s">
        <v>137</v>
      </c>
      <c r="D287">
        <v>236</v>
      </c>
      <c r="E287" t="s">
        <v>15</v>
      </c>
      <c r="F287" t="s">
        <v>8</v>
      </c>
    </row>
    <row r="288" spans="1:6" x14ac:dyDescent="0.25">
      <c r="A288">
        <v>286</v>
      </c>
      <c r="B288" s="1">
        <v>45416</v>
      </c>
      <c r="C288" t="s">
        <v>153</v>
      </c>
      <c r="D288">
        <v>2100</v>
      </c>
      <c r="E288" t="s">
        <v>15</v>
      </c>
      <c r="F288" t="s">
        <v>13</v>
      </c>
    </row>
    <row r="289" spans="1:6" x14ac:dyDescent="0.25">
      <c r="A289">
        <v>287</v>
      </c>
      <c r="B289" s="1">
        <v>45416</v>
      </c>
      <c r="C289" t="s">
        <v>145</v>
      </c>
      <c r="D289">
        <v>5000</v>
      </c>
      <c r="E289" t="s">
        <v>15</v>
      </c>
      <c r="F289" t="s">
        <v>13</v>
      </c>
    </row>
    <row r="290" spans="1:6" x14ac:dyDescent="0.25">
      <c r="A290">
        <v>288</v>
      </c>
      <c r="B290" s="1">
        <v>45416</v>
      </c>
      <c r="C290" t="s">
        <v>20</v>
      </c>
      <c r="D290">
        <v>3000</v>
      </c>
      <c r="E290" t="s">
        <v>10</v>
      </c>
      <c r="F290" t="s">
        <v>13</v>
      </c>
    </row>
    <row r="291" spans="1:6" x14ac:dyDescent="0.25">
      <c r="A291">
        <v>289</v>
      </c>
      <c r="B291" s="1">
        <v>45416</v>
      </c>
      <c r="C291" t="s">
        <v>20</v>
      </c>
      <c r="D291">
        <v>3000</v>
      </c>
      <c r="E291" t="s">
        <v>12</v>
      </c>
      <c r="F291" t="s">
        <v>21</v>
      </c>
    </row>
    <row r="292" spans="1:6" x14ac:dyDescent="0.25">
      <c r="A292">
        <v>290</v>
      </c>
      <c r="B292" s="1">
        <v>45418</v>
      </c>
      <c r="C292" t="s">
        <v>28</v>
      </c>
      <c r="D292">
        <v>125</v>
      </c>
      <c r="E292" t="s">
        <v>15</v>
      </c>
      <c r="F292" t="s">
        <v>21</v>
      </c>
    </row>
    <row r="293" spans="1:6" x14ac:dyDescent="0.25">
      <c r="A293">
        <v>291</v>
      </c>
      <c r="B293" s="1">
        <v>45418</v>
      </c>
      <c r="C293" t="s">
        <v>28</v>
      </c>
      <c r="D293">
        <v>50</v>
      </c>
      <c r="E293" t="s">
        <v>15</v>
      </c>
      <c r="F293" t="s">
        <v>21</v>
      </c>
    </row>
    <row r="294" spans="1:6" x14ac:dyDescent="0.25">
      <c r="A294">
        <v>292</v>
      </c>
      <c r="B294" s="1">
        <v>45419</v>
      </c>
      <c r="C294" t="s">
        <v>24</v>
      </c>
      <c r="D294">
        <v>239</v>
      </c>
      <c r="E294" t="s">
        <v>15</v>
      </c>
      <c r="F294" t="s">
        <v>21</v>
      </c>
    </row>
    <row r="295" spans="1:6" x14ac:dyDescent="0.25">
      <c r="A295">
        <v>293</v>
      </c>
      <c r="B295" s="1">
        <v>45420</v>
      </c>
      <c r="C295" t="s">
        <v>25</v>
      </c>
      <c r="D295">
        <v>30</v>
      </c>
      <c r="E295" t="s">
        <v>15</v>
      </c>
      <c r="F295" t="s">
        <v>13</v>
      </c>
    </row>
    <row r="296" spans="1:6" x14ac:dyDescent="0.25">
      <c r="A296">
        <v>294</v>
      </c>
      <c r="B296" s="1">
        <v>45425</v>
      </c>
      <c r="C296" t="s">
        <v>51</v>
      </c>
      <c r="D296">
        <v>30</v>
      </c>
      <c r="E296" t="s">
        <v>15</v>
      </c>
      <c r="F296" t="s">
        <v>13</v>
      </c>
    </row>
    <row r="297" spans="1:6" x14ac:dyDescent="0.25">
      <c r="A297">
        <v>295</v>
      </c>
      <c r="B297" s="1">
        <v>45425</v>
      </c>
      <c r="C297" t="s">
        <v>40</v>
      </c>
      <c r="D297">
        <v>37</v>
      </c>
      <c r="E297" t="s">
        <v>15</v>
      </c>
      <c r="F297" t="s">
        <v>13</v>
      </c>
    </row>
    <row r="298" spans="1:6" x14ac:dyDescent="0.25">
      <c r="A298">
        <v>296</v>
      </c>
      <c r="B298" s="1">
        <v>45425</v>
      </c>
      <c r="C298" t="s">
        <v>106</v>
      </c>
      <c r="D298">
        <v>73</v>
      </c>
      <c r="E298" t="s">
        <v>15</v>
      </c>
      <c r="F298" t="s">
        <v>13</v>
      </c>
    </row>
    <row r="299" spans="1:6" x14ac:dyDescent="0.25">
      <c r="A299">
        <v>297</v>
      </c>
      <c r="B299" s="1">
        <v>45425</v>
      </c>
      <c r="C299" t="s">
        <v>76</v>
      </c>
      <c r="D299">
        <v>40</v>
      </c>
      <c r="E299" t="s">
        <v>15</v>
      </c>
      <c r="F299" t="s">
        <v>13</v>
      </c>
    </row>
    <row r="300" spans="1:6" x14ac:dyDescent="0.25">
      <c r="A300">
        <v>298</v>
      </c>
      <c r="B300" s="1">
        <v>45425</v>
      </c>
      <c r="C300" t="s">
        <v>154</v>
      </c>
      <c r="D300">
        <v>399</v>
      </c>
      <c r="E300" t="s">
        <v>15</v>
      </c>
      <c r="F300" t="s">
        <v>21</v>
      </c>
    </row>
    <row r="301" spans="1:6" x14ac:dyDescent="0.25">
      <c r="A301">
        <v>299</v>
      </c>
      <c r="B301" s="1">
        <v>45426</v>
      </c>
      <c r="C301" t="s">
        <v>6</v>
      </c>
      <c r="D301">
        <v>12615</v>
      </c>
      <c r="E301" t="s">
        <v>7</v>
      </c>
      <c r="F301" t="s">
        <v>8</v>
      </c>
    </row>
    <row r="302" spans="1:6" x14ac:dyDescent="0.25">
      <c r="A302">
        <v>300</v>
      </c>
      <c r="B302" s="1">
        <v>45427</v>
      </c>
      <c r="C302" t="s">
        <v>25</v>
      </c>
      <c r="D302">
        <v>30</v>
      </c>
      <c r="E302" t="s">
        <v>15</v>
      </c>
      <c r="F302" t="s">
        <v>13</v>
      </c>
    </row>
    <row r="303" spans="1:6" x14ac:dyDescent="0.25">
      <c r="A303">
        <v>301</v>
      </c>
      <c r="B303" s="1">
        <v>45428</v>
      </c>
      <c r="C303" t="s">
        <v>155</v>
      </c>
      <c r="D303">
        <v>27000</v>
      </c>
      <c r="E303" t="s">
        <v>7</v>
      </c>
      <c r="F303" t="s">
        <v>8</v>
      </c>
    </row>
    <row r="304" spans="1:6" x14ac:dyDescent="0.25">
      <c r="A304">
        <v>302</v>
      </c>
      <c r="B304" s="1">
        <v>45430</v>
      </c>
      <c r="C304" t="s">
        <v>28</v>
      </c>
      <c r="D304">
        <v>50</v>
      </c>
      <c r="E304" t="s">
        <v>15</v>
      </c>
      <c r="F304" t="s">
        <v>21</v>
      </c>
    </row>
    <row r="305" spans="1:6" x14ac:dyDescent="0.25">
      <c r="A305">
        <v>303</v>
      </c>
      <c r="B305" s="1">
        <v>45434</v>
      </c>
      <c r="C305" t="s">
        <v>34</v>
      </c>
      <c r="D305">
        <v>129</v>
      </c>
      <c r="E305" t="s">
        <v>15</v>
      </c>
      <c r="F305" t="s">
        <v>21</v>
      </c>
    </row>
    <row r="306" spans="1:6" x14ac:dyDescent="0.25">
      <c r="A306">
        <v>304</v>
      </c>
      <c r="B306" s="1">
        <v>45434</v>
      </c>
      <c r="C306" t="s">
        <v>35</v>
      </c>
      <c r="D306">
        <v>280</v>
      </c>
      <c r="E306" t="s">
        <v>15</v>
      </c>
      <c r="F306" t="s">
        <v>21</v>
      </c>
    </row>
    <row r="307" spans="1:6" x14ac:dyDescent="0.25">
      <c r="A307">
        <v>305</v>
      </c>
      <c r="B307" s="1">
        <v>45435</v>
      </c>
      <c r="C307" t="s">
        <v>156</v>
      </c>
      <c r="D307">
        <v>50</v>
      </c>
      <c r="E307" t="s">
        <v>15</v>
      </c>
      <c r="F307" t="s">
        <v>13</v>
      </c>
    </row>
    <row r="308" spans="1:6" x14ac:dyDescent="0.25">
      <c r="A308">
        <v>306</v>
      </c>
      <c r="B308" s="1">
        <v>45435</v>
      </c>
      <c r="C308" t="s">
        <v>103</v>
      </c>
      <c r="D308">
        <v>260</v>
      </c>
      <c r="E308" t="s">
        <v>15</v>
      </c>
      <c r="F308" t="s">
        <v>13</v>
      </c>
    </row>
    <row r="309" spans="1:6" x14ac:dyDescent="0.25">
      <c r="A309">
        <v>307</v>
      </c>
      <c r="B309" s="1">
        <v>45435</v>
      </c>
      <c r="C309" t="s">
        <v>64</v>
      </c>
      <c r="D309">
        <v>199</v>
      </c>
      <c r="E309" t="s">
        <v>15</v>
      </c>
      <c r="F309" t="s">
        <v>21</v>
      </c>
    </row>
    <row r="310" spans="1:6" x14ac:dyDescent="0.25">
      <c r="A310">
        <v>308</v>
      </c>
      <c r="B310" s="1">
        <v>45440</v>
      </c>
      <c r="C310" t="s">
        <v>157</v>
      </c>
      <c r="D310">
        <v>246</v>
      </c>
      <c r="E310" t="s">
        <v>15</v>
      </c>
      <c r="F310" t="s">
        <v>13</v>
      </c>
    </row>
    <row r="311" spans="1:6" x14ac:dyDescent="0.25">
      <c r="A311">
        <v>309</v>
      </c>
      <c r="B311" s="1">
        <v>45440</v>
      </c>
      <c r="C311" t="s">
        <v>158</v>
      </c>
      <c r="D311">
        <v>440</v>
      </c>
      <c r="E311" t="s">
        <v>15</v>
      </c>
      <c r="F311" t="s">
        <v>13</v>
      </c>
    </row>
    <row r="312" spans="1:6" x14ac:dyDescent="0.25">
      <c r="A312">
        <v>310</v>
      </c>
      <c r="B312" s="1">
        <v>45440</v>
      </c>
      <c r="C312" t="s">
        <v>28</v>
      </c>
      <c r="D312">
        <v>125</v>
      </c>
      <c r="E312" t="s">
        <v>15</v>
      </c>
      <c r="F312" t="s">
        <v>21</v>
      </c>
    </row>
    <row r="313" spans="1:6" x14ac:dyDescent="0.25">
      <c r="A313">
        <v>311</v>
      </c>
      <c r="B313" s="1">
        <v>45442</v>
      </c>
      <c r="C313" t="s">
        <v>6</v>
      </c>
      <c r="D313">
        <v>12615</v>
      </c>
      <c r="E313" t="s">
        <v>7</v>
      </c>
      <c r="F313" t="s">
        <v>8</v>
      </c>
    </row>
    <row r="314" spans="1:6" x14ac:dyDescent="0.25">
      <c r="A314">
        <v>312</v>
      </c>
      <c r="B314" s="1">
        <v>45445</v>
      </c>
      <c r="C314" t="s">
        <v>67</v>
      </c>
      <c r="D314">
        <v>105</v>
      </c>
      <c r="E314" t="s">
        <v>15</v>
      </c>
      <c r="F314" t="s">
        <v>13</v>
      </c>
    </row>
    <row r="315" spans="1:6" x14ac:dyDescent="0.25">
      <c r="A315">
        <v>313</v>
      </c>
      <c r="B315" s="1">
        <v>45447</v>
      </c>
      <c r="C315" t="s">
        <v>28</v>
      </c>
      <c r="D315">
        <v>125</v>
      </c>
      <c r="E315" t="s">
        <v>15</v>
      </c>
      <c r="F315" t="s">
        <v>21</v>
      </c>
    </row>
    <row r="316" spans="1:6" x14ac:dyDescent="0.25">
      <c r="A316">
        <v>314</v>
      </c>
      <c r="B316" s="1">
        <v>45448</v>
      </c>
      <c r="C316" t="s">
        <v>50</v>
      </c>
      <c r="D316">
        <v>699</v>
      </c>
      <c r="E316" t="s">
        <v>15</v>
      </c>
      <c r="F316" t="s">
        <v>21</v>
      </c>
    </row>
    <row r="317" spans="1:6" x14ac:dyDescent="0.25">
      <c r="A317">
        <v>315</v>
      </c>
      <c r="B317" s="1">
        <v>45449</v>
      </c>
      <c r="C317" t="s">
        <v>28</v>
      </c>
      <c r="D317">
        <v>125</v>
      </c>
      <c r="E317" t="s">
        <v>15</v>
      </c>
      <c r="F317" t="s">
        <v>21</v>
      </c>
    </row>
    <row r="318" spans="1:6" x14ac:dyDescent="0.25">
      <c r="A318">
        <v>316</v>
      </c>
      <c r="B318" s="1">
        <v>45449</v>
      </c>
      <c r="C318" t="s">
        <v>38</v>
      </c>
      <c r="D318">
        <v>1500</v>
      </c>
      <c r="E318" t="s">
        <v>15</v>
      </c>
      <c r="F318" t="s">
        <v>13</v>
      </c>
    </row>
    <row r="319" spans="1:6" x14ac:dyDescent="0.25">
      <c r="A319">
        <v>317</v>
      </c>
      <c r="B319" s="1">
        <v>45449</v>
      </c>
      <c r="C319" t="s">
        <v>24</v>
      </c>
      <c r="D319">
        <v>239</v>
      </c>
      <c r="E319" t="s">
        <v>15</v>
      </c>
      <c r="F319" t="s">
        <v>21</v>
      </c>
    </row>
    <row r="320" spans="1:6" x14ac:dyDescent="0.25">
      <c r="A320">
        <v>318</v>
      </c>
      <c r="B320" s="1">
        <v>45450</v>
      </c>
      <c r="C320" t="s">
        <v>145</v>
      </c>
      <c r="D320">
        <v>5000</v>
      </c>
      <c r="E320" t="s">
        <v>15</v>
      </c>
      <c r="F320" t="s">
        <v>13</v>
      </c>
    </row>
    <row r="321" spans="1:6" x14ac:dyDescent="0.25">
      <c r="A321">
        <v>319</v>
      </c>
      <c r="B321" s="1">
        <v>45450</v>
      </c>
      <c r="C321" t="s">
        <v>159</v>
      </c>
      <c r="D321">
        <v>2400</v>
      </c>
      <c r="E321" t="s">
        <v>15</v>
      </c>
      <c r="F321" t="s">
        <v>13</v>
      </c>
    </row>
    <row r="322" spans="1:6" x14ac:dyDescent="0.25">
      <c r="A322">
        <v>320</v>
      </c>
      <c r="B322" s="1">
        <v>45450</v>
      </c>
      <c r="C322" t="s">
        <v>37</v>
      </c>
      <c r="D322">
        <v>25</v>
      </c>
      <c r="E322" t="s">
        <v>15</v>
      </c>
      <c r="F322" t="s">
        <v>13</v>
      </c>
    </row>
    <row r="323" spans="1:6" x14ac:dyDescent="0.25">
      <c r="A323">
        <v>321</v>
      </c>
      <c r="B323" s="1">
        <v>45450</v>
      </c>
      <c r="C323" t="s">
        <v>28</v>
      </c>
      <c r="D323">
        <v>25</v>
      </c>
      <c r="E323" t="s">
        <v>15</v>
      </c>
      <c r="F323" t="s">
        <v>21</v>
      </c>
    </row>
    <row r="324" spans="1:6" x14ac:dyDescent="0.25">
      <c r="A324">
        <v>322</v>
      </c>
      <c r="B324" s="1">
        <v>45450</v>
      </c>
      <c r="C324" t="s">
        <v>28</v>
      </c>
      <c r="D324">
        <v>125</v>
      </c>
      <c r="E324" t="s">
        <v>15</v>
      </c>
      <c r="F324" t="s">
        <v>21</v>
      </c>
    </row>
    <row r="325" spans="1:6" x14ac:dyDescent="0.25">
      <c r="A325">
        <v>323</v>
      </c>
      <c r="B325" s="1">
        <v>45450</v>
      </c>
      <c r="C325" t="s">
        <v>28</v>
      </c>
      <c r="D325">
        <v>50</v>
      </c>
      <c r="E325" t="s">
        <v>15</v>
      </c>
      <c r="F325" t="s">
        <v>21</v>
      </c>
    </row>
    <row r="326" spans="1:6" x14ac:dyDescent="0.25">
      <c r="A326">
        <v>324</v>
      </c>
      <c r="B326" s="1">
        <v>45453</v>
      </c>
      <c r="C326" t="s">
        <v>160</v>
      </c>
      <c r="D326">
        <v>240</v>
      </c>
      <c r="E326" t="s">
        <v>15</v>
      </c>
      <c r="F326" t="s">
        <v>13</v>
      </c>
    </row>
    <row r="327" spans="1:6" x14ac:dyDescent="0.25">
      <c r="A327">
        <v>325</v>
      </c>
      <c r="B327" s="1">
        <v>45453</v>
      </c>
      <c r="C327" t="s">
        <v>161</v>
      </c>
      <c r="D327">
        <v>328</v>
      </c>
      <c r="E327" t="s">
        <v>15</v>
      </c>
      <c r="F327" t="s">
        <v>13</v>
      </c>
    </row>
    <row r="328" spans="1:6" x14ac:dyDescent="0.25">
      <c r="A328">
        <v>326</v>
      </c>
      <c r="B328" s="1">
        <v>45453</v>
      </c>
      <c r="C328" t="s">
        <v>162</v>
      </c>
      <c r="D328">
        <v>19000</v>
      </c>
      <c r="E328" t="s">
        <v>10</v>
      </c>
      <c r="F328" t="s">
        <v>8</v>
      </c>
    </row>
    <row r="329" spans="1:6" x14ac:dyDescent="0.25">
      <c r="A329">
        <v>327</v>
      </c>
      <c r="B329" s="1">
        <v>45453</v>
      </c>
      <c r="C329" t="s">
        <v>163</v>
      </c>
      <c r="D329">
        <v>38</v>
      </c>
      <c r="E329" t="s">
        <v>15</v>
      </c>
      <c r="F329" t="s">
        <v>8</v>
      </c>
    </row>
    <row r="330" spans="1:6" x14ac:dyDescent="0.25">
      <c r="A330">
        <v>328</v>
      </c>
      <c r="B330" s="1">
        <v>45453</v>
      </c>
      <c r="C330" t="s">
        <v>164</v>
      </c>
      <c r="D330">
        <v>19000</v>
      </c>
      <c r="E330" t="s">
        <v>12</v>
      </c>
      <c r="F330" t="s">
        <v>13</v>
      </c>
    </row>
    <row r="331" spans="1:6" x14ac:dyDescent="0.25">
      <c r="A331">
        <v>329</v>
      </c>
      <c r="B331" s="1">
        <v>45453</v>
      </c>
      <c r="C331" t="s">
        <v>165</v>
      </c>
      <c r="D331">
        <v>170</v>
      </c>
      <c r="E331" t="s">
        <v>15</v>
      </c>
      <c r="F331" t="s">
        <v>13</v>
      </c>
    </row>
    <row r="332" spans="1:6" x14ac:dyDescent="0.25">
      <c r="A332">
        <v>330</v>
      </c>
      <c r="B332" s="1">
        <v>45453</v>
      </c>
      <c r="C332" t="s">
        <v>166</v>
      </c>
      <c r="D332">
        <v>15</v>
      </c>
      <c r="E332" t="s">
        <v>15</v>
      </c>
      <c r="F332" t="s">
        <v>13</v>
      </c>
    </row>
    <row r="333" spans="1:6" x14ac:dyDescent="0.25">
      <c r="A333">
        <v>331</v>
      </c>
      <c r="B333" s="1">
        <v>45453</v>
      </c>
      <c r="C333" t="s">
        <v>167</v>
      </c>
      <c r="D333">
        <v>451</v>
      </c>
      <c r="E333" t="s">
        <v>15</v>
      </c>
      <c r="F333" t="s">
        <v>13</v>
      </c>
    </row>
    <row r="334" spans="1:6" x14ac:dyDescent="0.25">
      <c r="A334">
        <v>332</v>
      </c>
      <c r="B334" s="1">
        <v>45453</v>
      </c>
      <c r="C334" t="s">
        <v>168</v>
      </c>
      <c r="D334">
        <v>5000</v>
      </c>
      <c r="E334" t="s">
        <v>15</v>
      </c>
      <c r="F334" t="s">
        <v>13</v>
      </c>
    </row>
    <row r="335" spans="1:6" x14ac:dyDescent="0.25">
      <c r="A335">
        <v>333</v>
      </c>
      <c r="B335" s="1">
        <v>45453</v>
      </c>
      <c r="C335" t="s">
        <v>169</v>
      </c>
      <c r="D335">
        <v>70</v>
      </c>
      <c r="E335" t="s">
        <v>15</v>
      </c>
      <c r="F335" t="s">
        <v>13</v>
      </c>
    </row>
    <row r="336" spans="1:6" x14ac:dyDescent="0.25">
      <c r="A336">
        <v>334</v>
      </c>
      <c r="B336" s="1">
        <v>45453</v>
      </c>
      <c r="C336" t="s">
        <v>170</v>
      </c>
      <c r="D336">
        <v>320</v>
      </c>
      <c r="E336" t="s">
        <v>15</v>
      </c>
      <c r="F336" t="s">
        <v>13</v>
      </c>
    </row>
    <row r="337" spans="1:6" x14ac:dyDescent="0.25">
      <c r="A337">
        <v>335</v>
      </c>
      <c r="B337" s="1">
        <v>45453</v>
      </c>
      <c r="C337" t="s">
        <v>171</v>
      </c>
      <c r="D337">
        <v>360</v>
      </c>
      <c r="E337" t="s">
        <v>15</v>
      </c>
      <c r="F337" t="s">
        <v>13</v>
      </c>
    </row>
    <row r="338" spans="1:6" x14ac:dyDescent="0.25">
      <c r="A338">
        <v>336</v>
      </c>
      <c r="B338" s="1">
        <v>45453</v>
      </c>
      <c r="C338" t="s">
        <v>20</v>
      </c>
      <c r="D338">
        <v>200</v>
      </c>
      <c r="E338" t="s">
        <v>10</v>
      </c>
      <c r="F338" t="s">
        <v>13</v>
      </c>
    </row>
    <row r="339" spans="1:6" x14ac:dyDescent="0.25">
      <c r="A339">
        <v>337</v>
      </c>
      <c r="B339" s="1">
        <v>45453</v>
      </c>
      <c r="C339" t="s">
        <v>20</v>
      </c>
      <c r="D339">
        <v>200</v>
      </c>
      <c r="E339" t="s">
        <v>12</v>
      </c>
      <c r="F339" t="s">
        <v>21</v>
      </c>
    </row>
    <row r="340" spans="1:6" x14ac:dyDescent="0.25">
      <c r="A340">
        <v>338</v>
      </c>
      <c r="B340" s="1">
        <v>45453</v>
      </c>
      <c r="C340" t="s">
        <v>64</v>
      </c>
      <c r="D340">
        <v>199</v>
      </c>
      <c r="E340" t="s">
        <v>15</v>
      </c>
      <c r="F340" t="s">
        <v>21</v>
      </c>
    </row>
    <row r="341" spans="1:6" x14ac:dyDescent="0.25">
      <c r="A341">
        <v>339</v>
      </c>
      <c r="B341" s="1">
        <v>45454</v>
      </c>
      <c r="C341" t="s">
        <v>172</v>
      </c>
      <c r="D341">
        <v>1500</v>
      </c>
      <c r="E341" t="s">
        <v>12</v>
      </c>
      <c r="F341" t="s">
        <v>21</v>
      </c>
    </row>
    <row r="342" spans="1:6" x14ac:dyDescent="0.25">
      <c r="A342">
        <v>340</v>
      </c>
      <c r="B342" s="1">
        <v>45454</v>
      </c>
      <c r="C342" t="s">
        <v>173</v>
      </c>
      <c r="D342">
        <v>750</v>
      </c>
      <c r="E342" t="s">
        <v>10</v>
      </c>
      <c r="F342" t="s">
        <v>21</v>
      </c>
    </row>
    <row r="343" spans="1:6" x14ac:dyDescent="0.25">
      <c r="A343">
        <v>341</v>
      </c>
      <c r="B343" s="1">
        <v>45456</v>
      </c>
      <c r="C343" t="s">
        <v>131</v>
      </c>
      <c r="D343">
        <v>12615</v>
      </c>
      <c r="E343" t="s">
        <v>7</v>
      </c>
      <c r="F343" t="s">
        <v>8</v>
      </c>
    </row>
    <row r="344" spans="1:6" x14ac:dyDescent="0.25">
      <c r="A344">
        <v>342</v>
      </c>
      <c r="B344" s="1">
        <v>45456</v>
      </c>
      <c r="C344" t="s">
        <v>28</v>
      </c>
      <c r="D344">
        <v>125</v>
      </c>
      <c r="E344" t="s">
        <v>15</v>
      </c>
      <c r="F344" t="s">
        <v>21</v>
      </c>
    </row>
    <row r="345" spans="1:6" x14ac:dyDescent="0.25">
      <c r="A345">
        <v>343</v>
      </c>
      <c r="B345" s="1">
        <v>45457</v>
      </c>
      <c r="C345" t="s">
        <v>28</v>
      </c>
      <c r="D345">
        <v>50</v>
      </c>
      <c r="E345" t="s">
        <v>15</v>
      </c>
      <c r="F345" t="s">
        <v>21</v>
      </c>
    </row>
    <row r="346" spans="1:6" x14ac:dyDescent="0.25">
      <c r="A346">
        <v>344</v>
      </c>
      <c r="B346" s="1">
        <v>45458</v>
      </c>
      <c r="C346" t="s">
        <v>103</v>
      </c>
      <c r="D346">
        <v>260</v>
      </c>
      <c r="E346" t="s">
        <v>15</v>
      </c>
      <c r="F346" t="s">
        <v>13</v>
      </c>
    </row>
    <row r="347" spans="1:6" x14ac:dyDescent="0.25">
      <c r="A347">
        <v>345</v>
      </c>
      <c r="B347" s="1">
        <v>45458</v>
      </c>
      <c r="C347" t="s">
        <v>20</v>
      </c>
      <c r="D347">
        <v>3000</v>
      </c>
      <c r="E347" t="s">
        <v>10</v>
      </c>
      <c r="F347" t="s">
        <v>13</v>
      </c>
    </row>
    <row r="348" spans="1:6" x14ac:dyDescent="0.25">
      <c r="A348">
        <v>346</v>
      </c>
      <c r="B348" s="1">
        <v>45458</v>
      </c>
      <c r="C348" t="s">
        <v>174</v>
      </c>
      <c r="D348">
        <v>3000</v>
      </c>
      <c r="E348" t="s">
        <v>12</v>
      </c>
      <c r="F348" t="s">
        <v>21</v>
      </c>
    </row>
    <row r="349" spans="1:6" x14ac:dyDescent="0.25">
      <c r="A349">
        <v>347</v>
      </c>
      <c r="B349" s="1">
        <v>45462</v>
      </c>
      <c r="C349" t="s">
        <v>87</v>
      </c>
      <c r="D349">
        <v>250</v>
      </c>
      <c r="E349" t="s">
        <v>15</v>
      </c>
      <c r="F349" t="s">
        <v>13</v>
      </c>
    </row>
    <row r="350" spans="1:6" x14ac:dyDescent="0.25">
      <c r="A350">
        <v>348</v>
      </c>
      <c r="B350" s="1">
        <v>45462</v>
      </c>
      <c r="C350" t="s">
        <v>175</v>
      </c>
      <c r="D350">
        <v>75</v>
      </c>
      <c r="E350" t="s">
        <v>15</v>
      </c>
      <c r="F350" t="s">
        <v>13</v>
      </c>
    </row>
    <row r="351" spans="1:6" x14ac:dyDescent="0.25">
      <c r="A351">
        <v>349</v>
      </c>
      <c r="B351" s="1">
        <v>45463</v>
      </c>
      <c r="C351" t="s">
        <v>64</v>
      </c>
      <c r="D351">
        <v>199</v>
      </c>
      <c r="E351" t="s">
        <v>15</v>
      </c>
      <c r="F351" t="s">
        <v>21</v>
      </c>
    </row>
    <row r="352" spans="1:6" x14ac:dyDescent="0.25">
      <c r="A352">
        <v>350</v>
      </c>
      <c r="B352" s="1">
        <v>45463</v>
      </c>
      <c r="C352" t="s">
        <v>28</v>
      </c>
      <c r="D352">
        <v>50</v>
      </c>
      <c r="E352" t="s">
        <v>15</v>
      </c>
      <c r="F352" t="s">
        <v>21</v>
      </c>
    </row>
    <row r="353" spans="1:6" x14ac:dyDescent="0.25">
      <c r="A353">
        <v>351</v>
      </c>
      <c r="B353" s="1">
        <v>45464</v>
      </c>
      <c r="C353" t="s">
        <v>34</v>
      </c>
      <c r="D353">
        <v>129</v>
      </c>
      <c r="E353" t="s">
        <v>15</v>
      </c>
      <c r="F353" t="s">
        <v>21</v>
      </c>
    </row>
    <row r="354" spans="1:6" x14ac:dyDescent="0.25">
      <c r="A354">
        <v>352</v>
      </c>
      <c r="B354" s="1">
        <v>45465</v>
      </c>
      <c r="C354" t="s">
        <v>176</v>
      </c>
      <c r="D354">
        <v>129</v>
      </c>
      <c r="E354" t="s">
        <v>15</v>
      </c>
      <c r="F354" t="s">
        <v>21</v>
      </c>
    </row>
    <row r="355" spans="1:6" x14ac:dyDescent="0.25">
      <c r="A355">
        <v>353</v>
      </c>
      <c r="B355" s="1">
        <v>45466</v>
      </c>
      <c r="C355" t="s">
        <v>28</v>
      </c>
      <c r="D355">
        <v>50</v>
      </c>
      <c r="E355" t="s">
        <v>15</v>
      </c>
      <c r="F355" t="s">
        <v>21</v>
      </c>
    </row>
    <row r="356" spans="1:6" x14ac:dyDescent="0.25">
      <c r="A356">
        <v>354</v>
      </c>
      <c r="B356" s="1">
        <v>45466</v>
      </c>
      <c r="C356" t="s">
        <v>28</v>
      </c>
      <c r="D356">
        <v>50</v>
      </c>
      <c r="E356" t="s">
        <v>15</v>
      </c>
      <c r="F356" t="s">
        <v>21</v>
      </c>
    </row>
    <row r="357" spans="1:6" x14ac:dyDescent="0.25">
      <c r="A357">
        <v>355</v>
      </c>
      <c r="B357" s="1">
        <v>45466</v>
      </c>
      <c r="C357" t="s">
        <v>28</v>
      </c>
      <c r="D357">
        <v>125</v>
      </c>
      <c r="E357" t="s">
        <v>15</v>
      </c>
      <c r="F357" t="s">
        <v>21</v>
      </c>
    </row>
    <row r="358" spans="1:6" x14ac:dyDescent="0.25">
      <c r="A358">
        <v>356</v>
      </c>
      <c r="B358" s="1">
        <v>45466</v>
      </c>
      <c r="C358" t="s">
        <v>87</v>
      </c>
      <c r="D358">
        <v>240</v>
      </c>
      <c r="E358" t="s">
        <v>15</v>
      </c>
      <c r="F358" t="s">
        <v>13</v>
      </c>
    </row>
    <row r="359" spans="1:6" x14ac:dyDescent="0.25">
      <c r="A359">
        <v>357</v>
      </c>
      <c r="B359" s="1">
        <v>45470</v>
      </c>
      <c r="C359" t="s">
        <v>6</v>
      </c>
      <c r="D359">
        <v>12616</v>
      </c>
      <c r="E359" t="s">
        <v>7</v>
      </c>
      <c r="F359" t="s">
        <v>13</v>
      </c>
    </row>
    <row r="360" spans="1:6" x14ac:dyDescent="0.25">
      <c r="A360">
        <v>358</v>
      </c>
      <c r="B360" s="1">
        <v>45470</v>
      </c>
      <c r="C360" t="s">
        <v>28</v>
      </c>
      <c r="D360">
        <v>50</v>
      </c>
      <c r="E360" t="s">
        <v>15</v>
      </c>
      <c r="F360" t="s">
        <v>21</v>
      </c>
    </row>
    <row r="361" spans="1:6" x14ac:dyDescent="0.25">
      <c r="A361">
        <v>359</v>
      </c>
      <c r="B361" s="1">
        <v>45470</v>
      </c>
      <c r="C361" t="s">
        <v>28</v>
      </c>
      <c r="D361">
        <v>50</v>
      </c>
      <c r="E361" t="s">
        <v>15</v>
      </c>
      <c r="F361" t="s">
        <v>21</v>
      </c>
    </row>
    <row r="362" spans="1:6" x14ac:dyDescent="0.25">
      <c r="A362">
        <v>360</v>
      </c>
      <c r="B362" s="1">
        <v>45471</v>
      </c>
      <c r="C362" t="s">
        <v>176</v>
      </c>
      <c r="D362">
        <v>129</v>
      </c>
      <c r="E362" t="s">
        <v>15</v>
      </c>
      <c r="F362" t="s">
        <v>21</v>
      </c>
    </row>
    <row r="363" spans="1:6" x14ac:dyDescent="0.25">
      <c r="A363">
        <v>361</v>
      </c>
      <c r="B363" s="1">
        <v>45471</v>
      </c>
      <c r="C363" t="s">
        <v>28</v>
      </c>
      <c r="D363">
        <v>125</v>
      </c>
      <c r="E363" t="s">
        <v>15</v>
      </c>
      <c r="F363" t="s">
        <v>21</v>
      </c>
    </row>
    <row r="364" spans="1:6" x14ac:dyDescent="0.25">
      <c r="A364">
        <v>362</v>
      </c>
      <c r="B364" s="1">
        <v>45471</v>
      </c>
      <c r="C364" t="s">
        <v>177</v>
      </c>
      <c r="D364">
        <v>150</v>
      </c>
      <c r="E364" t="s">
        <v>15</v>
      </c>
      <c r="F364" t="s">
        <v>21</v>
      </c>
    </row>
    <row r="365" spans="1:6" x14ac:dyDescent="0.25">
      <c r="A365">
        <v>363</v>
      </c>
      <c r="B365" s="1">
        <v>45471</v>
      </c>
      <c r="C365" t="s">
        <v>178</v>
      </c>
      <c r="D365">
        <v>150</v>
      </c>
      <c r="E365" t="s">
        <v>15</v>
      </c>
      <c r="F365" t="s">
        <v>13</v>
      </c>
    </row>
    <row r="366" spans="1:6" x14ac:dyDescent="0.25">
      <c r="A366">
        <v>364</v>
      </c>
      <c r="B366" s="1">
        <v>45471</v>
      </c>
      <c r="C366" t="s">
        <v>167</v>
      </c>
      <c r="D366">
        <v>178</v>
      </c>
      <c r="E366" t="s">
        <v>15</v>
      </c>
      <c r="F366" t="s">
        <v>13</v>
      </c>
    </row>
    <row r="367" spans="1:6" x14ac:dyDescent="0.25">
      <c r="A367">
        <v>365</v>
      </c>
      <c r="B367" s="1">
        <v>45471</v>
      </c>
      <c r="C367" t="s">
        <v>179</v>
      </c>
      <c r="D367">
        <v>16</v>
      </c>
      <c r="E367" t="s">
        <v>15</v>
      </c>
      <c r="F367" t="s">
        <v>13</v>
      </c>
    </row>
    <row r="368" spans="1:6" x14ac:dyDescent="0.25">
      <c r="A368">
        <v>366</v>
      </c>
      <c r="B368" s="1">
        <v>45471</v>
      </c>
      <c r="C368" t="s">
        <v>180</v>
      </c>
      <c r="D368">
        <v>10</v>
      </c>
      <c r="E368" t="s">
        <v>15</v>
      </c>
      <c r="F368" t="s">
        <v>13</v>
      </c>
    </row>
    <row r="369" spans="1:6" x14ac:dyDescent="0.25">
      <c r="A369">
        <v>367</v>
      </c>
      <c r="B369" s="1">
        <v>45471</v>
      </c>
      <c r="C369" t="s">
        <v>67</v>
      </c>
      <c r="D369">
        <v>12</v>
      </c>
      <c r="E369" t="s">
        <v>15</v>
      </c>
      <c r="F369" t="s">
        <v>13</v>
      </c>
    </row>
    <row r="370" spans="1:6" x14ac:dyDescent="0.25">
      <c r="A370">
        <v>368</v>
      </c>
      <c r="B370" s="1">
        <v>45471</v>
      </c>
      <c r="C370" t="s">
        <v>181</v>
      </c>
      <c r="D370">
        <v>150</v>
      </c>
      <c r="E370" t="s">
        <v>15</v>
      </c>
      <c r="F370" t="s">
        <v>13</v>
      </c>
    </row>
    <row r="371" spans="1:6" x14ac:dyDescent="0.25">
      <c r="A371">
        <v>369</v>
      </c>
      <c r="B371" s="1">
        <v>45471</v>
      </c>
      <c r="C371" t="s">
        <v>76</v>
      </c>
      <c r="D371">
        <v>50</v>
      </c>
      <c r="E371" t="s">
        <v>15</v>
      </c>
      <c r="F371" t="s">
        <v>13</v>
      </c>
    </row>
    <row r="372" spans="1:6" x14ac:dyDescent="0.25">
      <c r="A372">
        <v>370</v>
      </c>
      <c r="B372" s="1">
        <v>45471</v>
      </c>
      <c r="C372" t="s">
        <v>136</v>
      </c>
      <c r="D372">
        <v>220000</v>
      </c>
      <c r="E372" t="s">
        <v>10</v>
      </c>
      <c r="F372" t="s">
        <v>8</v>
      </c>
    </row>
    <row r="373" spans="1:6" x14ac:dyDescent="0.25">
      <c r="A373">
        <v>371</v>
      </c>
      <c r="B373" s="1">
        <v>45471</v>
      </c>
      <c r="C373" t="s">
        <v>11</v>
      </c>
      <c r="D373">
        <v>220000</v>
      </c>
      <c r="E373" t="s">
        <v>12</v>
      </c>
      <c r="F373" t="s">
        <v>13</v>
      </c>
    </row>
    <row r="374" spans="1:6" x14ac:dyDescent="0.25">
      <c r="A374">
        <v>372</v>
      </c>
      <c r="B374" s="1">
        <v>45474</v>
      </c>
      <c r="C374" t="s">
        <v>64</v>
      </c>
      <c r="D374">
        <v>199</v>
      </c>
      <c r="E374" t="s">
        <v>15</v>
      </c>
      <c r="F374" t="s">
        <v>21</v>
      </c>
    </row>
    <row r="375" spans="1:6" x14ac:dyDescent="0.25">
      <c r="A375">
        <v>373</v>
      </c>
      <c r="B375" s="1">
        <v>45477</v>
      </c>
      <c r="C375" t="s">
        <v>145</v>
      </c>
      <c r="D375">
        <v>5000</v>
      </c>
      <c r="E375" t="s">
        <v>15</v>
      </c>
      <c r="F375" t="s">
        <v>13</v>
      </c>
    </row>
    <row r="376" spans="1:6" x14ac:dyDescent="0.25">
      <c r="A376">
        <v>374</v>
      </c>
      <c r="B376" s="1">
        <v>45477</v>
      </c>
      <c r="C376" t="s">
        <v>103</v>
      </c>
      <c r="D376">
        <v>260</v>
      </c>
      <c r="E376" t="s">
        <v>15</v>
      </c>
      <c r="F376" t="s">
        <v>13</v>
      </c>
    </row>
    <row r="377" spans="1:6" x14ac:dyDescent="0.25">
      <c r="A377">
        <v>375</v>
      </c>
      <c r="B377" s="1">
        <v>45479</v>
      </c>
      <c r="C377" t="s">
        <v>24</v>
      </c>
      <c r="D377">
        <v>239</v>
      </c>
      <c r="E377" t="s">
        <v>15</v>
      </c>
      <c r="F377" t="s">
        <v>21</v>
      </c>
    </row>
    <row r="378" spans="1:6" x14ac:dyDescent="0.25">
      <c r="A378">
        <v>376</v>
      </c>
      <c r="B378" s="1">
        <v>45483</v>
      </c>
      <c r="C378" t="s">
        <v>182</v>
      </c>
      <c r="D378">
        <v>144</v>
      </c>
      <c r="E378" t="s">
        <v>15</v>
      </c>
      <c r="F378" t="s">
        <v>13</v>
      </c>
    </row>
    <row r="379" spans="1:6" x14ac:dyDescent="0.25">
      <c r="A379">
        <v>377</v>
      </c>
      <c r="B379" s="1">
        <v>45483</v>
      </c>
      <c r="C379" t="s">
        <v>183</v>
      </c>
      <c r="D379">
        <v>188</v>
      </c>
      <c r="E379" t="s">
        <v>15</v>
      </c>
      <c r="F379" t="s">
        <v>21</v>
      </c>
    </row>
    <row r="380" spans="1:6" x14ac:dyDescent="0.25">
      <c r="A380">
        <v>378</v>
      </c>
      <c r="B380" s="1">
        <v>45483</v>
      </c>
      <c r="C380" t="s">
        <v>184</v>
      </c>
      <c r="D380">
        <v>50</v>
      </c>
      <c r="E380" t="s">
        <v>15</v>
      </c>
      <c r="F380" t="s">
        <v>21</v>
      </c>
    </row>
    <row r="381" spans="1:6" x14ac:dyDescent="0.25">
      <c r="A381">
        <v>379</v>
      </c>
      <c r="B381" s="1">
        <v>45483</v>
      </c>
      <c r="C381" t="s">
        <v>184</v>
      </c>
      <c r="D381">
        <v>125</v>
      </c>
      <c r="E381" t="s">
        <v>15</v>
      </c>
      <c r="F381" t="s">
        <v>21</v>
      </c>
    </row>
    <row r="382" spans="1:6" x14ac:dyDescent="0.25">
      <c r="A382">
        <v>380</v>
      </c>
      <c r="B382" s="1">
        <v>45484</v>
      </c>
      <c r="C382" t="s">
        <v>185</v>
      </c>
      <c r="D382">
        <v>2542</v>
      </c>
      <c r="E382" t="s">
        <v>15</v>
      </c>
      <c r="F382" t="s">
        <v>13</v>
      </c>
    </row>
    <row r="383" spans="1:6" x14ac:dyDescent="0.25">
      <c r="A383">
        <v>381</v>
      </c>
      <c r="B383" s="1">
        <v>45485</v>
      </c>
      <c r="C383" t="s">
        <v>28</v>
      </c>
      <c r="D383">
        <v>50</v>
      </c>
      <c r="E383" t="s">
        <v>15</v>
      </c>
      <c r="F383" t="s">
        <v>21</v>
      </c>
    </row>
    <row r="384" spans="1:6" x14ac:dyDescent="0.25">
      <c r="A384">
        <v>382</v>
      </c>
      <c r="B384" s="1">
        <v>45488</v>
      </c>
      <c r="C384" t="s">
        <v>186</v>
      </c>
      <c r="D384">
        <v>30</v>
      </c>
      <c r="E384" t="s">
        <v>15</v>
      </c>
      <c r="F384" t="s">
        <v>13</v>
      </c>
    </row>
    <row r="385" spans="1:6" x14ac:dyDescent="0.25">
      <c r="A385">
        <v>383</v>
      </c>
      <c r="B385" s="1">
        <v>45488</v>
      </c>
      <c r="C385" t="s">
        <v>6</v>
      </c>
      <c r="D385">
        <v>12663</v>
      </c>
      <c r="E385" t="s">
        <v>7</v>
      </c>
      <c r="F385" t="s">
        <v>8</v>
      </c>
    </row>
    <row r="386" spans="1:6" x14ac:dyDescent="0.25">
      <c r="A386">
        <v>384</v>
      </c>
      <c r="B386" s="1">
        <v>45489</v>
      </c>
      <c r="C386" t="s">
        <v>187</v>
      </c>
      <c r="D386">
        <v>45</v>
      </c>
      <c r="E386" t="s">
        <v>15</v>
      </c>
      <c r="F386" t="s">
        <v>13</v>
      </c>
    </row>
    <row r="387" spans="1:6" x14ac:dyDescent="0.25">
      <c r="A387">
        <v>385</v>
      </c>
      <c r="B387" s="1">
        <v>45489</v>
      </c>
      <c r="C387" t="s">
        <v>188</v>
      </c>
      <c r="D387">
        <v>1195</v>
      </c>
      <c r="E387" t="s">
        <v>15</v>
      </c>
      <c r="F387" t="s">
        <v>13</v>
      </c>
    </row>
    <row r="388" spans="1:6" x14ac:dyDescent="0.25">
      <c r="A388">
        <v>386</v>
      </c>
      <c r="B388" s="1">
        <v>45489</v>
      </c>
      <c r="C388" t="s">
        <v>189</v>
      </c>
      <c r="D388">
        <v>455</v>
      </c>
      <c r="E388" t="s">
        <v>15</v>
      </c>
      <c r="F388" t="s">
        <v>13</v>
      </c>
    </row>
    <row r="389" spans="1:6" x14ac:dyDescent="0.25">
      <c r="A389">
        <v>387</v>
      </c>
      <c r="B389" s="1">
        <v>45489</v>
      </c>
      <c r="C389" t="s">
        <v>190</v>
      </c>
      <c r="D389">
        <v>550</v>
      </c>
      <c r="E389" t="s">
        <v>15</v>
      </c>
      <c r="F389" t="s">
        <v>13</v>
      </c>
    </row>
    <row r="390" spans="1:6" x14ac:dyDescent="0.25">
      <c r="A390">
        <v>388</v>
      </c>
      <c r="B390" s="1">
        <v>45489</v>
      </c>
      <c r="C390" t="s">
        <v>191</v>
      </c>
      <c r="D390">
        <v>2000</v>
      </c>
      <c r="E390" t="s">
        <v>15</v>
      </c>
      <c r="F390" t="s">
        <v>13</v>
      </c>
    </row>
    <row r="391" spans="1:6" x14ac:dyDescent="0.25">
      <c r="A391">
        <v>389</v>
      </c>
      <c r="B391" s="1">
        <v>45490</v>
      </c>
      <c r="C391" t="s">
        <v>192</v>
      </c>
      <c r="D391">
        <v>237</v>
      </c>
      <c r="E391" t="s">
        <v>15</v>
      </c>
      <c r="F391" t="s">
        <v>13</v>
      </c>
    </row>
    <row r="392" spans="1:6" x14ac:dyDescent="0.25">
      <c r="A392">
        <v>390</v>
      </c>
      <c r="B392" s="1">
        <v>45490</v>
      </c>
      <c r="C392" t="s">
        <v>193</v>
      </c>
      <c r="D392">
        <v>160</v>
      </c>
      <c r="E392" t="s">
        <v>15</v>
      </c>
      <c r="F392" t="s">
        <v>13</v>
      </c>
    </row>
    <row r="393" spans="1:6" x14ac:dyDescent="0.25">
      <c r="A393">
        <v>391</v>
      </c>
      <c r="B393" s="1">
        <v>45490</v>
      </c>
      <c r="C393" t="s">
        <v>64</v>
      </c>
      <c r="D393">
        <v>199</v>
      </c>
      <c r="E393" t="s">
        <v>15</v>
      </c>
      <c r="F393" t="s">
        <v>21</v>
      </c>
    </row>
    <row r="394" spans="1:6" x14ac:dyDescent="0.25">
      <c r="A394">
        <v>392</v>
      </c>
      <c r="B394" s="1">
        <v>45490</v>
      </c>
      <c r="C394" t="s">
        <v>50</v>
      </c>
      <c r="D394">
        <v>699</v>
      </c>
      <c r="E394" t="s">
        <v>15</v>
      </c>
      <c r="F394" t="s">
        <v>21</v>
      </c>
    </row>
    <row r="395" spans="1:6" x14ac:dyDescent="0.25">
      <c r="A395">
        <v>393</v>
      </c>
      <c r="B395" s="1">
        <v>45492</v>
      </c>
      <c r="C395" t="s">
        <v>87</v>
      </c>
      <c r="D395">
        <v>600</v>
      </c>
      <c r="E395" t="s">
        <v>15</v>
      </c>
      <c r="F395" t="s">
        <v>13</v>
      </c>
    </row>
    <row r="396" spans="1:6" x14ac:dyDescent="0.25">
      <c r="A396">
        <v>394</v>
      </c>
      <c r="B396" s="1">
        <v>45492</v>
      </c>
      <c r="C396" t="s">
        <v>79</v>
      </c>
      <c r="D396">
        <v>150</v>
      </c>
      <c r="E396" t="s">
        <v>15</v>
      </c>
      <c r="F396" t="s">
        <v>13</v>
      </c>
    </row>
    <row r="397" spans="1:6" x14ac:dyDescent="0.25">
      <c r="A397">
        <v>395</v>
      </c>
      <c r="B397" s="1">
        <v>45492</v>
      </c>
      <c r="C397" t="s">
        <v>194</v>
      </c>
      <c r="D397">
        <v>4000</v>
      </c>
      <c r="E397" t="s">
        <v>15</v>
      </c>
      <c r="F397" t="s">
        <v>13</v>
      </c>
    </row>
    <row r="398" spans="1:6" x14ac:dyDescent="0.25">
      <c r="A398">
        <v>396</v>
      </c>
      <c r="B398" s="1">
        <v>45493</v>
      </c>
      <c r="C398" t="s">
        <v>87</v>
      </c>
      <c r="D398">
        <v>1200</v>
      </c>
      <c r="E398" t="s">
        <v>15</v>
      </c>
      <c r="F398" t="s">
        <v>13</v>
      </c>
    </row>
    <row r="399" spans="1:6" x14ac:dyDescent="0.25">
      <c r="A399">
        <v>397</v>
      </c>
      <c r="B399" s="1">
        <v>45494</v>
      </c>
      <c r="C399" t="s">
        <v>20</v>
      </c>
      <c r="D399">
        <v>3000</v>
      </c>
      <c r="E399" t="s">
        <v>10</v>
      </c>
      <c r="F399" t="s">
        <v>13</v>
      </c>
    </row>
    <row r="400" spans="1:6" x14ac:dyDescent="0.25">
      <c r="A400">
        <v>398</v>
      </c>
      <c r="B400" s="1">
        <v>45494</v>
      </c>
      <c r="C400" t="s">
        <v>20</v>
      </c>
      <c r="D400">
        <v>3400</v>
      </c>
      <c r="E400" t="s">
        <v>12</v>
      </c>
      <c r="F400" t="s">
        <v>21</v>
      </c>
    </row>
    <row r="401" spans="1:6" x14ac:dyDescent="0.25">
      <c r="A401">
        <v>399</v>
      </c>
      <c r="B401" s="1">
        <v>45495</v>
      </c>
      <c r="C401" t="s">
        <v>34</v>
      </c>
      <c r="D401">
        <v>129</v>
      </c>
      <c r="E401" t="s">
        <v>15</v>
      </c>
      <c r="F401" t="s">
        <v>21</v>
      </c>
    </row>
    <row r="402" spans="1:6" x14ac:dyDescent="0.25">
      <c r="A402">
        <v>400</v>
      </c>
      <c r="B402" s="1">
        <v>45495</v>
      </c>
      <c r="C402" t="s">
        <v>195</v>
      </c>
      <c r="D402">
        <v>650</v>
      </c>
      <c r="E402" t="s">
        <v>15</v>
      </c>
      <c r="F402" t="s">
        <v>21</v>
      </c>
    </row>
    <row r="403" spans="1:6" x14ac:dyDescent="0.25">
      <c r="A403">
        <v>401</v>
      </c>
      <c r="B403" s="1">
        <v>45496</v>
      </c>
      <c r="C403" t="s">
        <v>196</v>
      </c>
      <c r="D403">
        <v>150</v>
      </c>
      <c r="E403" t="s">
        <v>15</v>
      </c>
      <c r="F403" t="s">
        <v>13</v>
      </c>
    </row>
    <row r="404" spans="1:6" x14ac:dyDescent="0.25">
      <c r="A404">
        <v>402</v>
      </c>
      <c r="B404" s="1">
        <v>45498</v>
      </c>
      <c r="C404" t="s">
        <v>51</v>
      </c>
      <c r="D404">
        <v>30</v>
      </c>
      <c r="E404" t="s">
        <v>15</v>
      </c>
      <c r="F404" t="s">
        <v>13</v>
      </c>
    </row>
    <row r="405" spans="1:6" x14ac:dyDescent="0.25">
      <c r="A405">
        <v>403</v>
      </c>
      <c r="B405" s="1">
        <v>45498</v>
      </c>
      <c r="C405" t="s">
        <v>54</v>
      </c>
      <c r="D405">
        <v>30</v>
      </c>
      <c r="E405" t="s">
        <v>15</v>
      </c>
      <c r="F405" t="s">
        <v>13</v>
      </c>
    </row>
    <row r="406" spans="1:6" x14ac:dyDescent="0.25">
      <c r="A406">
        <v>404</v>
      </c>
      <c r="B406" s="1">
        <v>45498</v>
      </c>
      <c r="C406" t="s">
        <v>66</v>
      </c>
      <c r="D406">
        <v>10</v>
      </c>
      <c r="E406" t="s">
        <v>15</v>
      </c>
      <c r="F406" t="s">
        <v>13</v>
      </c>
    </row>
    <row r="407" spans="1:6" x14ac:dyDescent="0.25">
      <c r="A407">
        <v>405</v>
      </c>
      <c r="B407" s="1">
        <v>45498</v>
      </c>
      <c r="C407" t="s">
        <v>197</v>
      </c>
      <c r="D407">
        <v>30</v>
      </c>
      <c r="E407" t="s">
        <v>15</v>
      </c>
      <c r="F407" t="s">
        <v>13</v>
      </c>
    </row>
    <row r="408" spans="1:6" x14ac:dyDescent="0.25">
      <c r="A408">
        <v>406</v>
      </c>
      <c r="B408" s="1">
        <v>45498</v>
      </c>
      <c r="C408" t="s">
        <v>76</v>
      </c>
      <c r="D408">
        <v>30</v>
      </c>
      <c r="E408" t="s">
        <v>15</v>
      </c>
      <c r="F408" t="s">
        <v>13</v>
      </c>
    </row>
    <row r="409" spans="1:6" x14ac:dyDescent="0.25">
      <c r="A409">
        <v>407</v>
      </c>
      <c r="B409" s="1">
        <v>45498</v>
      </c>
      <c r="C409" t="s">
        <v>198</v>
      </c>
      <c r="D409">
        <v>125</v>
      </c>
      <c r="E409" t="s">
        <v>15</v>
      </c>
      <c r="F409" t="s">
        <v>21</v>
      </c>
    </row>
    <row r="410" spans="1:6" x14ac:dyDescent="0.25">
      <c r="A410">
        <v>408</v>
      </c>
      <c r="B410" s="1">
        <v>45499</v>
      </c>
      <c r="C410" t="s">
        <v>51</v>
      </c>
      <c r="D410">
        <v>30</v>
      </c>
      <c r="E410" t="s">
        <v>15</v>
      </c>
      <c r="F410" t="s">
        <v>13</v>
      </c>
    </row>
    <row r="411" spans="1:6" x14ac:dyDescent="0.25">
      <c r="A411">
        <v>409</v>
      </c>
      <c r="B411" s="1">
        <v>45499</v>
      </c>
      <c r="C411" t="s">
        <v>199</v>
      </c>
      <c r="D411">
        <v>14</v>
      </c>
      <c r="E411" t="s">
        <v>15</v>
      </c>
      <c r="F411" t="s">
        <v>13</v>
      </c>
    </row>
    <row r="412" spans="1:6" x14ac:dyDescent="0.25">
      <c r="A412">
        <v>410</v>
      </c>
      <c r="B412" s="1">
        <v>45499</v>
      </c>
      <c r="C412" t="s">
        <v>66</v>
      </c>
      <c r="D412">
        <v>10</v>
      </c>
      <c r="E412" t="s">
        <v>15</v>
      </c>
      <c r="F412" t="s">
        <v>13</v>
      </c>
    </row>
    <row r="413" spans="1:6" x14ac:dyDescent="0.25">
      <c r="A413">
        <v>411</v>
      </c>
      <c r="B413" s="1">
        <v>45499</v>
      </c>
      <c r="C413" t="s">
        <v>67</v>
      </c>
      <c r="D413">
        <v>15</v>
      </c>
      <c r="E413" t="s">
        <v>15</v>
      </c>
      <c r="F413" t="s">
        <v>13</v>
      </c>
    </row>
    <row r="414" spans="1:6" x14ac:dyDescent="0.25">
      <c r="A414">
        <v>412</v>
      </c>
      <c r="B414" s="1">
        <v>45499</v>
      </c>
      <c r="C414" t="s">
        <v>76</v>
      </c>
      <c r="D414">
        <v>15</v>
      </c>
      <c r="E414" t="s">
        <v>15</v>
      </c>
      <c r="F414" t="s">
        <v>13</v>
      </c>
    </row>
    <row r="415" spans="1:6" x14ac:dyDescent="0.25">
      <c r="A415">
        <v>413</v>
      </c>
      <c r="B415" s="1">
        <v>45499</v>
      </c>
      <c r="C415" t="s">
        <v>6</v>
      </c>
      <c r="D415">
        <v>12615</v>
      </c>
      <c r="E415" t="s">
        <v>7</v>
      </c>
      <c r="F415" t="s">
        <v>13</v>
      </c>
    </row>
    <row r="416" spans="1:6" x14ac:dyDescent="0.25">
      <c r="A416">
        <v>414</v>
      </c>
      <c r="B416" s="1">
        <v>45500</v>
      </c>
      <c r="C416" t="s">
        <v>51</v>
      </c>
      <c r="D416">
        <v>30</v>
      </c>
      <c r="E416" t="s">
        <v>15</v>
      </c>
      <c r="F416" t="s">
        <v>13</v>
      </c>
    </row>
    <row r="417" spans="1:6" x14ac:dyDescent="0.25">
      <c r="A417">
        <v>415</v>
      </c>
      <c r="B417" s="1">
        <v>45500</v>
      </c>
      <c r="C417" t="s">
        <v>66</v>
      </c>
      <c r="D417">
        <v>10</v>
      </c>
      <c r="E417" t="s">
        <v>15</v>
      </c>
      <c r="F417" t="s">
        <v>13</v>
      </c>
    </row>
    <row r="418" spans="1:6" x14ac:dyDescent="0.25">
      <c r="A418">
        <v>416</v>
      </c>
      <c r="B418" s="1">
        <v>45500</v>
      </c>
      <c r="C418" t="s">
        <v>67</v>
      </c>
      <c r="D418">
        <v>15</v>
      </c>
      <c r="E418" t="s">
        <v>15</v>
      </c>
      <c r="F418" t="s">
        <v>13</v>
      </c>
    </row>
    <row r="419" spans="1:6" x14ac:dyDescent="0.25">
      <c r="A419">
        <v>417</v>
      </c>
      <c r="B419" s="1">
        <v>45500</v>
      </c>
      <c r="C419" t="s">
        <v>76</v>
      </c>
      <c r="D419">
        <v>30</v>
      </c>
      <c r="E419" t="s">
        <v>15</v>
      </c>
      <c r="F419" t="s">
        <v>13</v>
      </c>
    </row>
    <row r="420" spans="1:6" x14ac:dyDescent="0.25">
      <c r="A420">
        <v>418</v>
      </c>
      <c r="B420" s="1">
        <v>45503</v>
      </c>
      <c r="C420" t="s">
        <v>200</v>
      </c>
      <c r="D420">
        <v>5000</v>
      </c>
      <c r="E420" t="s">
        <v>7</v>
      </c>
      <c r="F420" t="s">
        <v>8</v>
      </c>
    </row>
    <row r="421" spans="1:6" x14ac:dyDescent="0.25">
      <c r="A421">
        <v>419</v>
      </c>
      <c r="B421" s="1">
        <v>45503</v>
      </c>
      <c r="C421" t="s">
        <v>184</v>
      </c>
      <c r="D421">
        <v>125</v>
      </c>
      <c r="E421" t="s">
        <v>15</v>
      </c>
      <c r="F421" t="s">
        <v>21</v>
      </c>
    </row>
    <row r="422" spans="1:6" x14ac:dyDescent="0.25">
      <c r="A422">
        <v>420</v>
      </c>
      <c r="B422" s="1">
        <v>45503</v>
      </c>
      <c r="C422" t="s">
        <v>28</v>
      </c>
      <c r="D422">
        <v>125</v>
      </c>
      <c r="E422" t="s">
        <v>15</v>
      </c>
      <c r="F422" t="s">
        <v>21</v>
      </c>
    </row>
    <row r="423" spans="1:6" x14ac:dyDescent="0.25">
      <c r="A423">
        <v>421</v>
      </c>
      <c r="B423" s="1">
        <v>45504</v>
      </c>
      <c r="C423" t="s">
        <v>201</v>
      </c>
      <c r="D423">
        <v>65</v>
      </c>
      <c r="E423" t="s">
        <v>15</v>
      </c>
      <c r="F423" t="s">
        <v>13</v>
      </c>
    </row>
    <row r="424" spans="1:6" x14ac:dyDescent="0.25">
      <c r="A424">
        <v>422</v>
      </c>
      <c r="B424" s="1">
        <v>45505</v>
      </c>
      <c r="C424" t="s">
        <v>51</v>
      </c>
      <c r="D424">
        <v>30</v>
      </c>
      <c r="E424" t="s">
        <v>15</v>
      </c>
      <c r="F424" t="s">
        <v>13</v>
      </c>
    </row>
    <row r="425" spans="1:6" x14ac:dyDescent="0.25">
      <c r="A425">
        <v>423</v>
      </c>
      <c r="B425" s="1">
        <v>45505</v>
      </c>
      <c r="C425" t="s">
        <v>106</v>
      </c>
      <c r="D425">
        <v>70</v>
      </c>
      <c r="E425" t="s">
        <v>15</v>
      </c>
      <c r="F425" t="s">
        <v>13</v>
      </c>
    </row>
    <row r="426" spans="1:6" x14ac:dyDescent="0.25">
      <c r="A426">
        <v>424</v>
      </c>
      <c r="B426" s="1">
        <v>45506</v>
      </c>
      <c r="C426" t="s">
        <v>64</v>
      </c>
      <c r="D426">
        <v>199</v>
      </c>
      <c r="E426" t="s">
        <v>15</v>
      </c>
      <c r="F426" t="s">
        <v>21</v>
      </c>
    </row>
    <row r="427" spans="1:6" x14ac:dyDescent="0.25">
      <c r="A427">
        <v>425</v>
      </c>
      <c r="B427" s="1">
        <v>45507</v>
      </c>
      <c r="C427" t="s">
        <v>201</v>
      </c>
      <c r="D427">
        <v>75</v>
      </c>
      <c r="E427" t="s">
        <v>15</v>
      </c>
      <c r="F427" t="s">
        <v>13</v>
      </c>
    </row>
    <row r="428" spans="1:6" x14ac:dyDescent="0.25">
      <c r="A428">
        <v>426</v>
      </c>
      <c r="B428" s="1">
        <v>45507</v>
      </c>
      <c r="C428" t="s">
        <v>202</v>
      </c>
      <c r="D428">
        <v>25</v>
      </c>
      <c r="E428" t="s">
        <v>15</v>
      </c>
      <c r="F428" t="s">
        <v>13</v>
      </c>
    </row>
    <row r="429" spans="1:6" x14ac:dyDescent="0.25">
      <c r="A429">
        <v>427</v>
      </c>
      <c r="B429" s="1">
        <v>45508</v>
      </c>
      <c r="C429" t="s">
        <v>175</v>
      </c>
      <c r="D429">
        <v>750</v>
      </c>
      <c r="E429" t="s">
        <v>15</v>
      </c>
      <c r="F429" t="s">
        <v>13</v>
      </c>
    </row>
    <row r="430" spans="1:6" x14ac:dyDescent="0.25">
      <c r="A430">
        <v>428</v>
      </c>
      <c r="B430" s="1">
        <v>45508</v>
      </c>
      <c r="C430" t="s">
        <v>145</v>
      </c>
      <c r="D430">
        <v>5000</v>
      </c>
      <c r="E430" t="s">
        <v>15</v>
      </c>
      <c r="F430" t="s">
        <v>13</v>
      </c>
    </row>
    <row r="431" spans="1:6" x14ac:dyDescent="0.25">
      <c r="A431">
        <v>429</v>
      </c>
      <c r="B431" s="1">
        <v>45508</v>
      </c>
      <c r="C431" t="s">
        <v>203</v>
      </c>
      <c r="D431">
        <v>290</v>
      </c>
      <c r="E431" t="s">
        <v>15</v>
      </c>
      <c r="F431" t="s">
        <v>13</v>
      </c>
    </row>
    <row r="432" spans="1:6" x14ac:dyDescent="0.25">
      <c r="A432">
        <v>430</v>
      </c>
      <c r="B432" s="1">
        <v>45508</v>
      </c>
      <c r="C432" t="s">
        <v>204</v>
      </c>
      <c r="D432">
        <v>220</v>
      </c>
      <c r="E432" t="s">
        <v>15</v>
      </c>
      <c r="F432" t="s">
        <v>13</v>
      </c>
    </row>
    <row r="433" spans="1:6" x14ac:dyDescent="0.25">
      <c r="A433">
        <v>431</v>
      </c>
      <c r="B433" s="1">
        <v>45508</v>
      </c>
      <c r="C433" t="s">
        <v>205</v>
      </c>
      <c r="D433">
        <v>290</v>
      </c>
      <c r="E433" t="s">
        <v>15</v>
      </c>
      <c r="F433" t="s">
        <v>13</v>
      </c>
    </row>
    <row r="434" spans="1:6" x14ac:dyDescent="0.25">
      <c r="A434">
        <v>432</v>
      </c>
      <c r="B434" s="1">
        <v>45508</v>
      </c>
      <c r="C434" t="s">
        <v>206</v>
      </c>
      <c r="D434">
        <v>90</v>
      </c>
      <c r="E434" t="s">
        <v>15</v>
      </c>
      <c r="F434" t="s">
        <v>13</v>
      </c>
    </row>
    <row r="435" spans="1:6" x14ac:dyDescent="0.25">
      <c r="A435">
        <v>433</v>
      </c>
      <c r="B435" s="1">
        <v>45508</v>
      </c>
      <c r="C435" t="s">
        <v>207</v>
      </c>
      <c r="D435">
        <v>100</v>
      </c>
      <c r="E435" t="s">
        <v>15</v>
      </c>
      <c r="F435" t="s">
        <v>13</v>
      </c>
    </row>
    <row r="436" spans="1:6" x14ac:dyDescent="0.25">
      <c r="A436">
        <v>434</v>
      </c>
      <c r="B436" s="1">
        <v>45510</v>
      </c>
      <c r="C436" t="s">
        <v>24</v>
      </c>
      <c r="D436">
        <v>239</v>
      </c>
      <c r="E436" t="s">
        <v>15</v>
      </c>
      <c r="F436" t="s">
        <v>21</v>
      </c>
    </row>
    <row r="437" spans="1:6" x14ac:dyDescent="0.25">
      <c r="A437">
        <v>435</v>
      </c>
      <c r="B437" s="1">
        <v>45513</v>
      </c>
      <c r="C437" t="s">
        <v>51</v>
      </c>
      <c r="D437">
        <v>30</v>
      </c>
      <c r="E437" t="s">
        <v>15</v>
      </c>
      <c r="F437" t="s">
        <v>13</v>
      </c>
    </row>
    <row r="438" spans="1:6" x14ac:dyDescent="0.25">
      <c r="A438">
        <v>436</v>
      </c>
      <c r="B438" s="1">
        <v>45513</v>
      </c>
      <c r="C438" t="s">
        <v>54</v>
      </c>
      <c r="D438">
        <v>30</v>
      </c>
      <c r="E438" t="s">
        <v>15</v>
      </c>
      <c r="F438" t="s">
        <v>13</v>
      </c>
    </row>
    <row r="439" spans="1:6" x14ac:dyDescent="0.25">
      <c r="A439">
        <v>437</v>
      </c>
      <c r="B439" s="1">
        <v>45513</v>
      </c>
      <c r="C439" t="s">
        <v>201</v>
      </c>
      <c r="D439">
        <v>60</v>
      </c>
      <c r="E439" t="s">
        <v>15</v>
      </c>
      <c r="F439" t="s">
        <v>13</v>
      </c>
    </row>
    <row r="440" spans="1:6" x14ac:dyDescent="0.25">
      <c r="A440">
        <v>438</v>
      </c>
      <c r="B440" s="1">
        <v>45513</v>
      </c>
      <c r="C440" t="s">
        <v>76</v>
      </c>
      <c r="D440">
        <v>30</v>
      </c>
      <c r="E440" t="s">
        <v>15</v>
      </c>
      <c r="F440" t="s">
        <v>13</v>
      </c>
    </row>
    <row r="441" spans="1:6" x14ac:dyDescent="0.25">
      <c r="A441">
        <v>439</v>
      </c>
      <c r="B441" s="1">
        <v>45513</v>
      </c>
      <c r="C441" t="s">
        <v>64</v>
      </c>
      <c r="D441">
        <v>199</v>
      </c>
      <c r="E441" t="s">
        <v>15</v>
      </c>
      <c r="F441" t="s">
        <v>21</v>
      </c>
    </row>
    <row r="442" spans="1:6" x14ac:dyDescent="0.25">
      <c r="A442">
        <v>440</v>
      </c>
      <c r="B442" s="1">
        <v>45514</v>
      </c>
      <c r="C442" t="s">
        <v>51</v>
      </c>
      <c r="D442">
        <v>30</v>
      </c>
      <c r="E442" t="s">
        <v>15</v>
      </c>
      <c r="F442" t="s">
        <v>13</v>
      </c>
    </row>
    <row r="443" spans="1:6" x14ac:dyDescent="0.25">
      <c r="A443">
        <v>441</v>
      </c>
      <c r="B443" s="1">
        <v>45514</v>
      </c>
      <c r="C443" t="s">
        <v>66</v>
      </c>
      <c r="D443">
        <v>10</v>
      </c>
      <c r="E443" t="s">
        <v>15</v>
      </c>
      <c r="F443" t="s">
        <v>13</v>
      </c>
    </row>
    <row r="444" spans="1:6" x14ac:dyDescent="0.25">
      <c r="A444">
        <v>442</v>
      </c>
      <c r="B444" s="1">
        <v>45514</v>
      </c>
      <c r="C444" t="s">
        <v>67</v>
      </c>
      <c r="D444">
        <v>15</v>
      </c>
      <c r="E444" t="s">
        <v>15</v>
      </c>
      <c r="F444" t="s">
        <v>13</v>
      </c>
    </row>
    <row r="445" spans="1:6" x14ac:dyDescent="0.25">
      <c r="A445">
        <v>443</v>
      </c>
      <c r="B445" s="1">
        <v>45514</v>
      </c>
      <c r="C445" t="s">
        <v>208</v>
      </c>
      <c r="D445">
        <v>120</v>
      </c>
      <c r="E445" t="s">
        <v>15</v>
      </c>
      <c r="F445" t="s">
        <v>13</v>
      </c>
    </row>
    <row r="446" spans="1:6" x14ac:dyDescent="0.25">
      <c r="A446">
        <v>444</v>
      </c>
      <c r="B446" s="1">
        <v>45514</v>
      </c>
      <c r="C446" t="s">
        <v>209</v>
      </c>
      <c r="D446">
        <v>290</v>
      </c>
      <c r="E446" t="s">
        <v>15</v>
      </c>
      <c r="F446" t="s">
        <v>13</v>
      </c>
    </row>
    <row r="447" spans="1:6" x14ac:dyDescent="0.25">
      <c r="A447">
        <v>445</v>
      </c>
      <c r="B447" s="1">
        <v>45516</v>
      </c>
      <c r="C447" t="s">
        <v>210</v>
      </c>
      <c r="D447">
        <v>5000</v>
      </c>
      <c r="E447" t="s">
        <v>7</v>
      </c>
      <c r="F447" t="s">
        <v>8</v>
      </c>
    </row>
    <row r="448" spans="1:6" x14ac:dyDescent="0.25">
      <c r="A448">
        <v>446</v>
      </c>
      <c r="B448" s="1">
        <v>45516</v>
      </c>
      <c r="C448" t="s">
        <v>6</v>
      </c>
      <c r="D448">
        <v>12615</v>
      </c>
      <c r="E448" t="s">
        <v>7</v>
      </c>
      <c r="F448" t="s">
        <v>8</v>
      </c>
    </row>
    <row r="449" spans="1:6" x14ac:dyDescent="0.25">
      <c r="A449">
        <v>447</v>
      </c>
      <c r="B449" s="1">
        <v>45519</v>
      </c>
      <c r="C449" t="s">
        <v>28</v>
      </c>
      <c r="D449">
        <v>125</v>
      </c>
      <c r="E449" t="s">
        <v>15</v>
      </c>
      <c r="F449" t="s">
        <v>21</v>
      </c>
    </row>
    <row r="450" spans="1:6" x14ac:dyDescent="0.25">
      <c r="A450">
        <v>448</v>
      </c>
      <c r="B450" s="1">
        <v>45522</v>
      </c>
      <c r="C450" t="s">
        <v>32</v>
      </c>
      <c r="D450">
        <v>20</v>
      </c>
      <c r="E450" t="s">
        <v>15</v>
      </c>
      <c r="F450" t="s">
        <v>13</v>
      </c>
    </row>
    <row r="451" spans="1:6" x14ac:dyDescent="0.25">
      <c r="A451">
        <v>449</v>
      </c>
      <c r="B451" s="1">
        <v>45522</v>
      </c>
      <c r="C451" t="s">
        <v>201</v>
      </c>
      <c r="D451">
        <v>75</v>
      </c>
      <c r="E451" t="s">
        <v>15</v>
      </c>
      <c r="F451" t="s">
        <v>13</v>
      </c>
    </row>
    <row r="452" spans="1:6" x14ac:dyDescent="0.25">
      <c r="A452">
        <v>450</v>
      </c>
      <c r="B452" s="1">
        <v>45522</v>
      </c>
      <c r="C452" t="s">
        <v>211</v>
      </c>
      <c r="D452">
        <v>70</v>
      </c>
      <c r="E452" t="s">
        <v>15</v>
      </c>
      <c r="F452" t="s">
        <v>13</v>
      </c>
    </row>
    <row r="453" spans="1:6" x14ac:dyDescent="0.25">
      <c r="A453">
        <v>451</v>
      </c>
      <c r="B453" s="1">
        <v>45527</v>
      </c>
      <c r="C453" t="s">
        <v>103</v>
      </c>
      <c r="D453">
        <v>260</v>
      </c>
      <c r="E453" t="s">
        <v>15</v>
      </c>
      <c r="F453" t="s">
        <v>13</v>
      </c>
    </row>
    <row r="454" spans="1:6" x14ac:dyDescent="0.25">
      <c r="A454">
        <v>452</v>
      </c>
      <c r="B454" s="1">
        <v>45531</v>
      </c>
      <c r="C454" t="s">
        <v>212</v>
      </c>
      <c r="D454">
        <v>180</v>
      </c>
      <c r="E454" t="s">
        <v>15</v>
      </c>
      <c r="F454" t="s">
        <v>13</v>
      </c>
    </row>
    <row r="455" spans="1:6" x14ac:dyDescent="0.25">
      <c r="A455">
        <v>453</v>
      </c>
      <c r="B455" s="1">
        <v>45531</v>
      </c>
      <c r="C455" t="s">
        <v>213</v>
      </c>
      <c r="D455">
        <v>300</v>
      </c>
      <c r="E455" t="s">
        <v>15</v>
      </c>
      <c r="F455" t="s">
        <v>13</v>
      </c>
    </row>
    <row r="456" spans="1:6" x14ac:dyDescent="0.25">
      <c r="A456">
        <v>454</v>
      </c>
      <c r="B456" s="1">
        <v>45532</v>
      </c>
      <c r="C456" t="s">
        <v>37</v>
      </c>
      <c r="D456">
        <v>25</v>
      </c>
      <c r="E456" t="s">
        <v>15</v>
      </c>
      <c r="F456" t="s">
        <v>13</v>
      </c>
    </row>
    <row r="457" spans="1:6" x14ac:dyDescent="0.25">
      <c r="A457">
        <v>455</v>
      </c>
      <c r="B457" s="1">
        <v>45532</v>
      </c>
      <c r="C457" t="s">
        <v>214</v>
      </c>
      <c r="D457">
        <v>200</v>
      </c>
      <c r="E457" t="s">
        <v>15</v>
      </c>
      <c r="F457" t="s">
        <v>13</v>
      </c>
    </row>
    <row r="458" spans="1:6" x14ac:dyDescent="0.25">
      <c r="A458">
        <v>456</v>
      </c>
      <c r="B458" s="1">
        <v>45532</v>
      </c>
      <c r="C458" t="s">
        <v>215</v>
      </c>
      <c r="D458">
        <v>460</v>
      </c>
      <c r="E458" t="s">
        <v>15</v>
      </c>
      <c r="F458" t="s">
        <v>13</v>
      </c>
    </row>
    <row r="459" spans="1:6" x14ac:dyDescent="0.25">
      <c r="A459">
        <v>457</v>
      </c>
      <c r="B459" s="1">
        <v>45533</v>
      </c>
      <c r="C459" t="s">
        <v>216</v>
      </c>
      <c r="D459">
        <v>1000</v>
      </c>
      <c r="E459" t="s">
        <v>15</v>
      </c>
      <c r="F459" t="s">
        <v>21</v>
      </c>
    </row>
    <row r="460" spans="1:6" x14ac:dyDescent="0.25">
      <c r="A460">
        <v>458</v>
      </c>
      <c r="B460" s="1">
        <v>45534</v>
      </c>
      <c r="C460" t="s">
        <v>6</v>
      </c>
      <c r="D460">
        <v>12617</v>
      </c>
      <c r="E460" t="s">
        <v>7</v>
      </c>
      <c r="F460" t="s">
        <v>8</v>
      </c>
    </row>
    <row r="461" spans="1:6" x14ac:dyDescent="0.25">
      <c r="A461">
        <v>459</v>
      </c>
      <c r="B461" s="1">
        <v>45534</v>
      </c>
      <c r="C461" t="s">
        <v>217</v>
      </c>
      <c r="D461">
        <v>12400</v>
      </c>
      <c r="E461" t="s">
        <v>7</v>
      </c>
      <c r="F461" t="s">
        <v>8</v>
      </c>
    </row>
    <row r="462" spans="1:6" x14ac:dyDescent="0.25">
      <c r="A462">
        <v>460</v>
      </c>
      <c r="B462" s="1">
        <v>45535</v>
      </c>
      <c r="C462" t="s">
        <v>207</v>
      </c>
      <c r="D462">
        <v>200</v>
      </c>
      <c r="E462" t="s">
        <v>15</v>
      </c>
      <c r="F462" t="s">
        <v>13</v>
      </c>
    </row>
    <row r="463" spans="1:6" x14ac:dyDescent="0.25">
      <c r="A463">
        <v>461</v>
      </c>
      <c r="B463" s="1">
        <v>45537</v>
      </c>
      <c r="C463" t="s">
        <v>218</v>
      </c>
      <c r="D463">
        <v>40</v>
      </c>
      <c r="E463" t="s">
        <v>15</v>
      </c>
      <c r="F463" t="s">
        <v>13</v>
      </c>
    </row>
    <row r="464" spans="1:6" x14ac:dyDescent="0.25">
      <c r="A464">
        <v>462</v>
      </c>
      <c r="B464" s="1">
        <v>45539</v>
      </c>
      <c r="C464" t="s">
        <v>184</v>
      </c>
      <c r="D464">
        <v>125</v>
      </c>
      <c r="E464" t="s">
        <v>15</v>
      </c>
      <c r="F464" t="s">
        <v>21</v>
      </c>
    </row>
    <row r="465" spans="1:6" x14ac:dyDescent="0.25">
      <c r="A465">
        <v>463</v>
      </c>
      <c r="B465" s="1">
        <v>45540</v>
      </c>
      <c r="C465" t="s">
        <v>184</v>
      </c>
      <c r="D465">
        <v>50</v>
      </c>
      <c r="E465" t="s">
        <v>15</v>
      </c>
      <c r="F465" t="s">
        <v>21</v>
      </c>
    </row>
    <row r="466" spans="1:6" x14ac:dyDescent="0.25">
      <c r="A466">
        <v>464</v>
      </c>
      <c r="B466" s="1">
        <v>45540</v>
      </c>
      <c r="C466" t="s">
        <v>219</v>
      </c>
      <c r="D466">
        <v>15</v>
      </c>
      <c r="E466" t="s">
        <v>15</v>
      </c>
      <c r="F466" t="s">
        <v>21</v>
      </c>
    </row>
    <row r="467" spans="1:6" x14ac:dyDescent="0.25">
      <c r="A467">
        <v>465</v>
      </c>
      <c r="B467" s="1">
        <v>45540</v>
      </c>
      <c r="C467" t="s">
        <v>184</v>
      </c>
      <c r="D467">
        <v>25</v>
      </c>
      <c r="E467" t="s">
        <v>15</v>
      </c>
      <c r="F467" t="s">
        <v>21</v>
      </c>
    </row>
    <row r="468" spans="1:6" x14ac:dyDescent="0.25">
      <c r="A468">
        <v>466</v>
      </c>
      <c r="B468" s="1">
        <v>45540</v>
      </c>
      <c r="C468" t="s">
        <v>218</v>
      </c>
      <c r="D468">
        <v>40</v>
      </c>
      <c r="E468" t="s">
        <v>15</v>
      </c>
      <c r="F468" t="s">
        <v>13</v>
      </c>
    </row>
    <row r="469" spans="1:6" x14ac:dyDescent="0.25">
      <c r="A469">
        <v>467</v>
      </c>
      <c r="B469" s="1">
        <v>45541</v>
      </c>
      <c r="C469" t="s">
        <v>24</v>
      </c>
      <c r="D469">
        <v>239</v>
      </c>
      <c r="E469" t="s">
        <v>15</v>
      </c>
      <c r="F469" t="s">
        <v>21</v>
      </c>
    </row>
    <row r="470" spans="1:6" x14ac:dyDescent="0.25">
      <c r="A470">
        <v>468</v>
      </c>
      <c r="B470" s="1">
        <v>45542</v>
      </c>
      <c r="C470" t="s">
        <v>220</v>
      </c>
      <c r="D470">
        <v>22</v>
      </c>
      <c r="E470" t="s">
        <v>15</v>
      </c>
      <c r="F470" t="s">
        <v>13</v>
      </c>
    </row>
    <row r="471" spans="1:6" x14ac:dyDescent="0.25">
      <c r="A471">
        <v>469</v>
      </c>
      <c r="B471" s="1">
        <v>45546</v>
      </c>
      <c r="C471" t="s">
        <v>207</v>
      </c>
      <c r="D471">
        <v>100</v>
      </c>
      <c r="E471" t="s">
        <v>15</v>
      </c>
      <c r="F471" t="s">
        <v>13</v>
      </c>
    </row>
    <row r="472" spans="1:6" x14ac:dyDescent="0.25">
      <c r="A472">
        <v>470</v>
      </c>
      <c r="B472" s="1">
        <v>45547</v>
      </c>
      <c r="C472" t="s">
        <v>207</v>
      </c>
      <c r="D472">
        <v>150</v>
      </c>
      <c r="E472" t="s">
        <v>15</v>
      </c>
      <c r="F472" t="s">
        <v>13</v>
      </c>
    </row>
    <row r="473" spans="1:6" x14ac:dyDescent="0.25">
      <c r="A473">
        <v>471</v>
      </c>
      <c r="B473" s="1">
        <v>45547</v>
      </c>
      <c r="C473" t="s">
        <v>184</v>
      </c>
      <c r="D473">
        <v>125</v>
      </c>
      <c r="E473" t="s">
        <v>15</v>
      </c>
      <c r="F473" t="s">
        <v>21</v>
      </c>
    </row>
    <row r="474" spans="1:6" x14ac:dyDescent="0.25">
      <c r="A474">
        <v>472</v>
      </c>
      <c r="B474" s="1">
        <v>45548</v>
      </c>
      <c r="C474" t="s">
        <v>6</v>
      </c>
      <c r="D474">
        <v>25418</v>
      </c>
      <c r="E474" t="s">
        <v>7</v>
      </c>
      <c r="F474" t="s">
        <v>8</v>
      </c>
    </row>
    <row r="475" spans="1:6" x14ac:dyDescent="0.25">
      <c r="A475">
        <v>473</v>
      </c>
      <c r="B475" s="1">
        <v>45549</v>
      </c>
      <c r="C475" t="s">
        <v>145</v>
      </c>
      <c r="D475">
        <v>5000</v>
      </c>
      <c r="E475" t="s">
        <v>15</v>
      </c>
      <c r="F475" t="s">
        <v>13</v>
      </c>
    </row>
    <row r="476" spans="1:6" x14ac:dyDescent="0.25">
      <c r="A476">
        <v>474</v>
      </c>
      <c r="B476" s="1">
        <v>45549</v>
      </c>
      <c r="C476" t="s">
        <v>175</v>
      </c>
      <c r="D476">
        <v>2550</v>
      </c>
      <c r="E476" t="s">
        <v>15</v>
      </c>
      <c r="F476" t="s">
        <v>13</v>
      </c>
    </row>
    <row r="477" spans="1:6" x14ac:dyDescent="0.25">
      <c r="A477">
        <v>475</v>
      </c>
      <c r="B477" s="1">
        <v>45549</v>
      </c>
      <c r="C477" t="s">
        <v>20</v>
      </c>
      <c r="D477">
        <v>2150</v>
      </c>
      <c r="E477" t="s">
        <v>10</v>
      </c>
      <c r="F477" t="s">
        <v>13</v>
      </c>
    </row>
    <row r="478" spans="1:6" x14ac:dyDescent="0.25">
      <c r="A478">
        <v>476</v>
      </c>
      <c r="B478" s="1">
        <v>45549</v>
      </c>
      <c r="C478" t="s">
        <v>20</v>
      </c>
      <c r="D478">
        <v>2150</v>
      </c>
      <c r="E478" t="s">
        <v>12</v>
      </c>
      <c r="F478" t="s">
        <v>21</v>
      </c>
    </row>
    <row r="479" spans="1:6" x14ac:dyDescent="0.25">
      <c r="A479">
        <v>477</v>
      </c>
      <c r="B479" s="1">
        <v>45549</v>
      </c>
      <c r="C479" t="s">
        <v>221</v>
      </c>
      <c r="D479">
        <v>300</v>
      </c>
      <c r="E479" t="s">
        <v>15</v>
      </c>
      <c r="F479" t="s">
        <v>13</v>
      </c>
    </row>
    <row r="480" spans="1:6" x14ac:dyDescent="0.25">
      <c r="A480">
        <v>478</v>
      </c>
      <c r="B480" s="1">
        <v>45551</v>
      </c>
      <c r="C480" t="s">
        <v>222</v>
      </c>
      <c r="D480">
        <v>20</v>
      </c>
      <c r="E480" t="s">
        <v>15</v>
      </c>
      <c r="F480" t="s">
        <v>13</v>
      </c>
    </row>
    <row r="481" spans="1:6" x14ac:dyDescent="0.25">
      <c r="A481">
        <v>479</v>
      </c>
      <c r="B481" s="1">
        <v>45552</v>
      </c>
      <c r="C481" t="s">
        <v>222</v>
      </c>
      <c r="D481">
        <v>20</v>
      </c>
      <c r="E481" t="s">
        <v>15</v>
      </c>
      <c r="F481" t="s">
        <v>13</v>
      </c>
    </row>
    <row r="482" spans="1:6" x14ac:dyDescent="0.25">
      <c r="A482">
        <v>480</v>
      </c>
      <c r="B482" s="1">
        <v>45552</v>
      </c>
      <c r="C482" t="s">
        <v>223</v>
      </c>
      <c r="D482">
        <v>20</v>
      </c>
      <c r="E482" t="s">
        <v>15</v>
      </c>
      <c r="F482" t="s">
        <v>13</v>
      </c>
    </row>
    <row r="483" spans="1:6" x14ac:dyDescent="0.25">
      <c r="A483">
        <v>481</v>
      </c>
      <c r="B483" s="1">
        <v>45553</v>
      </c>
      <c r="C483" t="s">
        <v>222</v>
      </c>
      <c r="D483">
        <v>20</v>
      </c>
      <c r="E483" t="s">
        <v>15</v>
      </c>
      <c r="F483" t="s">
        <v>13</v>
      </c>
    </row>
    <row r="484" spans="1:6" x14ac:dyDescent="0.25">
      <c r="A484">
        <v>482</v>
      </c>
      <c r="B484" s="1">
        <v>45554</v>
      </c>
      <c r="C484" t="s">
        <v>224</v>
      </c>
      <c r="D484">
        <v>35</v>
      </c>
      <c r="E484" t="s">
        <v>15</v>
      </c>
      <c r="F484" t="s">
        <v>13</v>
      </c>
    </row>
    <row r="485" spans="1:6" x14ac:dyDescent="0.25">
      <c r="A485">
        <v>483</v>
      </c>
      <c r="B485" s="1">
        <v>45554</v>
      </c>
      <c r="C485" t="s">
        <v>32</v>
      </c>
      <c r="D485">
        <v>20</v>
      </c>
      <c r="E485" t="s">
        <v>15</v>
      </c>
      <c r="F485" t="s">
        <v>13</v>
      </c>
    </row>
    <row r="486" spans="1:6" x14ac:dyDescent="0.25">
      <c r="A486">
        <v>484</v>
      </c>
      <c r="B486" s="1">
        <v>45554</v>
      </c>
      <c r="C486" t="s">
        <v>106</v>
      </c>
      <c r="D486">
        <v>55</v>
      </c>
      <c r="E486" t="s">
        <v>15</v>
      </c>
      <c r="F486" t="s">
        <v>13</v>
      </c>
    </row>
    <row r="487" spans="1:6" x14ac:dyDescent="0.25">
      <c r="A487">
        <v>485</v>
      </c>
      <c r="B487" s="1">
        <v>45555</v>
      </c>
      <c r="C487" t="s">
        <v>50</v>
      </c>
      <c r="D487">
        <v>700</v>
      </c>
      <c r="E487" t="s">
        <v>15</v>
      </c>
      <c r="F487" t="s">
        <v>21</v>
      </c>
    </row>
    <row r="488" spans="1:6" x14ac:dyDescent="0.25">
      <c r="A488">
        <v>486</v>
      </c>
      <c r="B488" s="1">
        <v>45555</v>
      </c>
      <c r="C488" t="s">
        <v>64</v>
      </c>
      <c r="D488">
        <v>200</v>
      </c>
      <c r="E488" t="s">
        <v>15</v>
      </c>
      <c r="F488" t="s">
        <v>21</v>
      </c>
    </row>
    <row r="489" spans="1:6" x14ac:dyDescent="0.25">
      <c r="A489">
        <v>487</v>
      </c>
      <c r="B489" s="1">
        <v>45555</v>
      </c>
      <c r="C489" t="s">
        <v>225</v>
      </c>
      <c r="D489">
        <v>450</v>
      </c>
      <c r="E489" t="s">
        <v>15</v>
      </c>
      <c r="F489" t="s">
        <v>13</v>
      </c>
    </row>
    <row r="490" spans="1:6" x14ac:dyDescent="0.25">
      <c r="A490">
        <v>488</v>
      </c>
      <c r="B490" s="1">
        <v>45555</v>
      </c>
      <c r="C490" t="s">
        <v>214</v>
      </c>
      <c r="D490">
        <v>500</v>
      </c>
      <c r="E490" t="s">
        <v>15</v>
      </c>
      <c r="F490" t="s">
        <v>13</v>
      </c>
    </row>
    <row r="491" spans="1:6" x14ac:dyDescent="0.25">
      <c r="A491">
        <v>489</v>
      </c>
      <c r="B491" s="1">
        <v>45556</v>
      </c>
      <c r="C491" t="s">
        <v>226</v>
      </c>
      <c r="D491">
        <v>200</v>
      </c>
      <c r="E491" t="s">
        <v>15</v>
      </c>
      <c r="F491" t="s">
        <v>13</v>
      </c>
    </row>
    <row r="492" spans="1:6" x14ac:dyDescent="0.25">
      <c r="A492">
        <v>490</v>
      </c>
      <c r="B492" s="1">
        <v>45556</v>
      </c>
      <c r="C492" t="s">
        <v>103</v>
      </c>
      <c r="D492">
        <v>260</v>
      </c>
      <c r="E492" t="s">
        <v>15</v>
      </c>
      <c r="F492" t="s">
        <v>13</v>
      </c>
    </row>
    <row r="493" spans="1:6" x14ac:dyDescent="0.25">
      <c r="A493">
        <v>491</v>
      </c>
      <c r="B493" s="1">
        <v>45557</v>
      </c>
      <c r="C493" t="s">
        <v>34</v>
      </c>
      <c r="D493">
        <v>129</v>
      </c>
      <c r="E493" t="s">
        <v>15</v>
      </c>
      <c r="F493" t="s">
        <v>21</v>
      </c>
    </row>
    <row r="494" spans="1:6" x14ac:dyDescent="0.25">
      <c r="A494">
        <v>492</v>
      </c>
      <c r="B494" s="1">
        <v>45559</v>
      </c>
      <c r="C494" t="s">
        <v>207</v>
      </c>
      <c r="D494">
        <v>100</v>
      </c>
      <c r="E494" t="s">
        <v>15</v>
      </c>
      <c r="F494" t="s">
        <v>13</v>
      </c>
    </row>
    <row r="495" spans="1:6" x14ac:dyDescent="0.25">
      <c r="A495">
        <v>493</v>
      </c>
      <c r="B495" s="1">
        <v>45560</v>
      </c>
      <c r="C495" t="s">
        <v>218</v>
      </c>
      <c r="D495">
        <v>30</v>
      </c>
      <c r="E495" t="s">
        <v>15</v>
      </c>
      <c r="F495" t="s">
        <v>13</v>
      </c>
    </row>
    <row r="496" spans="1:6" x14ac:dyDescent="0.25">
      <c r="A496">
        <v>494</v>
      </c>
      <c r="B496" s="1">
        <v>45561</v>
      </c>
      <c r="C496" t="s">
        <v>6</v>
      </c>
      <c r="D496">
        <v>13202</v>
      </c>
      <c r="E496" t="s">
        <v>7</v>
      </c>
      <c r="F496" t="s">
        <v>13</v>
      </c>
    </row>
    <row r="497" spans="1:6" x14ac:dyDescent="0.25">
      <c r="A497">
        <v>495</v>
      </c>
      <c r="B497" s="1">
        <v>45562</v>
      </c>
      <c r="C497" t="s">
        <v>227</v>
      </c>
      <c r="D497">
        <v>500</v>
      </c>
      <c r="E497" t="s">
        <v>12</v>
      </c>
      <c r="F497" t="s">
        <v>21</v>
      </c>
    </row>
    <row r="498" spans="1:6" x14ac:dyDescent="0.25">
      <c r="A498">
        <v>496</v>
      </c>
      <c r="B498" s="1">
        <v>45563</v>
      </c>
      <c r="C498" t="s">
        <v>127</v>
      </c>
      <c r="D498">
        <v>80</v>
      </c>
      <c r="E498" t="s">
        <v>15</v>
      </c>
      <c r="F498" t="s">
        <v>13</v>
      </c>
    </row>
    <row r="499" spans="1:6" x14ac:dyDescent="0.25">
      <c r="A499">
        <v>497</v>
      </c>
      <c r="B499" s="1">
        <v>45565</v>
      </c>
      <c r="C499" t="s">
        <v>228</v>
      </c>
      <c r="D499">
        <v>100</v>
      </c>
      <c r="E499" t="s">
        <v>15</v>
      </c>
      <c r="F499" t="s">
        <v>13</v>
      </c>
    </row>
    <row r="500" spans="1:6" x14ac:dyDescent="0.25">
      <c r="A500">
        <v>498</v>
      </c>
      <c r="B500" s="1">
        <v>45569</v>
      </c>
      <c r="C500" t="s">
        <v>227</v>
      </c>
      <c r="D500">
        <v>1365</v>
      </c>
      <c r="E500" t="s">
        <v>15</v>
      </c>
      <c r="F500" t="s">
        <v>13</v>
      </c>
    </row>
    <row r="501" spans="1:6" x14ac:dyDescent="0.25">
      <c r="A501">
        <v>499</v>
      </c>
      <c r="B501" s="1">
        <v>45569</v>
      </c>
      <c r="C501" t="s">
        <v>51</v>
      </c>
      <c r="D501">
        <v>30</v>
      </c>
      <c r="E501" t="s">
        <v>15</v>
      </c>
      <c r="F501" t="s">
        <v>13</v>
      </c>
    </row>
    <row r="502" spans="1:6" x14ac:dyDescent="0.25">
      <c r="A502">
        <v>500</v>
      </c>
      <c r="B502" s="1">
        <v>45569</v>
      </c>
      <c r="C502" t="s">
        <v>67</v>
      </c>
      <c r="D502">
        <v>20</v>
      </c>
      <c r="E502" t="s">
        <v>15</v>
      </c>
      <c r="F502" t="s">
        <v>13</v>
      </c>
    </row>
    <row r="503" spans="1:6" x14ac:dyDescent="0.25">
      <c r="A503">
        <v>501</v>
      </c>
      <c r="B503" s="1">
        <v>45569</v>
      </c>
      <c r="C503" t="s">
        <v>66</v>
      </c>
      <c r="D503">
        <v>10</v>
      </c>
      <c r="E503" t="s">
        <v>15</v>
      </c>
      <c r="F503" t="s">
        <v>13</v>
      </c>
    </row>
    <row r="504" spans="1:6" x14ac:dyDescent="0.25">
      <c r="A504">
        <v>502</v>
      </c>
      <c r="B504" s="1">
        <v>45569</v>
      </c>
      <c r="C504" t="s">
        <v>80</v>
      </c>
      <c r="D504">
        <v>120</v>
      </c>
      <c r="E504" t="s">
        <v>15</v>
      </c>
      <c r="F504" t="s">
        <v>13</v>
      </c>
    </row>
    <row r="505" spans="1:6" x14ac:dyDescent="0.25">
      <c r="A505">
        <v>503</v>
      </c>
      <c r="B505" s="1">
        <v>45569</v>
      </c>
      <c r="C505" t="s">
        <v>54</v>
      </c>
      <c r="D505">
        <v>218</v>
      </c>
      <c r="E505" t="s">
        <v>15</v>
      </c>
      <c r="F505" t="s">
        <v>13</v>
      </c>
    </row>
    <row r="506" spans="1:6" x14ac:dyDescent="0.25">
      <c r="A506">
        <v>504</v>
      </c>
      <c r="B506" s="1">
        <v>45569</v>
      </c>
      <c r="C506" t="s">
        <v>227</v>
      </c>
      <c r="D506">
        <v>855</v>
      </c>
      <c r="E506" t="s">
        <v>12</v>
      </c>
      <c r="F506" t="s">
        <v>21</v>
      </c>
    </row>
    <row r="507" spans="1:6" x14ac:dyDescent="0.25">
      <c r="A507">
        <v>505</v>
      </c>
      <c r="B507" s="1">
        <v>45570</v>
      </c>
      <c r="C507" t="s">
        <v>229</v>
      </c>
      <c r="D507">
        <v>45</v>
      </c>
      <c r="E507" t="s">
        <v>15</v>
      </c>
      <c r="F507" t="s">
        <v>13</v>
      </c>
    </row>
    <row r="508" spans="1:6" x14ac:dyDescent="0.25">
      <c r="A508">
        <v>506</v>
      </c>
      <c r="B508" s="1">
        <v>45570</v>
      </c>
      <c r="C508" t="s">
        <v>129</v>
      </c>
      <c r="D508">
        <v>13</v>
      </c>
      <c r="E508" t="s">
        <v>15</v>
      </c>
      <c r="F508" t="s">
        <v>13</v>
      </c>
    </row>
    <row r="509" spans="1:6" x14ac:dyDescent="0.25">
      <c r="A509">
        <v>507</v>
      </c>
      <c r="B509" s="1">
        <v>45570</v>
      </c>
      <c r="C509" t="s">
        <v>85</v>
      </c>
      <c r="D509">
        <v>290</v>
      </c>
      <c r="E509" t="s">
        <v>15</v>
      </c>
      <c r="F509" t="s">
        <v>13</v>
      </c>
    </row>
    <row r="510" spans="1:6" x14ac:dyDescent="0.25">
      <c r="A510">
        <v>508</v>
      </c>
      <c r="B510" s="1">
        <v>45570</v>
      </c>
      <c r="C510" t="s">
        <v>61</v>
      </c>
      <c r="D510">
        <v>120</v>
      </c>
      <c r="E510" t="s">
        <v>15</v>
      </c>
      <c r="F510" t="s">
        <v>13</v>
      </c>
    </row>
    <row r="511" spans="1:6" x14ac:dyDescent="0.25">
      <c r="A511">
        <v>509</v>
      </c>
      <c r="B511" s="1">
        <v>45570</v>
      </c>
      <c r="C511" t="s">
        <v>76</v>
      </c>
      <c r="D511">
        <v>50</v>
      </c>
      <c r="E511" t="s">
        <v>15</v>
      </c>
      <c r="F511" t="s">
        <v>13</v>
      </c>
    </row>
    <row r="512" spans="1:6" x14ac:dyDescent="0.25">
      <c r="A512">
        <v>510</v>
      </c>
      <c r="B512" s="1">
        <v>45570</v>
      </c>
      <c r="C512" t="s">
        <v>184</v>
      </c>
      <c r="D512">
        <v>125</v>
      </c>
      <c r="E512" t="s">
        <v>15</v>
      </c>
      <c r="F512" t="s">
        <v>21</v>
      </c>
    </row>
    <row r="513" spans="1:6" x14ac:dyDescent="0.25">
      <c r="A513">
        <v>511</v>
      </c>
      <c r="B513" s="1">
        <v>45570</v>
      </c>
      <c r="C513" t="s">
        <v>28</v>
      </c>
      <c r="D513">
        <v>50</v>
      </c>
      <c r="E513" t="s">
        <v>15</v>
      </c>
      <c r="F513" t="s">
        <v>21</v>
      </c>
    </row>
    <row r="514" spans="1:6" x14ac:dyDescent="0.25">
      <c r="A514">
        <v>512</v>
      </c>
      <c r="B514" s="1">
        <v>45571</v>
      </c>
      <c r="C514" t="s">
        <v>24</v>
      </c>
      <c r="D514">
        <v>239</v>
      </c>
      <c r="E514" t="s">
        <v>15</v>
      </c>
      <c r="F514" t="s">
        <v>21</v>
      </c>
    </row>
    <row r="515" spans="1:6" x14ac:dyDescent="0.25">
      <c r="A515">
        <v>513</v>
      </c>
      <c r="B515" s="1">
        <v>45573</v>
      </c>
      <c r="C515" t="s">
        <v>230</v>
      </c>
      <c r="D515">
        <v>500</v>
      </c>
      <c r="E515" t="s">
        <v>15</v>
      </c>
      <c r="F515" t="s">
        <v>13</v>
      </c>
    </row>
    <row r="516" spans="1:6" x14ac:dyDescent="0.25">
      <c r="A516">
        <v>514</v>
      </c>
      <c r="B516" s="1">
        <v>45575</v>
      </c>
      <c r="C516" t="s">
        <v>218</v>
      </c>
      <c r="D516">
        <v>35</v>
      </c>
      <c r="E516" t="s">
        <v>15</v>
      </c>
      <c r="F516" t="s">
        <v>13</v>
      </c>
    </row>
    <row r="517" spans="1:6" x14ac:dyDescent="0.25">
      <c r="A517">
        <v>515</v>
      </c>
      <c r="B517" s="1">
        <v>45575</v>
      </c>
      <c r="C517" t="s">
        <v>64</v>
      </c>
      <c r="D517">
        <v>199</v>
      </c>
      <c r="E517" t="s">
        <v>15</v>
      </c>
      <c r="F517" t="s">
        <v>21</v>
      </c>
    </row>
    <row r="518" spans="1:6" x14ac:dyDescent="0.25">
      <c r="A518">
        <v>516</v>
      </c>
      <c r="B518" s="1">
        <v>45578</v>
      </c>
      <c r="C518" t="s">
        <v>231</v>
      </c>
      <c r="D518">
        <v>1021</v>
      </c>
      <c r="E518" t="s">
        <v>7</v>
      </c>
      <c r="F518" t="s">
        <v>8</v>
      </c>
    </row>
    <row r="519" spans="1:6" x14ac:dyDescent="0.25">
      <c r="A519">
        <v>517</v>
      </c>
      <c r="B519" s="1">
        <v>45578</v>
      </c>
      <c r="C519" t="s">
        <v>232</v>
      </c>
      <c r="D519">
        <v>3150</v>
      </c>
      <c r="E519" t="s">
        <v>15</v>
      </c>
      <c r="F519" t="s">
        <v>13</v>
      </c>
    </row>
    <row r="520" spans="1:6" x14ac:dyDescent="0.25">
      <c r="A520">
        <v>518</v>
      </c>
      <c r="B520" s="1">
        <v>45578</v>
      </c>
      <c r="C520" t="s">
        <v>233</v>
      </c>
      <c r="D520">
        <v>5000</v>
      </c>
      <c r="E520" t="s">
        <v>15</v>
      </c>
      <c r="F520" t="s">
        <v>13</v>
      </c>
    </row>
    <row r="521" spans="1:6" x14ac:dyDescent="0.25">
      <c r="A521">
        <v>519</v>
      </c>
      <c r="B521" s="1">
        <v>45578</v>
      </c>
      <c r="C521" t="s">
        <v>234</v>
      </c>
      <c r="D521">
        <v>1750</v>
      </c>
      <c r="E521" t="s">
        <v>15</v>
      </c>
      <c r="F521" t="s">
        <v>13</v>
      </c>
    </row>
    <row r="522" spans="1:6" x14ac:dyDescent="0.25">
      <c r="A522">
        <v>520</v>
      </c>
      <c r="B522" s="1">
        <v>45579</v>
      </c>
      <c r="C522" t="s">
        <v>235</v>
      </c>
      <c r="D522">
        <v>20</v>
      </c>
      <c r="E522" t="s">
        <v>15</v>
      </c>
      <c r="F522" t="s">
        <v>13</v>
      </c>
    </row>
    <row r="523" spans="1:6" x14ac:dyDescent="0.25">
      <c r="A523">
        <v>521</v>
      </c>
      <c r="B523" s="1">
        <v>45579</v>
      </c>
      <c r="C523" t="s">
        <v>218</v>
      </c>
      <c r="D523">
        <v>15</v>
      </c>
      <c r="E523" t="s">
        <v>15</v>
      </c>
      <c r="F523" t="s">
        <v>13</v>
      </c>
    </row>
    <row r="524" spans="1:6" x14ac:dyDescent="0.25">
      <c r="A524">
        <v>522</v>
      </c>
      <c r="B524" s="1">
        <v>45579</v>
      </c>
      <c r="C524" t="s">
        <v>6</v>
      </c>
      <c r="D524">
        <v>13240</v>
      </c>
      <c r="E524" t="s">
        <v>7</v>
      </c>
      <c r="F524" t="s">
        <v>8</v>
      </c>
    </row>
    <row r="525" spans="1:6" x14ac:dyDescent="0.25">
      <c r="A525">
        <v>523</v>
      </c>
      <c r="B525" s="1">
        <v>45581</v>
      </c>
      <c r="C525" t="s">
        <v>218</v>
      </c>
      <c r="D525">
        <v>45</v>
      </c>
      <c r="E525" t="s">
        <v>15</v>
      </c>
      <c r="F525" t="s">
        <v>13</v>
      </c>
    </row>
    <row r="526" spans="1:6" x14ac:dyDescent="0.25">
      <c r="A526">
        <v>524</v>
      </c>
      <c r="B526" s="1">
        <v>45581</v>
      </c>
      <c r="C526" t="s">
        <v>236</v>
      </c>
      <c r="D526">
        <v>50</v>
      </c>
      <c r="E526" t="s">
        <v>15</v>
      </c>
      <c r="F526" t="s">
        <v>13</v>
      </c>
    </row>
    <row r="527" spans="1:6" x14ac:dyDescent="0.25">
      <c r="A527">
        <v>525</v>
      </c>
      <c r="B527" s="1">
        <v>45581</v>
      </c>
      <c r="C527" t="s">
        <v>184</v>
      </c>
      <c r="D527">
        <v>125</v>
      </c>
      <c r="E527" t="s">
        <v>15</v>
      </c>
      <c r="F527" t="s">
        <v>21</v>
      </c>
    </row>
    <row r="528" spans="1:6" x14ac:dyDescent="0.25">
      <c r="A528">
        <v>526</v>
      </c>
      <c r="B528" s="1">
        <v>45583</v>
      </c>
      <c r="C528" t="s">
        <v>64</v>
      </c>
      <c r="D528">
        <v>199</v>
      </c>
      <c r="E528" t="s">
        <v>15</v>
      </c>
      <c r="F528" t="s">
        <v>21</v>
      </c>
    </row>
    <row r="529" spans="1:6" x14ac:dyDescent="0.25">
      <c r="A529">
        <v>527</v>
      </c>
      <c r="B529" s="1">
        <v>45584</v>
      </c>
      <c r="C529" t="s">
        <v>28</v>
      </c>
      <c r="D529">
        <v>125</v>
      </c>
      <c r="E529" t="s">
        <v>15</v>
      </c>
      <c r="F529" t="s">
        <v>21</v>
      </c>
    </row>
    <row r="530" spans="1:6" x14ac:dyDescent="0.25">
      <c r="A530">
        <v>528</v>
      </c>
      <c r="B530" s="1">
        <v>45587</v>
      </c>
      <c r="C530" t="s">
        <v>103</v>
      </c>
      <c r="D530">
        <v>260</v>
      </c>
      <c r="E530" t="s">
        <v>15</v>
      </c>
      <c r="F530" t="s">
        <v>13</v>
      </c>
    </row>
    <row r="531" spans="1:6" x14ac:dyDescent="0.25">
      <c r="A531">
        <v>529</v>
      </c>
      <c r="B531" s="1">
        <v>45587</v>
      </c>
      <c r="C531" t="s">
        <v>34</v>
      </c>
      <c r="D531">
        <v>129</v>
      </c>
      <c r="E531" t="s">
        <v>15</v>
      </c>
      <c r="F531" t="s">
        <v>21</v>
      </c>
    </row>
    <row r="532" spans="1:6" x14ac:dyDescent="0.25">
      <c r="A532">
        <v>530</v>
      </c>
      <c r="B532" s="1">
        <v>45588</v>
      </c>
      <c r="C532" t="s">
        <v>237</v>
      </c>
      <c r="D532">
        <v>8</v>
      </c>
      <c r="E532" t="s">
        <v>15</v>
      </c>
      <c r="F532" t="s">
        <v>13</v>
      </c>
    </row>
    <row r="533" spans="1:6" x14ac:dyDescent="0.25">
      <c r="A533">
        <v>531</v>
      </c>
      <c r="B533" s="1">
        <v>45588</v>
      </c>
      <c r="C533" t="s">
        <v>28</v>
      </c>
      <c r="D533">
        <v>125</v>
      </c>
      <c r="E533" t="s">
        <v>15</v>
      </c>
      <c r="F533" t="s">
        <v>21</v>
      </c>
    </row>
    <row r="534" spans="1:6" x14ac:dyDescent="0.25">
      <c r="A534">
        <v>532</v>
      </c>
      <c r="B534" s="1">
        <v>45589</v>
      </c>
      <c r="C534" t="s">
        <v>28</v>
      </c>
      <c r="D534">
        <v>125</v>
      </c>
      <c r="E534" t="s">
        <v>15</v>
      </c>
      <c r="F534" t="s">
        <v>21</v>
      </c>
    </row>
    <row r="535" spans="1:6" x14ac:dyDescent="0.25">
      <c r="A535">
        <v>533</v>
      </c>
      <c r="B535" s="1">
        <v>45590</v>
      </c>
      <c r="C535" t="s">
        <v>238</v>
      </c>
      <c r="D535">
        <v>10000</v>
      </c>
      <c r="E535" t="s">
        <v>15</v>
      </c>
      <c r="F535" t="s">
        <v>13</v>
      </c>
    </row>
    <row r="536" spans="1:6" x14ac:dyDescent="0.25">
      <c r="A536">
        <v>534</v>
      </c>
      <c r="B536" s="1">
        <v>45590</v>
      </c>
      <c r="C536" t="s">
        <v>28</v>
      </c>
      <c r="D536">
        <v>25</v>
      </c>
      <c r="E536" t="s">
        <v>15</v>
      </c>
      <c r="F536" t="s">
        <v>21</v>
      </c>
    </row>
    <row r="537" spans="1:6" x14ac:dyDescent="0.25">
      <c r="A537">
        <v>535</v>
      </c>
      <c r="B537" s="1">
        <v>45591</v>
      </c>
      <c r="C537" t="s">
        <v>78</v>
      </c>
      <c r="D537">
        <v>200</v>
      </c>
      <c r="E537" t="s">
        <v>15</v>
      </c>
      <c r="F537" t="s">
        <v>13</v>
      </c>
    </row>
    <row r="538" spans="1:6" x14ac:dyDescent="0.25">
      <c r="A538">
        <v>536</v>
      </c>
      <c r="B538" s="1">
        <v>45591</v>
      </c>
      <c r="C538" t="s">
        <v>64</v>
      </c>
      <c r="D538">
        <v>199</v>
      </c>
      <c r="E538" t="s">
        <v>15</v>
      </c>
      <c r="F538" t="s">
        <v>21</v>
      </c>
    </row>
    <row r="539" spans="1:6" x14ac:dyDescent="0.25">
      <c r="A539">
        <v>537</v>
      </c>
      <c r="B539" s="1">
        <v>45595</v>
      </c>
      <c r="C539" t="s">
        <v>218</v>
      </c>
      <c r="D539">
        <v>15</v>
      </c>
      <c r="E539" t="s">
        <v>15</v>
      </c>
      <c r="F539" t="s">
        <v>13</v>
      </c>
    </row>
    <row r="540" spans="1:6" x14ac:dyDescent="0.25">
      <c r="A540">
        <v>538</v>
      </c>
      <c r="B540" s="1">
        <v>45595</v>
      </c>
      <c r="C540" t="s">
        <v>239</v>
      </c>
      <c r="D540">
        <v>92</v>
      </c>
      <c r="E540" t="s">
        <v>15</v>
      </c>
      <c r="F540" t="s">
        <v>21</v>
      </c>
    </row>
    <row r="541" spans="1:6" x14ac:dyDescent="0.25">
      <c r="A541">
        <v>539</v>
      </c>
      <c r="B541" s="1">
        <v>45596</v>
      </c>
      <c r="C541" t="s">
        <v>78</v>
      </c>
      <c r="D541">
        <v>150</v>
      </c>
      <c r="E541" t="s">
        <v>15</v>
      </c>
      <c r="F541" t="s">
        <v>13</v>
      </c>
    </row>
    <row r="542" spans="1:6" x14ac:dyDescent="0.25">
      <c r="A542">
        <v>540</v>
      </c>
      <c r="B542" s="1">
        <v>45596</v>
      </c>
      <c r="C542" t="s">
        <v>6</v>
      </c>
      <c r="D542">
        <v>13241</v>
      </c>
      <c r="E542" t="s">
        <v>7</v>
      </c>
      <c r="F542" t="s">
        <v>8</v>
      </c>
    </row>
    <row r="543" spans="1:6" x14ac:dyDescent="0.25">
      <c r="A543">
        <v>541</v>
      </c>
      <c r="B543" s="1">
        <v>45598</v>
      </c>
      <c r="C543" t="s">
        <v>240</v>
      </c>
      <c r="D543">
        <v>35</v>
      </c>
      <c r="E543" t="s">
        <v>15</v>
      </c>
      <c r="F543" t="s">
        <v>13</v>
      </c>
    </row>
    <row r="544" spans="1:6" x14ac:dyDescent="0.25">
      <c r="A544">
        <v>542</v>
      </c>
      <c r="B544" s="1">
        <v>45599</v>
      </c>
      <c r="C544" t="s">
        <v>64</v>
      </c>
      <c r="D544">
        <v>199</v>
      </c>
      <c r="E544" t="s">
        <v>15</v>
      </c>
      <c r="F544" t="s">
        <v>21</v>
      </c>
    </row>
    <row r="545" spans="1:6" x14ac:dyDescent="0.25">
      <c r="A545">
        <v>543</v>
      </c>
      <c r="B545" s="1">
        <v>45601</v>
      </c>
      <c r="C545" t="s">
        <v>241</v>
      </c>
      <c r="D545">
        <v>30</v>
      </c>
      <c r="E545" t="s">
        <v>15</v>
      </c>
      <c r="F545" t="s">
        <v>13</v>
      </c>
    </row>
    <row r="546" spans="1:6" x14ac:dyDescent="0.25">
      <c r="A546">
        <v>544</v>
      </c>
      <c r="B546" s="1">
        <v>45601</v>
      </c>
      <c r="C546" t="s">
        <v>242</v>
      </c>
      <c r="D546">
        <v>15</v>
      </c>
      <c r="E546" t="s">
        <v>15</v>
      </c>
      <c r="F546" t="s">
        <v>13</v>
      </c>
    </row>
    <row r="547" spans="1:6" x14ac:dyDescent="0.25">
      <c r="A547">
        <v>545</v>
      </c>
      <c r="B547" s="1">
        <v>45602</v>
      </c>
      <c r="C547" t="s">
        <v>242</v>
      </c>
      <c r="D547">
        <v>15</v>
      </c>
      <c r="E547" t="s">
        <v>15</v>
      </c>
      <c r="F547" t="s">
        <v>13</v>
      </c>
    </row>
    <row r="548" spans="1:6" x14ac:dyDescent="0.25">
      <c r="A548">
        <v>546</v>
      </c>
      <c r="B548" s="1">
        <v>45603</v>
      </c>
      <c r="C548" t="s">
        <v>242</v>
      </c>
      <c r="D548">
        <v>15</v>
      </c>
      <c r="E548" t="s">
        <v>15</v>
      </c>
      <c r="F548" t="s">
        <v>13</v>
      </c>
    </row>
    <row r="549" spans="1:6" x14ac:dyDescent="0.25">
      <c r="A549">
        <v>547</v>
      </c>
      <c r="B549" s="1">
        <v>45603</v>
      </c>
      <c r="C549" t="s">
        <v>243</v>
      </c>
      <c r="D549">
        <v>20</v>
      </c>
      <c r="E549" t="s">
        <v>15</v>
      </c>
      <c r="F549" t="s">
        <v>13</v>
      </c>
    </row>
    <row r="550" spans="1:6" x14ac:dyDescent="0.25">
      <c r="A550">
        <v>548</v>
      </c>
      <c r="B550" s="1">
        <v>45607</v>
      </c>
      <c r="C550" t="s">
        <v>244</v>
      </c>
      <c r="D550">
        <v>500</v>
      </c>
      <c r="E550" t="s">
        <v>15</v>
      </c>
      <c r="F550" t="s">
        <v>13</v>
      </c>
    </row>
    <row r="551" spans="1:6" x14ac:dyDescent="0.25">
      <c r="A551">
        <v>549</v>
      </c>
      <c r="B551" s="1">
        <v>45607</v>
      </c>
      <c r="C551" t="s">
        <v>245</v>
      </c>
      <c r="D551">
        <v>200</v>
      </c>
      <c r="E551" t="s">
        <v>15</v>
      </c>
      <c r="F551" t="s">
        <v>13</v>
      </c>
    </row>
    <row r="552" spans="1:6" x14ac:dyDescent="0.25">
      <c r="A552">
        <v>550</v>
      </c>
      <c r="B552" s="1">
        <v>45607</v>
      </c>
      <c r="C552" t="s">
        <v>67</v>
      </c>
      <c r="D552">
        <v>50</v>
      </c>
      <c r="E552" t="s">
        <v>15</v>
      </c>
      <c r="F552" t="s">
        <v>13</v>
      </c>
    </row>
    <row r="553" spans="1:6" x14ac:dyDescent="0.25">
      <c r="A553">
        <v>551</v>
      </c>
      <c r="B553" s="1">
        <v>45607</v>
      </c>
      <c r="C553" t="s">
        <v>246</v>
      </c>
      <c r="D553">
        <v>20</v>
      </c>
      <c r="E553" t="s">
        <v>15</v>
      </c>
      <c r="F553" t="s">
        <v>13</v>
      </c>
    </row>
    <row r="554" spans="1:6" x14ac:dyDescent="0.25">
      <c r="A554">
        <v>552</v>
      </c>
      <c r="B554" s="1">
        <v>45607</v>
      </c>
      <c r="C554" t="s">
        <v>247</v>
      </c>
      <c r="D554">
        <v>40</v>
      </c>
      <c r="E554" t="s">
        <v>15</v>
      </c>
      <c r="F554" t="s">
        <v>13</v>
      </c>
    </row>
    <row r="555" spans="1:6" x14ac:dyDescent="0.25">
      <c r="A555">
        <v>553</v>
      </c>
      <c r="B555" s="1">
        <v>45608</v>
      </c>
      <c r="C555" t="s">
        <v>218</v>
      </c>
      <c r="D555">
        <v>45</v>
      </c>
      <c r="E555" t="s">
        <v>15</v>
      </c>
      <c r="F555" t="s">
        <v>13</v>
      </c>
    </row>
    <row r="556" spans="1:6" x14ac:dyDescent="0.25">
      <c r="A556">
        <v>554</v>
      </c>
      <c r="B556" s="1">
        <v>45608</v>
      </c>
      <c r="C556" t="s">
        <v>103</v>
      </c>
      <c r="D556">
        <v>265</v>
      </c>
      <c r="E556" t="s">
        <v>15</v>
      </c>
      <c r="F556" t="s">
        <v>13</v>
      </c>
    </row>
    <row r="557" spans="1:6" x14ac:dyDescent="0.25">
      <c r="A557">
        <v>555</v>
      </c>
      <c r="B557" s="1">
        <v>45608</v>
      </c>
      <c r="C557" t="s">
        <v>248</v>
      </c>
      <c r="D557">
        <v>27000</v>
      </c>
      <c r="E557" t="s">
        <v>7</v>
      </c>
      <c r="F557" t="s">
        <v>8</v>
      </c>
    </row>
    <row r="558" spans="1:6" x14ac:dyDescent="0.25">
      <c r="A558">
        <v>556</v>
      </c>
      <c r="B558" s="1">
        <v>45608</v>
      </c>
      <c r="C558" t="s">
        <v>249</v>
      </c>
      <c r="D558">
        <v>5000</v>
      </c>
      <c r="E558" t="s">
        <v>7</v>
      </c>
      <c r="F558" t="s">
        <v>8</v>
      </c>
    </row>
    <row r="559" spans="1:6" x14ac:dyDescent="0.25">
      <c r="A559">
        <v>557</v>
      </c>
      <c r="B559" s="1">
        <v>45608</v>
      </c>
      <c r="C559" t="s">
        <v>6</v>
      </c>
      <c r="D559">
        <v>14752</v>
      </c>
      <c r="E559" t="s">
        <v>7</v>
      </c>
      <c r="F559" t="s">
        <v>8</v>
      </c>
    </row>
    <row r="560" spans="1:6" x14ac:dyDescent="0.25">
      <c r="A560">
        <v>558</v>
      </c>
      <c r="B560" s="1">
        <v>45609</v>
      </c>
      <c r="C560" t="s">
        <v>218</v>
      </c>
      <c r="D560">
        <v>30</v>
      </c>
      <c r="E560" t="s">
        <v>15</v>
      </c>
      <c r="F560" t="s">
        <v>13</v>
      </c>
    </row>
    <row r="561" spans="1:6" x14ac:dyDescent="0.25">
      <c r="A561">
        <v>559</v>
      </c>
      <c r="B561" s="1">
        <v>45609</v>
      </c>
      <c r="C561" t="s">
        <v>250</v>
      </c>
      <c r="D561">
        <v>2325</v>
      </c>
      <c r="E561" t="s">
        <v>15</v>
      </c>
      <c r="F561" t="s">
        <v>13</v>
      </c>
    </row>
    <row r="562" spans="1:6" x14ac:dyDescent="0.25">
      <c r="A562">
        <v>560</v>
      </c>
      <c r="B562" s="1">
        <v>45609</v>
      </c>
      <c r="C562" t="s">
        <v>145</v>
      </c>
      <c r="D562">
        <v>5000</v>
      </c>
      <c r="E562" t="s">
        <v>15</v>
      </c>
      <c r="F562" t="s">
        <v>13</v>
      </c>
    </row>
    <row r="563" spans="1:6" x14ac:dyDescent="0.25">
      <c r="A563">
        <v>561</v>
      </c>
      <c r="B563" s="1">
        <v>45609</v>
      </c>
      <c r="C563" t="s">
        <v>251</v>
      </c>
      <c r="D563">
        <v>300</v>
      </c>
      <c r="E563" t="s">
        <v>15</v>
      </c>
      <c r="F563" t="s">
        <v>13</v>
      </c>
    </row>
    <row r="564" spans="1:6" x14ac:dyDescent="0.25">
      <c r="A564">
        <v>562</v>
      </c>
      <c r="B564" s="1">
        <v>45611</v>
      </c>
      <c r="C564" t="s">
        <v>226</v>
      </c>
      <c r="D564">
        <v>100</v>
      </c>
      <c r="E564" t="s">
        <v>15</v>
      </c>
      <c r="F564" t="s">
        <v>13</v>
      </c>
    </row>
    <row r="565" spans="1:6" x14ac:dyDescent="0.25">
      <c r="A565">
        <v>563</v>
      </c>
      <c r="B565" s="1">
        <v>45614</v>
      </c>
      <c r="C565" t="s">
        <v>252</v>
      </c>
      <c r="D565">
        <v>100</v>
      </c>
      <c r="E565" t="s">
        <v>15</v>
      </c>
      <c r="F565" t="s">
        <v>13</v>
      </c>
    </row>
    <row r="566" spans="1:6" x14ac:dyDescent="0.25">
      <c r="A566">
        <v>564</v>
      </c>
      <c r="B566" s="1">
        <v>45614</v>
      </c>
      <c r="C566" t="s">
        <v>218</v>
      </c>
      <c r="D566">
        <v>15</v>
      </c>
      <c r="E566" t="s">
        <v>15</v>
      </c>
      <c r="F566" t="s">
        <v>13</v>
      </c>
    </row>
    <row r="567" spans="1:6" x14ac:dyDescent="0.25">
      <c r="A567">
        <v>565</v>
      </c>
      <c r="B567" s="1">
        <v>45615</v>
      </c>
      <c r="C567" t="s">
        <v>218</v>
      </c>
      <c r="D567">
        <v>15</v>
      </c>
      <c r="E567" t="s">
        <v>15</v>
      </c>
      <c r="F567" t="s">
        <v>13</v>
      </c>
    </row>
    <row r="568" spans="1:6" x14ac:dyDescent="0.25">
      <c r="A568">
        <v>566</v>
      </c>
      <c r="B568" s="1">
        <v>45615</v>
      </c>
      <c r="C568" t="s">
        <v>253</v>
      </c>
      <c r="D568">
        <v>100</v>
      </c>
      <c r="E568" t="s">
        <v>15</v>
      </c>
      <c r="F568" t="s">
        <v>13</v>
      </c>
    </row>
    <row r="569" spans="1:6" x14ac:dyDescent="0.25">
      <c r="A569">
        <v>567</v>
      </c>
      <c r="B569" s="1">
        <v>45616</v>
      </c>
      <c r="C569" t="s">
        <v>254</v>
      </c>
      <c r="D569">
        <v>100</v>
      </c>
      <c r="E569" t="s">
        <v>15</v>
      </c>
      <c r="F569" t="s">
        <v>13</v>
      </c>
    </row>
    <row r="570" spans="1:6" x14ac:dyDescent="0.25">
      <c r="A570">
        <v>568</v>
      </c>
      <c r="B570" s="1">
        <v>45618</v>
      </c>
      <c r="C570" t="s">
        <v>255</v>
      </c>
      <c r="D570">
        <v>100</v>
      </c>
      <c r="E570" t="s">
        <v>15</v>
      </c>
      <c r="F570" t="s">
        <v>13</v>
      </c>
    </row>
    <row r="571" spans="1:6" x14ac:dyDescent="0.25">
      <c r="A571">
        <v>569</v>
      </c>
      <c r="B571" s="1">
        <v>45618</v>
      </c>
      <c r="C571" t="s">
        <v>218</v>
      </c>
      <c r="D571">
        <v>45</v>
      </c>
      <c r="E571" t="s">
        <v>15</v>
      </c>
      <c r="F571" t="s">
        <v>13</v>
      </c>
    </row>
    <row r="572" spans="1:6" x14ac:dyDescent="0.25">
      <c r="A572">
        <v>570</v>
      </c>
      <c r="B572" s="1">
        <v>45625</v>
      </c>
      <c r="C572" t="s">
        <v>256</v>
      </c>
      <c r="D572">
        <v>12</v>
      </c>
      <c r="E572" t="s">
        <v>15</v>
      </c>
      <c r="F572" t="s">
        <v>13</v>
      </c>
    </row>
    <row r="573" spans="1:6" x14ac:dyDescent="0.25">
      <c r="A573">
        <v>571</v>
      </c>
      <c r="B573" s="1">
        <v>45625</v>
      </c>
      <c r="C573" t="s">
        <v>240</v>
      </c>
      <c r="D573">
        <v>30</v>
      </c>
      <c r="E573" t="s">
        <v>15</v>
      </c>
      <c r="F573" t="s">
        <v>13</v>
      </c>
    </row>
    <row r="574" spans="1:6" x14ac:dyDescent="0.25">
      <c r="A574">
        <v>572</v>
      </c>
      <c r="B574" s="1">
        <v>45626</v>
      </c>
      <c r="C574" t="s">
        <v>6</v>
      </c>
      <c r="D574">
        <v>13240</v>
      </c>
      <c r="E574" t="s">
        <v>7</v>
      </c>
      <c r="F574" t="s">
        <v>13</v>
      </c>
    </row>
    <row r="575" spans="1:6" x14ac:dyDescent="0.25">
      <c r="A575">
        <v>573</v>
      </c>
      <c r="B575" s="1">
        <v>45630</v>
      </c>
      <c r="C575" t="s">
        <v>242</v>
      </c>
      <c r="D575">
        <v>15</v>
      </c>
      <c r="E575" t="s">
        <v>15</v>
      </c>
      <c r="F575" t="s">
        <v>13</v>
      </c>
    </row>
    <row r="576" spans="1:6" x14ac:dyDescent="0.25">
      <c r="A576">
        <v>574</v>
      </c>
      <c r="B576" s="1">
        <v>45632</v>
      </c>
      <c r="C576" t="s">
        <v>218</v>
      </c>
      <c r="D576">
        <v>45</v>
      </c>
      <c r="E576" t="s">
        <v>15</v>
      </c>
      <c r="F576" t="s">
        <v>13</v>
      </c>
    </row>
    <row r="577" spans="1:6" x14ac:dyDescent="0.25">
      <c r="A577">
        <v>575</v>
      </c>
      <c r="B577" s="1">
        <v>45634</v>
      </c>
      <c r="C577" t="s">
        <v>257</v>
      </c>
      <c r="D577">
        <v>135</v>
      </c>
      <c r="E577" t="s">
        <v>15</v>
      </c>
      <c r="F577" t="s">
        <v>13</v>
      </c>
    </row>
    <row r="578" spans="1:6" x14ac:dyDescent="0.25">
      <c r="A578">
        <v>576</v>
      </c>
      <c r="B578" s="1">
        <v>45634</v>
      </c>
      <c r="C578" t="s">
        <v>139</v>
      </c>
      <c r="D578">
        <v>35</v>
      </c>
      <c r="E578" t="s">
        <v>15</v>
      </c>
      <c r="F578" t="s">
        <v>13</v>
      </c>
    </row>
    <row r="579" spans="1:6" x14ac:dyDescent="0.25">
      <c r="A579">
        <v>577</v>
      </c>
      <c r="B579" s="1">
        <v>45636</v>
      </c>
      <c r="C579" t="s">
        <v>242</v>
      </c>
      <c r="D579">
        <v>15</v>
      </c>
      <c r="E579" t="s">
        <v>15</v>
      </c>
      <c r="F579" t="s">
        <v>13</v>
      </c>
    </row>
    <row r="580" spans="1:6" x14ac:dyDescent="0.25">
      <c r="A580">
        <v>578</v>
      </c>
      <c r="B580" s="1">
        <v>45637</v>
      </c>
      <c r="C580" t="s">
        <v>218</v>
      </c>
      <c r="D580">
        <v>45</v>
      </c>
      <c r="E580" t="s">
        <v>15</v>
      </c>
      <c r="F580" t="s">
        <v>13</v>
      </c>
    </row>
    <row r="581" spans="1:6" x14ac:dyDescent="0.25">
      <c r="A581">
        <v>579</v>
      </c>
      <c r="B581" s="1">
        <v>45639</v>
      </c>
      <c r="C581" t="s">
        <v>218</v>
      </c>
      <c r="D581">
        <v>45</v>
      </c>
      <c r="E581" t="s">
        <v>15</v>
      </c>
      <c r="F581" t="s">
        <v>13</v>
      </c>
    </row>
    <row r="582" spans="1:6" x14ac:dyDescent="0.25">
      <c r="A582">
        <v>580</v>
      </c>
      <c r="B582" s="1">
        <v>45640</v>
      </c>
      <c r="C582" t="s">
        <v>258</v>
      </c>
      <c r="D582">
        <v>225</v>
      </c>
      <c r="E582" t="s">
        <v>15</v>
      </c>
      <c r="F582" t="s">
        <v>13</v>
      </c>
    </row>
    <row r="583" spans="1:6" x14ac:dyDescent="0.25">
      <c r="A583">
        <v>581</v>
      </c>
      <c r="B583" s="1">
        <v>45645</v>
      </c>
      <c r="C583" t="s">
        <v>259</v>
      </c>
      <c r="D583">
        <v>200</v>
      </c>
      <c r="E583" t="s">
        <v>15</v>
      </c>
      <c r="F583" t="s">
        <v>13</v>
      </c>
    </row>
    <row r="584" spans="1:6" x14ac:dyDescent="0.25">
      <c r="A584">
        <v>582</v>
      </c>
      <c r="B584" s="1">
        <v>45645</v>
      </c>
      <c r="C584" t="s">
        <v>260</v>
      </c>
      <c r="D584">
        <v>365</v>
      </c>
      <c r="E584" t="s">
        <v>15</v>
      </c>
      <c r="F584" t="s">
        <v>13</v>
      </c>
    </row>
    <row r="585" spans="1:6" x14ac:dyDescent="0.25">
      <c r="A585">
        <v>583</v>
      </c>
      <c r="B585" s="1">
        <v>45645</v>
      </c>
      <c r="C585" t="s">
        <v>261</v>
      </c>
      <c r="D585">
        <v>180</v>
      </c>
      <c r="E585" t="s">
        <v>15</v>
      </c>
      <c r="F585" t="s">
        <v>13</v>
      </c>
    </row>
    <row r="586" spans="1:6" x14ac:dyDescent="0.25">
      <c r="A586">
        <v>584</v>
      </c>
      <c r="B586" s="1">
        <v>45645</v>
      </c>
      <c r="C586" t="s">
        <v>262</v>
      </c>
      <c r="D586">
        <v>350</v>
      </c>
      <c r="E586" t="s">
        <v>15</v>
      </c>
      <c r="F586" t="s">
        <v>13</v>
      </c>
    </row>
    <row r="587" spans="1:6" x14ac:dyDescent="0.25">
      <c r="A587">
        <v>585</v>
      </c>
      <c r="B587" s="1">
        <v>45645</v>
      </c>
      <c r="C587" t="s">
        <v>263</v>
      </c>
      <c r="D587">
        <v>175</v>
      </c>
      <c r="E587" t="s">
        <v>15</v>
      </c>
      <c r="F587" t="s">
        <v>13</v>
      </c>
    </row>
    <row r="588" spans="1:6" x14ac:dyDescent="0.25">
      <c r="A588">
        <v>586</v>
      </c>
      <c r="B588" s="1">
        <v>45647</v>
      </c>
      <c r="C588" t="s">
        <v>6</v>
      </c>
      <c r="D588">
        <v>13240</v>
      </c>
      <c r="E588" t="s">
        <v>7</v>
      </c>
      <c r="F588" t="s">
        <v>8</v>
      </c>
    </row>
    <row r="589" spans="1:6" x14ac:dyDescent="0.25">
      <c r="A589">
        <v>587</v>
      </c>
      <c r="B589" s="1">
        <v>45647</v>
      </c>
      <c r="C589" t="s">
        <v>264</v>
      </c>
      <c r="D589">
        <v>25000</v>
      </c>
      <c r="E589" t="s">
        <v>7</v>
      </c>
      <c r="F589" t="s">
        <v>8</v>
      </c>
    </row>
    <row r="590" spans="1:6" x14ac:dyDescent="0.25">
      <c r="A590">
        <v>588</v>
      </c>
      <c r="B590" s="1">
        <v>45647</v>
      </c>
      <c r="C590" t="s">
        <v>175</v>
      </c>
      <c r="D590">
        <v>3000</v>
      </c>
      <c r="E590" t="s">
        <v>15</v>
      </c>
      <c r="F590" t="s">
        <v>13</v>
      </c>
    </row>
    <row r="591" spans="1:6" x14ac:dyDescent="0.25">
      <c r="A591">
        <v>589</v>
      </c>
      <c r="B591" s="1">
        <v>45647</v>
      </c>
      <c r="C591" t="s">
        <v>145</v>
      </c>
      <c r="D591">
        <v>6000</v>
      </c>
      <c r="E591" t="s">
        <v>15</v>
      </c>
      <c r="F591" t="s">
        <v>13</v>
      </c>
    </row>
    <row r="592" spans="1:6" x14ac:dyDescent="0.25">
      <c r="A592">
        <v>590</v>
      </c>
      <c r="B592" s="1">
        <v>45647</v>
      </c>
      <c r="C592" t="s">
        <v>265</v>
      </c>
      <c r="D592">
        <v>1050</v>
      </c>
      <c r="E592" t="s">
        <v>15</v>
      </c>
      <c r="F592" t="s">
        <v>13</v>
      </c>
    </row>
    <row r="593" spans="1:6" x14ac:dyDescent="0.25">
      <c r="A593">
        <v>591</v>
      </c>
      <c r="B593" s="1">
        <v>45647</v>
      </c>
      <c r="C593" t="s">
        <v>266</v>
      </c>
      <c r="D593">
        <v>100</v>
      </c>
      <c r="E593" t="s">
        <v>15</v>
      </c>
      <c r="F593" t="s">
        <v>13</v>
      </c>
    </row>
    <row r="594" spans="1:6" x14ac:dyDescent="0.25">
      <c r="A594">
        <v>592</v>
      </c>
      <c r="B594" s="1">
        <v>45647</v>
      </c>
      <c r="C594" t="s">
        <v>267</v>
      </c>
      <c r="D594">
        <v>210</v>
      </c>
      <c r="E594" t="s">
        <v>15</v>
      </c>
      <c r="F594" t="s">
        <v>13</v>
      </c>
    </row>
    <row r="595" spans="1:6" x14ac:dyDescent="0.25">
      <c r="A595">
        <v>593</v>
      </c>
      <c r="B595" s="1">
        <v>45649</v>
      </c>
      <c r="C595" t="s">
        <v>108</v>
      </c>
      <c r="D595">
        <v>25</v>
      </c>
      <c r="E595" t="s">
        <v>15</v>
      </c>
      <c r="F595" t="s">
        <v>13</v>
      </c>
    </row>
    <row r="596" spans="1:6" x14ac:dyDescent="0.25">
      <c r="A596">
        <v>594</v>
      </c>
      <c r="B596" s="1">
        <v>45649</v>
      </c>
      <c r="C596" t="s">
        <v>66</v>
      </c>
      <c r="D596">
        <v>10</v>
      </c>
      <c r="E596" t="s">
        <v>15</v>
      </c>
      <c r="F596" t="s">
        <v>13</v>
      </c>
    </row>
    <row r="597" spans="1:6" x14ac:dyDescent="0.25">
      <c r="A597">
        <v>595</v>
      </c>
      <c r="B597" s="1">
        <v>45649</v>
      </c>
      <c r="C597" t="s">
        <v>67</v>
      </c>
      <c r="D597">
        <v>15</v>
      </c>
      <c r="E597" t="s">
        <v>15</v>
      </c>
      <c r="F597" t="s">
        <v>13</v>
      </c>
    </row>
    <row r="598" spans="1:6" x14ac:dyDescent="0.25">
      <c r="A598">
        <v>596</v>
      </c>
      <c r="B598" s="1">
        <v>45649</v>
      </c>
      <c r="C598" t="s">
        <v>54</v>
      </c>
      <c r="D598">
        <v>160</v>
      </c>
      <c r="E598" t="s">
        <v>15</v>
      </c>
      <c r="F598" t="s">
        <v>13</v>
      </c>
    </row>
    <row r="599" spans="1:6" x14ac:dyDescent="0.25">
      <c r="A599">
        <v>597</v>
      </c>
      <c r="B599" s="1">
        <v>45649</v>
      </c>
      <c r="C599" t="s">
        <v>106</v>
      </c>
      <c r="D599">
        <v>185</v>
      </c>
      <c r="E599" t="s">
        <v>15</v>
      </c>
      <c r="F599" t="s">
        <v>13</v>
      </c>
    </row>
    <row r="600" spans="1:6" x14ac:dyDescent="0.25">
      <c r="A600">
        <v>598</v>
      </c>
      <c r="B600" s="1">
        <v>45649</v>
      </c>
      <c r="C600" t="s">
        <v>268</v>
      </c>
      <c r="D600">
        <v>190</v>
      </c>
      <c r="E600" t="s">
        <v>15</v>
      </c>
      <c r="F600" t="s">
        <v>13</v>
      </c>
    </row>
    <row r="601" spans="1:6" x14ac:dyDescent="0.25">
      <c r="A601">
        <v>599</v>
      </c>
      <c r="B601" s="1">
        <v>45649</v>
      </c>
      <c r="C601" t="s">
        <v>6</v>
      </c>
      <c r="D601">
        <v>13241</v>
      </c>
      <c r="E601" t="s">
        <v>7</v>
      </c>
      <c r="F601" t="s">
        <v>8</v>
      </c>
    </row>
    <row r="602" spans="1:6" x14ac:dyDescent="0.25">
      <c r="A602">
        <v>600</v>
      </c>
      <c r="B602" s="1">
        <v>45649</v>
      </c>
      <c r="C602" t="s">
        <v>162</v>
      </c>
      <c r="D602">
        <v>10000</v>
      </c>
      <c r="E602" t="s">
        <v>10</v>
      </c>
      <c r="F602" t="s">
        <v>8</v>
      </c>
    </row>
    <row r="603" spans="1:6" x14ac:dyDescent="0.25">
      <c r="A603">
        <v>601</v>
      </c>
      <c r="B603" s="1">
        <v>45650</v>
      </c>
      <c r="C603" t="s">
        <v>170</v>
      </c>
      <c r="D603">
        <v>320</v>
      </c>
      <c r="E603" t="s">
        <v>15</v>
      </c>
      <c r="F603" t="s">
        <v>13</v>
      </c>
    </row>
    <row r="604" spans="1:6" x14ac:dyDescent="0.25">
      <c r="A604">
        <v>602</v>
      </c>
      <c r="B604" s="1">
        <v>45650</v>
      </c>
      <c r="C604" t="s">
        <v>269</v>
      </c>
      <c r="D604">
        <v>798</v>
      </c>
      <c r="E604" t="s">
        <v>15</v>
      </c>
      <c r="F604" t="s">
        <v>13</v>
      </c>
    </row>
    <row r="605" spans="1:6" x14ac:dyDescent="0.25">
      <c r="A605">
        <v>603</v>
      </c>
      <c r="B605" s="1">
        <v>45650</v>
      </c>
      <c r="C605" t="s">
        <v>270</v>
      </c>
      <c r="D605">
        <v>180</v>
      </c>
      <c r="E605" t="s">
        <v>15</v>
      </c>
      <c r="F605" t="s">
        <v>13</v>
      </c>
    </row>
    <row r="606" spans="1:6" x14ac:dyDescent="0.25">
      <c r="A606">
        <v>604</v>
      </c>
      <c r="B606" s="1">
        <v>45650</v>
      </c>
      <c r="C606" t="s">
        <v>179</v>
      </c>
      <c r="D606">
        <v>28</v>
      </c>
      <c r="E606" t="s">
        <v>15</v>
      </c>
      <c r="F606" t="s">
        <v>13</v>
      </c>
    </row>
    <row r="607" spans="1:6" x14ac:dyDescent="0.25">
      <c r="A607">
        <v>605</v>
      </c>
      <c r="B607" s="1">
        <v>45650</v>
      </c>
      <c r="C607" t="s">
        <v>108</v>
      </c>
      <c r="D607">
        <v>140</v>
      </c>
      <c r="E607" t="s">
        <v>15</v>
      </c>
      <c r="F607" t="s">
        <v>13</v>
      </c>
    </row>
    <row r="608" spans="1:6" x14ac:dyDescent="0.25">
      <c r="A608">
        <v>606</v>
      </c>
      <c r="B608" s="1">
        <v>45650</v>
      </c>
      <c r="C608" t="s">
        <v>271</v>
      </c>
      <c r="D608">
        <v>200</v>
      </c>
      <c r="E608" t="s">
        <v>15</v>
      </c>
      <c r="F608" t="s">
        <v>13</v>
      </c>
    </row>
    <row r="609" spans="1:6" x14ac:dyDescent="0.25">
      <c r="A609">
        <v>607</v>
      </c>
      <c r="B609" s="1">
        <v>45650</v>
      </c>
      <c r="C609" t="s">
        <v>272</v>
      </c>
      <c r="D609">
        <v>720</v>
      </c>
      <c r="E609" t="s">
        <v>15</v>
      </c>
      <c r="F609" t="s">
        <v>13</v>
      </c>
    </row>
    <row r="610" spans="1:6" x14ac:dyDescent="0.25">
      <c r="A610">
        <v>608</v>
      </c>
      <c r="B610" s="1">
        <v>45651</v>
      </c>
      <c r="C610" t="s">
        <v>273</v>
      </c>
      <c r="D610">
        <v>1150</v>
      </c>
      <c r="E610" t="s">
        <v>15</v>
      </c>
      <c r="F610" t="s">
        <v>13</v>
      </c>
    </row>
    <row r="611" spans="1:6" x14ac:dyDescent="0.25">
      <c r="A611">
        <v>609</v>
      </c>
      <c r="B611" s="1">
        <v>45652</v>
      </c>
      <c r="C611" t="s">
        <v>78</v>
      </c>
      <c r="D611">
        <v>350</v>
      </c>
      <c r="E611" t="s">
        <v>15</v>
      </c>
      <c r="F611" t="s">
        <v>13</v>
      </c>
    </row>
    <row r="612" spans="1:6" x14ac:dyDescent="0.25">
      <c r="A612">
        <v>610</v>
      </c>
      <c r="B612" s="1">
        <v>45655</v>
      </c>
      <c r="C612" t="s">
        <v>66</v>
      </c>
      <c r="D612">
        <v>20</v>
      </c>
      <c r="E612" t="s">
        <v>15</v>
      </c>
      <c r="F612" t="s">
        <v>13</v>
      </c>
    </row>
    <row r="613" spans="1:6" x14ac:dyDescent="0.25">
      <c r="A613">
        <v>611</v>
      </c>
      <c r="B613" s="1">
        <v>45655</v>
      </c>
      <c r="C613" t="s">
        <v>67</v>
      </c>
      <c r="D613">
        <v>15</v>
      </c>
      <c r="E613" t="s">
        <v>15</v>
      </c>
      <c r="F613" t="s">
        <v>13</v>
      </c>
    </row>
    <row r="614" spans="1:6" x14ac:dyDescent="0.25">
      <c r="A614">
        <v>612</v>
      </c>
      <c r="B614" s="1">
        <v>45655</v>
      </c>
      <c r="C614" t="s">
        <v>54</v>
      </c>
      <c r="D614">
        <v>281</v>
      </c>
      <c r="E614" t="s">
        <v>15</v>
      </c>
      <c r="F614" t="s">
        <v>13</v>
      </c>
    </row>
    <row r="615" spans="1:6" x14ac:dyDescent="0.25">
      <c r="A615">
        <v>613</v>
      </c>
      <c r="B615" s="1">
        <v>45655</v>
      </c>
      <c r="C615" t="s">
        <v>162</v>
      </c>
      <c r="D615">
        <v>9972</v>
      </c>
      <c r="E615" t="s">
        <v>10</v>
      </c>
      <c r="F615" t="s">
        <v>8</v>
      </c>
    </row>
    <row r="616" spans="1:6" x14ac:dyDescent="0.25">
      <c r="A616">
        <v>614</v>
      </c>
      <c r="B616" s="1">
        <v>45655</v>
      </c>
      <c r="C616" t="s">
        <v>179</v>
      </c>
      <c r="D616">
        <v>26</v>
      </c>
      <c r="E616" t="s">
        <v>15</v>
      </c>
      <c r="F616" t="s">
        <v>13</v>
      </c>
    </row>
    <row r="617" spans="1:6" x14ac:dyDescent="0.25">
      <c r="A617">
        <v>615</v>
      </c>
      <c r="B617" s="1">
        <v>45655</v>
      </c>
      <c r="C617" t="s">
        <v>274</v>
      </c>
      <c r="D617">
        <v>69</v>
      </c>
      <c r="E617" t="s">
        <v>15</v>
      </c>
      <c r="F617" t="s">
        <v>13</v>
      </c>
    </row>
    <row r="618" spans="1:6" x14ac:dyDescent="0.25">
      <c r="A618">
        <v>616</v>
      </c>
      <c r="B618" s="1">
        <v>45655</v>
      </c>
      <c r="C618" t="s">
        <v>275</v>
      </c>
      <c r="D618">
        <v>269</v>
      </c>
      <c r="E618" t="s">
        <v>15</v>
      </c>
      <c r="F618" t="s">
        <v>13</v>
      </c>
    </row>
    <row r="619" spans="1:6" x14ac:dyDescent="0.25">
      <c r="A619">
        <v>617</v>
      </c>
      <c r="B619" s="1">
        <v>45655</v>
      </c>
      <c r="C619" t="s">
        <v>276</v>
      </c>
      <c r="D619">
        <v>263</v>
      </c>
      <c r="E619" t="s">
        <v>15</v>
      </c>
      <c r="F619" t="s">
        <v>13</v>
      </c>
    </row>
    <row r="620" spans="1:6" x14ac:dyDescent="0.25">
      <c r="A620">
        <v>618</v>
      </c>
      <c r="B620" s="1">
        <v>45655</v>
      </c>
      <c r="C620" t="s">
        <v>277</v>
      </c>
      <c r="D620">
        <v>279</v>
      </c>
      <c r="E620" t="s">
        <v>15</v>
      </c>
      <c r="F620" t="s">
        <v>13</v>
      </c>
    </row>
    <row r="621" spans="1:6" x14ac:dyDescent="0.25">
      <c r="A621">
        <v>619</v>
      </c>
      <c r="B621" s="1">
        <v>45655</v>
      </c>
      <c r="C621" t="s">
        <v>82</v>
      </c>
      <c r="D621">
        <v>250</v>
      </c>
      <c r="E621" t="s">
        <v>15</v>
      </c>
      <c r="F621" t="s">
        <v>13</v>
      </c>
    </row>
    <row r="622" spans="1:6" x14ac:dyDescent="0.25">
      <c r="A622">
        <v>620</v>
      </c>
      <c r="B622" s="1">
        <v>45655</v>
      </c>
      <c r="C622" t="s">
        <v>278</v>
      </c>
      <c r="D622">
        <v>87</v>
      </c>
      <c r="E622" t="s">
        <v>15</v>
      </c>
      <c r="F622" t="s">
        <v>13</v>
      </c>
    </row>
    <row r="623" spans="1:6" x14ac:dyDescent="0.25">
      <c r="A623">
        <v>621</v>
      </c>
      <c r="B623" s="1">
        <v>45656</v>
      </c>
      <c r="C623" t="s">
        <v>279</v>
      </c>
      <c r="D623">
        <v>1289</v>
      </c>
      <c r="E623" t="s">
        <v>15</v>
      </c>
      <c r="F623" t="s">
        <v>13</v>
      </c>
    </row>
    <row r="624" spans="1:6" x14ac:dyDescent="0.25">
      <c r="A624">
        <v>622</v>
      </c>
      <c r="B624" s="1">
        <v>45656</v>
      </c>
      <c r="C624" t="s">
        <v>103</v>
      </c>
      <c r="D624">
        <v>270</v>
      </c>
      <c r="E624" t="s">
        <v>15</v>
      </c>
      <c r="F624" t="s">
        <v>13</v>
      </c>
    </row>
    <row r="625" spans="1:6" x14ac:dyDescent="0.25">
      <c r="A625">
        <v>623</v>
      </c>
      <c r="B625" s="1">
        <v>45657</v>
      </c>
      <c r="C625" t="s">
        <v>280</v>
      </c>
      <c r="D625">
        <v>720</v>
      </c>
      <c r="E625" t="s">
        <v>15</v>
      </c>
      <c r="F625" t="s">
        <v>13</v>
      </c>
    </row>
    <row r="626" spans="1:6" x14ac:dyDescent="0.25">
      <c r="A626">
        <v>624</v>
      </c>
      <c r="B626" s="1">
        <v>45658</v>
      </c>
      <c r="C626" t="s">
        <v>36</v>
      </c>
      <c r="D626">
        <v>5</v>
      </c>
      <c r="E626" t="s">
        <v>15</v>
      </c>
      <c r="F626" t="s">
        <v>13</v>
      </c>
    </row>
    <row r="627" spans="1:6" x14ac:dyDescent="0.25">
      <c r="A627">
        <v>625</v>
      </c>
      <c r="B627" s="1">
        <v>45659</v>
      </c>
      <c r="C627" t="s">
        <v>67</v>
      </c>
      <c r="D627">
        <v>25</v>
      </c>
      <c r="E627" t="s">
        <v>15</v>
      </c>
      <c r="F627" t="s">
        <v>13</v>
      </c>
    </row>
    <row r="628" spans="1:6" x14ac:dyDescent="0.25">
      <c r="A628">
        <v>626</v>
      </c>
      <c r="B628" s="1">
        <v>45661</v>
      </c>
      <c r="C628" t="s">
        <v>175</v>
      </c>
      <c r="D628">
        <v>2100</v>
      </c>
      <c r="E628" t="s">
        <v>15</v>
      </c>
      <c r="F628" t="s">
        <v>13</v>
      </c>
    </row>
    <row r="629" spans="1:6" x14ac:dyDescent="0.25">
      <c r="A629">
        <v>627</v>
      </c>
      <c r="B629" s="1">
        <v>45661</v>
      </c>
      <c r="C629" t="s">
        <v>145</v>
      </c>
      <c r="D629">
        <v>7000</v>
      </c>
      <c r="E629" t="s">
        <v>15</v>
      </c>
      <c r="F629" t="s">
        <v>13</v>
      </c>
    </row>
    <row r="630" spans="1:6" x14ac:dyDescent="0.25">
      <c r="A630">
        <v>628</v>
      </c>
      <c r="B630" s="1">
        <v>45667</v>
      </c>
      <c r="C630" t="s">
        <v>281</v>
      </c>
      <c r="D630">
        <v>150</v>
      </c>
      <c r="E630" t="s">
        <v>15</v>
      </c>
      <c r="F630" t="s">
        <v>13</v>
      </c>
    </row>
    <row r="631" spans="1:6" x14ac:dyDescent="0.25">
      <c r="A631">
        <v>629</v>
      </c>
      <c r="B631" s="1">
        <v>45667</v>
      </c>
      <c r="C631" t="s">
        <v>180</v>
      </c>
      <c r="D631">
        <v>30</v>
      </c>
      <c r="E631" t="s">
        <v>15</v>
      </c>
      <c r="F631" t="s">
        <v>13</v>
      </c>
    </row>
    <row r="632" spans="1:6" x14ac:dyDescent="0.25">
      <c r="A632">
        <v>630</v>
      </c>
      <c r="B632" s="1">
        <v>45667</v>
      </c>
      <c r="C632" t="s">
        <v>107</v>
      </c>
      <c r="D632">
        <v>40</v>
      </c>
      <c r="E632" t="s">
        <v>15</v>
      </c>
      <c r="F632" t="s">
        <v>13</v>
      </c>
    </row>
    <row r="633" spans="1:6" x14ac:dyDescent="0.25">
      <c r="A633">
        <v>631</v>
      </c>
      <c r="B633" s="1">
        <v>45667</v>
      </c>
      <c r="C633" t="s">
        <v>106</v>
      </c>
      <c r="D633">
        <v>83</v>
      </c>
      <c r="E633" t="s">
        <v>15</v>
      </c>
      <c r="F633" t="s">
        <v>13</v>
      </c>
    </row>
    <row r="634" spans="1:6" x14ac:dyDescent="0.25">
      <c r="A634">
        <v>632</v>
      </c>
      <c r="B634" s="1">
        <v>45667</v>
      </c>
      <c r="C634" t="s">
        <v>282</v>
      </c>
      <c r="D634">
        <v>230</v>
      </c>
      <c r="E634" t="s">
        <v>15</v>
      </c>
      <c r="F634" t="s">
        <v>13</v>
      </c>
    </row>
    <row r="635" spans="1:6" x14ac:dyDescent="0.25">
      <c r="A635">
        <v>633</v>
      </c>
      <c r="B635" s="1">
        <v>45667</v>
      </c>
      <c r="C635" t="s">
        <v>283</v>
      </c>
      <c r="D635">
        <v>130</v>
      </c>
      <c r="E635" t="s">
        <v>15</v>
      </c>
      <c r="F635" t="s">
        <v>13</v>
      </c>
    </row>
    <row r="636" spans="1:6" x14ac:dyDescent="0.25">
      <c r="A636">
        <v>634</v>
      </c>
      <c r="B636" s="1">
        <v>45667</v>
      </c>
      <c r="C636" t="s">
        <v>284</v>
      </c>
      <c r="D636">
        <v>200</v>
      </c>
      <c r="E636" t="s">
        <v>15</v>
      </c>
      <c r="F636" t="s">
        <v>13</v>
      </c>
    </row>
    <row r="637" spans="1:6" x14ac:dyDescent="0.25">
      <c r="A637">
        <v>635</v>
      </c>
      <c r="B637" s="1">
        <v>45670</v>
      </c>
      <c r="C637" t="s">
        <v>281</v>
      </c>
      <c r="D637">
        <v>150</v>
      </c>
      <c r="E637" t="s">
        <v>15</v>
      </c>
      <c r="F637" t="s">
        <v>13</v>
      </c>
    </row>
    <row r="638" spans="1:6" x14ac:dyDescent="0.25">
      <c r="A638">
        <v>636</v>
      </c>
      <c r="B638" s="1">
        <v>45670</v>
      </c>
      <c r="C638" t="s">
        <v>54</v>
      </c>
      <c r="D638">
        <v>89</v>
      </c>
      <c r="E638" t="s">
        <v>15</v>
      </c>
      <c r="F638" t="s">
        <v>13</v>
      </c>
    </row>
    <row r="639" spans="1:6" x14ac:dyDescent="0.25">
      <c r="A639">
        <v>637</v>
      </c>
      <c r="B639" s="1">
        <v>45670</v>
      </c>
      <c r="C639" t="s">
        <v>108</v>
      </c>
      <c r="D639">
        <v>60</v>
      </c>
      <c r="E639" t="s">
        <v>15</v>
      </c>
      <c r="F639" t="s">
        <v>13</v>
      </c>
    </row>
    <row r="640" spans="1:6" x14ac:dyDescent="0.25">
      <c r="A640">
        <v>638</v>
      </c>
      <c r="B640" s="1">
        <v>45670</v>
      </c>
      <c r="C640" t="s">
        <v>162</v>
      </c>
      <c r="D640">
        <v>20000</v>
      </c>
      <c r="E640" t="s">
        <v>10</v>
      </c>
      <c r="F640" t="s">
        <v>8</v>
      </c>
    </row>
    <row r="641" spans="1:6" x14ac:dyDescent="0.25">
      <c r="A641">
        <v>639</v>
      </c>
      <c r="B641" s="1">
        <v>45670</v>
      </c>
      <c r="C641" t="s">
        <v>285</v>
      </c>
      <c r="D641">
        <v>5490</v>
      </c>
      <c r="E641" t="s">
        <v>15</v>
      </c>
      <c r="F641" t="s">
        <v>13</v>
      </c>
    </row>
    <row r="642" spans="1:6" x14ac:dyDescent="0.25">
      <c r="A642">
        <v>640</v>
      </c>
      <c r="B642" s="1">
        <v>45670</v>
      </c>
      <c r="C642" t="s">
        <v>180</v>
      </c>
      <c r="D642">
        <v>10</v>
      </c>
      <c r="E642" t="s">
        <v>15</v>
      </c>
      <c r="F642" t="s">
        <v>13</v>
      </c>
    </row>
    <row r="643" spans="1:6" x14ac:dyDescent="0.25">
      <c r="A643">
        <v>641</v>
      </c>
      <c r="B643" s="1">
        <v>45670</v>
      </c>
      <c r="C643" t="s">
        <v>286</v>
      </c>
      <c r="D643">
        <v>150</v>
      </c>
      <c r="E643" t="s">
        <v>15</v>
      </c>
      <c r="F643" t="s">
        <v>13</v>
      </c>
    </row>
    <row r="644" spans="1:6" x14ac:dyDescent="0.25">
      <c r="A644">
        <v>642</v>
      </c>
      <c r="B644" s="1">
        <v>45672</v>
      </c>
      <c r="C644" t="s">
        <v>287</v>
      </c>
      <c r="D644">
        <v>30</v>
      </c>
      <c r="E644" t="s">
        <v>15</v>
      </c>
      <c r="F644" t="s">
        <v>13</v>
      </c>
    </row>
    <row r="645" spans="1:6" x14ac:dyDescent="0.25">
      <c r="A645">
        <v>643</v>
      </c>
      <c r="B645" s="1">
        <v>45672</v>
      </c>
      <c r="C645" t="s">
        <v>160</v>
      </c>
      <c r="D645">
        <v>120</v>
      </c>
      <c r="E645" t="s">
        <v>15</v>
      </c>
      <c r="F645" t="s">
        <v>13</v>
      </c>
    </row>
    <row r="646" spans="1:6" x14ac:dyDescent="0.25">
      <c r="A646">
        <v>644</v>
      </c>
      <c r="B646" s="1">
        <v>45672</v>
      </c>
      <c r="C646" t="s">
        <v>54</v>
      </c>
      <c r="D646">
        <v>184</v>
      </c>
      <c r="E646" t="s">
        <v>15</v>
      </c>
      <c r="F646" t="s">
        <v>13</v>
      </c>
    </row>
    <row r="647" spans="1:6" x14ac:dyDescent="0.25">
      <c r="A647">
        <v>645</v>
      </c>
      <c r="B647" s="1">
        <v>45672</v>
      </c>
      <c r="C647" t="s">
        <v>128</v>
      </c>
      <c r="D647">
        <v>13</v>
      </c>
      <c r="E647" t="s">
        <v>15</v>
      </c>
      <c r="F647" t="s">
        <v>13</v>
      </c>
    </row>
    <row r="648" spans="1:6" x14ac:dyDescent="0.25">
      <c r="A648">
        <v>646</v>
      </c>
      <c r="B648" s="1">
        <v>45672</v>
      </c>
      <c r="C648" t="s">
        <v>108</v>
      </c>
      <c r="D648">
        <v>40</v>
      </c>
      <c r="E648" t="s">
        <v>15</v>
      </c>
      <c r="F648" t="s">
        <v>13</v>
      </c>
    </row>
    <row r="649" spans="1:6" x14ac:dyDescent="0.25">
      <c r="A649">
        <v>647</v>
      </c>
      <c r="B649" s="1">
        <v>45672</v>
      </c>
      <c r="C649" t="s">
        <v>277</v>
      </c>
      <c r="D649">
        <v>638</v>
      </c>
      <c r="E649" t="s">
        <v>15</v>
      </c>
      <c r="F649" t="s">
        <v>13</v>
      </c>
    </row>
    <row r="650" spans="1:6" x14ac:dyDescent="0.25">
      <c r="A650">
        <v>648</v>
      </c>
      <c r="B650" s="1">
        <v>45672</v>
      </c>
      <c r="C650" t="s">
        <v>269</v>
      </c>
      <c r="D650">
        <v>599</v>
      </c>
      <c r="E650" t="s">
        <v>15</v>
      </c>
      <c r="F650" t="s">
        <v>13</v>
      </c>
    </row>
    <row r="651" spans="1:6" x14ac:dyDescent="0.25">
      <c r="A651">
        <v>649</v>
      </c>
      <c r="B651" s="1">
        <v>45672</v>
      </c>
      <c r="C651" t="s">
        <v>229</v>
      </c>
      <c r="D651">
        <v>42</v>
      </c>
      <c r="E651" t="s">
        <v>15</v>
      </c>
      <c r="F651" t="s">
        <v>13</v>
      </c>
    </row>
    <row r="652" spans="1:6" x14ac:dyDescent="0.25">
      <c r="A652">
        <v>650</v>
      </c>
      <c r="B652" s="1">
        <v>45672</v>
      </c>
      <c r="C652" t="s">
        <v>61</v>
      </c>
      <c r="D652">
        <v>120</v>
      </c>
      <c r="E652" t="s">
        <v>15</v>
      </c>
      <c r="F652" t="s">
        <v>13</v>
      </c>
    </row>
    <row r="653" spans="1:6" x14ac:dyDescent="0.25">
      <c r="A653">
        <v>651</v>
      </c>
      <c r="B653" s="1">
        <v>45672</v>
      </c>
      <c r="C653" t="s">
        <v>76</v>
      </c>
      <c r="D653">
        <v>20</v>
      </c>
      <c r="E653" t="s">
        <v>15</v>
      </c>
      <c r="F653" t="s">
        <v>13</v>
      </c>
    </row>
    <row r="654" spans="1:6" x14ac:dyDescent="0.25">
      <c r="A654">
        <v>652</v>
      </c>
      <c r="B654" s="1">
        <v>45672</v>
      </c>
      <c r="C654" t="s">
        <v>85</v>
      </c>
      <c r="D654">
        <v>300</v>
      </c>
      <c r="E654" t="s">
        <v>15</v>
      </c>
      <c r="F654" t="s">
        <v>13</v>
      </c>
    </row>
    <row r="655" spans="1:6" x14ac:dyDescent="0.25">
      <c r="A655">
        <v>653</v>
      </c>
      <c r="B655" s="1">
        <v>45673</v>
      </c>
      <c r="C655" t="s">
        <v>6</v>
      </c>
      <c r="D655">
        <v>13201</v>
      </c>
      <c r="E655" t="s">
        <v>7</v>
      </c>
      <c r="F655" t="s">
        <v>8</v>
      </c>
    </row>
    <row r="656" spans="1:6" x14ac:dyDescent="0.25">
      <c r="A656">
        <v>654</v>
      </c>
      <c r="B656" s="1">
        <v>45674</v>
      </c>
      <c r="C656" t="s">
        <v>287</v>
      </c>
      <c r="D656">
        <v>50</v>
      </c>
      <c r="E656" t="s">
        <v>15</v>
      </c>
      <c r="F656" t="s">
        <v>13</v>
      </c>
    </row>
    <row r="657" spans="1:6" x14ac:dyDescent="0.25">
      <c r="A657">
        <v>655</v>
      </c>
      <c r="B657" s="1">
        <v>45674</v>
      </c>
      <c r="C657" t="s">
        <v>59</v>
      </c>
      <c r="D657">
        <v>20</v>
      </c>
      <c r="E657" t="s">
        <v>15</v>
      </c>
      <c r="F657" t="s">
        <v>13</v>
      </c>
    </row>
    <row r="658" spans="1:6" x14ac:dyDescent="0.25">
      <c r="A658">
        <v>656</v>
      </c>
      <c r="B658" s="1">
        <v>45674</v>
      </c>
      <c r="C658" t="s">
        <v>67</v>
      </c>
      <c r="D658">
        <v>20</v>
      </c>
      <c r="E658" t="s">
        <v>15</v>
      </c>
      <c r="F658" t="s">
        <v>13</v>
      </c>
    </row>
    <row r="659" spans="1:6" x14ac:dyDescent="0.25">
      <c r="A659">
        <v>657</v>
      </c>
      <c r="B659" s="1">
        <v>45674</v>
      </c>
      <c r="C659" t="s">
        <v>110</v>
      </c>
      <c r="D659">
        <v>120</v>
      </c>
      <c r="E659" t="s">
        <v>15</v>
      </c>
      <c r="F659" t="s">
        <v>13</v>
      </c>
    </row>
    <row r="660" spans="1:6" x14ac:dyDescent="0.25">
      <c r="A660">
        <v>658</v>
      </c>
      <c r="B660" s="1">
        <v>45674</v>
      </c>
      <c r="C660" t="s">
        <v>54</v>
      </c>
      <c r="D660">
        <v>120</v>
      </c>
      <c r="E660" t="s">
        <v>15</v>
      </c>
      <c r="F660" t="s">
        <v>13</v>
      </c>
    </row>
    <row r="661" spans="1:6" x14ac:dyDescent="0.25">
      <c r="A661">
        <v>659</v>
      </c>
      <c r="B661" s="1">
        <v>45674</v>
      </c>
      <c r="C661" t="s">
        <v>108</v>
      </c>
      <c r="D661">
        <v>60</v>
      </c>
      <c r="E661" t="s">
        <v>15</v>
      </c>
      <c r="F661" t="s">
        <v>13</v>
      </c>
    </row>
    <row r="662" spans="1:6" x14ac:dyDescent="0.25">
      <c r="A662">
        <v>660</v>
      </c>
      <c r="B662" s="1">
        <v>45674</v>
      </c>
      <c r="C662" t="s">
        <v>288</v>
      </c>
      <c r="D662">
        <v>135</v>
      </c>
      <c r="E662" t="s">
        <v>15</v>
      </c>
      <c r="F662" t="s">
        <v>13</v>
      </c>
    </row>
    <row r="663" spans="1:6" x14ac:dyDescent="0.25">
      <c r="A663">
        <v>661</v>
      </c>
      <c r="B663" s="1">
        <v>45674</v>
      </c>
      <c r="C663" t="s">
        <v>179</v>
      </c>
      <c r="D663">
        <v>20</v>
      </c>
      <c r="E663" t="s">
        <v>15</v>
      </c>
      <c r="F663" t="s">
        <v>13</v>
      </c>
    </row>
    <row r="664" spans="1:6" x14ac:dyDescent="0.25">
      <c r="A664">
        <v>662</v>
      </c>
      <c r="B664" s="1">
        <v>45674</v>
      </c>
      <c r="C664" t="s">
        <v>180</v>
      </c>
      <c r="D664">
        <v>10</v>
      </c>
      <c r="E664" t="s">
        <v>15</v>
      </c>
      <c r="F664" t="s">
        <v>13</v>
      </c>
    </row>
    <row r="665" spans="1:6" x14ac:dyDescent="0.25">
      <c r="A665">
        <v>663</v>
      </c>
      <c r="B665" s="1">
        <v>45674</v>
      </c>
      <c r="C665" t="s">
        <v>67</v>
      </c>
      <c r="D665">
        <v>25</v>
      </c>
      <c r="E665" t="s">
        <v>15</v>
      </c>
      <c r="F665" t="s">
        <v>13</v>
      </c>
    </row>
    <row r="666" spans="1:6" x14ac:dyDescent="0.25">
      <c r="A666">
        <v>664</v>
      </c>
      <c r="B666" s="1">
        <v>45674</v>
      </c>
      <c r="C666" t="s">
        <v>181</v>
      </c>
      <c r="D666">
        <v>120</v>
      </c>
      <c r="E666" t="s">
        <v>15</v>
      </c>
      <c r="F666" t="s">
        <v>13</v>
      </c>
    </row>
    <row r="667" spans="1:6" x14ac:dyDescent="0.25">
      <c r="A667">
        <v>665</v>
      </c>
      <c r="B667" s="1">
        <v>45674</v>
      </c>
      <c r="C667" t="s">
        <v>76</v>
      </c>
      <c r="D667">
        <v>100</v>
      </c>
      <c r="E667" t="s">
        <v>15</v>
      </c>
      <c r="F667" t="s">
        <v>13</v>
      </c>
    </row>
    <row r="668" spans="1:6" x14ac:dyDescent="0.25">
      <c r="A668">
        <v>666</v>
      </c>
      <c r="B668" s="1">
        <v>45681</v>
      </c>
      <c r="C668" t="s">
        <v>281</v>
      </c>
      <c r="D668">
        <v>300</v>
      </c>
      <c r="E668" t="s">
        <v>15</v>
      </c>
      <c r="F668" t="s">
        <v>13</v>
      </c>
    </row>
    <row r="669" spans="1:6" x14ac:dyDescent="0.25">
      <c r="A669">
        <v>667</v>
      </c>
      <c r="B669" s="1">
        <v>45681</v>
      </c>
      <c r="C669" t="s">
        <v>54</v>
      </c>
      <c r="D669">
        <v>392</v>
      </c>
      <c r="E669" t="s">
        <v>15</v>
      </c>
      <c r="F669" t="s">
        <v>13</v>
      </c>
    </row>
    <row r="670" spans="1:6" x14ac:dyDescent="0.25">
      <c r="A670">
        <v>668</v>
      </c>
      <c r="B670" s="1">
        <v>45681</v>
      </c>
      <c r="C670" t="s">
        <v>289</v>
      </c>
      <c r="D670">
        <v>58</v>
      </c>
      <c r="E670" t="s">
        <v>15</v>
      </c>
      <c r="F670" t="s">
        <v>13</v>
      </c>
    </row>
    <row r="671" spans="1:6" x14ac:dyDescent="0.25">
      <c r="A671">
        <v>669</v>
      </c>
      <c r="B671" s="1">
        <v>45681</v>
      </c>
      <c r="C671" t="s">
        <v>290</v>
      </c>
      <c r="D671">
        <v>18</v>
      </c>
      <c r="E671" t="s">
        <v>15</v>
      </c>
      <c r="F671" t="s">
        <v>13</v>
      </c>
    </row>
    <row r="672" spans="1:6" x14ac:dyDescent="0.25">
      <c r="A672">
        <v>670</v>
      </c>
      <c r="B672" s="1">
        <v>45681</v>
      </c>
      <c r="C672" t="s">
        <v>291</v>
      </c>
      <c r="D672">
        <v>20</v>
      </c>
      <c r="E672" t="s">
        <v>15</v>
      </c>
      <c r="F672" t="s">
        <v>13</v>
      </c>
    </row>
    <row r="673" spans="1:6" x14ac:dyDescent="0.25">
      <c r="A673">
        <v>671</v>
      </c>
      <c r="B673" s="1">
        <v>45687</v>
      </c>
      <c r="C673" t="s">
        <v>6</v>
      </c>
      <c r="D673">
        <v>13202</v>
      </c>
      <c r="E673" t="s">
        <v>7</v>
      </c>
      <c r="F673" t="s">
        <v>8</v>
      </c>
    </row>
  </sheetData>
  <sheetProtection algorithmName="SHA-512" hashValue="My3c+Xl9SbpIrKHIdvO5PNwsUftWRohHwB9sotCriVBOyVZtH7kc28c4C/tYKxgR8+kSNOtNE005pH7aj1AqXA==" saltValue="LfuILcjTrPcsNFxzwlRAow==" spinCount="100000" sheet="1" objects="1" scenarios="1"/>
  <hyperlinks>
    <hyperlink ref="B1" location="Dashboard!A1" display="Dashboard" xr:uid="{AD0A7493-7743-4283-BC32-D4A43CEBCED6}"/>
    <hyperlink ref="C1" location="Findings!A1" display="Findings" xr:uid="{5DF38904-2AAA-4F6A-AF9E-2671EE34E1FA}"/>
    <hyperlink ref="D1" location="'Pivot &amp; derived tables'!A1" display="Pivot &amp; Derived Tables" xr:uid="{E40CA7E2-2258-410E-8AA1-386E005C7793}"/>
    <hyperlink ref="E1" location="'Analysis &amp; Diagnostics'!A1" display="Analysis &amp; Diagnosis" xr:uid="{8909F7E8-EF9F-4284-B57F-3DF973233EAB}"/>
    <hyperlink ref="F1" location="data_visualization!A1" display="Data Visualization" xr:uid="{209C2379-4425-441A-A5DC-329E6A456099}"/>
    <hyperlink ref="G1" location="cleaned_source_dataset!A1" display="Cleaned Data" xr:uid="{71620BE1-0362-49C1-AC74-77DEFC57A9DD}"/>
    <hyperlink ref="H1" location="personal_finance_data!A1" display="Raw Data Source" xr:uid="{C2697A04-32B7-43F9-B416-5F8FACA56F38}"/>
  </hyperlinks>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27C1EE-EEA1-43D2-971D-2CDFEDBAF3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Findings</vt:lpstr>
      <vt:lpstr>Pivot &amp; derived tables</vt:lpstr>
      <vt:lpstr>Analysis &amp; Diagnostics</vt:lpstr>
      <vt:lpstr>data_visualization</vt:lpstr>
      <vt:lpstr>Nov 24 &amp; Dec 24</vt:lpstr>
      <vt:lpstr>Expenses_table</vt:lpstr>
      <vt:lpstr>Income_table</vt:lpstr>
      <vt:lpstr>Gcash_expenses</vt:lpstr>
      <vt:lpstr>Supa Expenses</vt:lpstr>
      <vt:lpstr>query</vt:lpstr>
      <vt:lpstr>cleaned_source_dataset</vt:lpstr>
      <vt:lpstr>personal_finance_data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cp:lastPrinted>2025-10-04T13:20:43Z</cp:lastPrinted>
  <dcterms:created xsi:type="dcterms:W3CDTF">2025-09-27T09:55:15Z</dcterms:created>
  <dcterms:modified xsi:type="dcterms:W3CDTF">2025-10-18T04:07:28Z</dcterms:modified>
</cp:coreProperties>
</file>